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E:\WACP EXAMS PROJECT\New folder\Data set\"/>
    </mc:Choice>
  </mc:AlternateContent>
  <xr:revisionPtr revIDLastSave="0" documentId="13_ncr:1_{CB7D283B-378A-4A35-90E5-61B3287FE207}" xr6:coauthVersionLast="47" xr6:coauthVersionMax="47" xr10:uidLastSave="{00000000-0000-0000-0000-000000000000}"/>
  <bookViews>
    <workbookView xWindow="-120" yWindow="-120" windowWidth="20730" windowHeight="11160" activeTab="2" xr2:uid="{D651438F-1D37-4598-910A-94DD58B60547}"/>
  </bookViews>
  <sheets>
    <sheet name="Raw Data" sheetId="1" r:id="rId1"/>
    <sheet name="Cleaned Data" sheetId="2" r:id="rId2"/>
    <sheet name="PVT &amp; Calculations" sheetId="3" r:id="rId3"/>
    <sheet name="Dashboard Presentation" sheetId="6" r:id="rId4"/>
  </sheets>
  <definedNames>
    <definedName name="_xlnm._FilterDatabase" localSheetId="1" hidden="1">'Cleaned Data'!$B$1:$U$1024</definedName>
    <definedName name="_xlnm._FilterDatabase" localSheetId="0" hidden="1">'Raw Data'!$A$1:$W$1024</definedName>
    <definedName name="Slicer_Examinations1">#N/A</definedName>
    <definedName name="Slicer_Nationality">#N/A</definedName>
  </definedNames>
  <calcPr calcId="191029" iterateDelta="1E-4"/>
  <pivotCaches>
    <pivotCache cacheId="4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30" i="3" l="1" a="1"/>
  <c r="BH30" i="3" s="1"/>
  <c r="BO14" i="3" a="1"/>
  <c r="BO14" i="3" s="1"/>
  <c r="BN14" i="3" a="1"/>
  <c r="BN14" i="3" s="1"/>
  <c r="BM14" i="3" a="1"/>
  <c r="BK14" i="3" a="1"/>
  <c r="BJ14" i="3" a="1"/>
  <c r="BJ14" i="3" s="1"/>
  <c r="BI14" i="3" a="1"/>
  <c r="BH14" i="3" a="1"/>
  <c r="BA11" i="3"/>
  <c r="BB6" i="3" s="1"/>
  <c r="BE8" i="3"/>
  <c r="AW7" i="3"/>
  <c r="AX5" i="3" s="1"/>
  <c r="AQ10" i="3"/>
  <c r="AR5" i="3" s="1"/>
  <c r="P10" i="3"/>
  <c r="Q10" i="3"/>
  <c r="O10" i="3"/>
  <c r="K10" i="3"/>
  <c r="L10" i="3"/>
  <c r="J10" i="3"/>
  <c r="A33" i="3" a="1"/>
  <c r="A33" i="3" s="1"/>
  <c r="AS5" i="3" a="1"/>
  <c r="A17" i="3" a="1"/>
  <c r="A17" i="3" s="1"/>
  <c r="I898" i="2"/>
  <c r="I764" i="2"/>
  <c r="I254" i="2"/>
  <c r="I246" i="2"/>
  <c r="M246" i="1"/>
  <c r="M254" i="1"/>
  <c r="M764" i="1"/>
  <c r="M898" i="1"/>
  <c r="B34" i="3"/>
  <c r="B33" i="3"/>
  <c r="B31" i="3"/>
  <c r="BF6" i="3" l="1"/>
  <c r="BF5" i="3"/>
  <c r="AS5" i="3"/>
  <c r="AU6" i="3"/>
  <c r="AU5" i="3"/>
  <c r="AU7" i="3"/>
  <c r="AU8" i="3"/>
  <c r="AU9" i="3"/>
  <c r="BM14" i="3"/>
  <c r="BP14" i="3" s="1"/>
  <c r="BP16" i="3"/>
  <c r="BP18" i="3"/>
  <c r="BP15" i="3"/>
  <c r="BP17" i="3"/>
  <c r="BI14" i="3"/>
  <c r="BL16" i="3"/>
  <c r="BL18" i="3"/>
  <c r="BL15" i="3"/>
  <c r="BL17" i="3"/>
  <c r="BH14" i="3"/>
  <c r="BH22" i="3" a="1"/>
  <c r="BH22" i="3" s="1"/>
  <c r="BK14" i="3"/>
  <c r="BB10" i="3"/>
  <c r="BB9" i="3"/>
  <c r="BB7" i="3"/>
  <c r="BB5" i="3"/>
  <c r="BB8" i="3"/>
  <c r="BF7" i="3"/>
  <c r="AX6" i="3"/>
  <c r="AR9" i="3"/>
  <c r="AR8" i="3"/>
  <c r="AR7" i="3"/>
  <c r="AR6" i="3"/>
  <c r="B29" i="3"/>
  <c r="B28" i="3"/>
  <c r="B22" i="3"/>
  <c r="AT10" i="3"/>
  <c r="D22" i="3"/>
  <c r="C22" i="3"/>
  <c r="G22" i="3"/>
  <c r="F22" i="3"/>
  <c r="E22" i="3"/>
  <c r="BJ22" i="3" l="1" a="1"/>
  <c r="BJ22" i="3" s="1"/>
  <c r="BL14" i="3"/>
  <c r="BI22" i="3" s="1" a="1"/>
  <c r="BI22"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<sst xmlns="http://schemas.openxmlformats.org/spreadsheetml/2006/main" count="33162" uniqueCount="8051">
  <si>
    <t>UserID</t>
  </si>
  <si>
    <t>status</t>
  </si>
  <si>
    <t>reason</t>
  </si>
  <si>
    <t>registered_exams_id</t>
  </si>
  <si>
    <t>Username</t>
  </si>
  <si>
    <t>lname</t>
  </si>
  <si>
    <t>fname</t>
  </si>
  <si>
    <t>mid_name</t>
  </si>
  <si>
    <t>address</t>
  </si>
  <si>
    <t>gender</t>
  </si>
  <si>
    <t>institution</t>
  </si>
  <si>
    <t>nationality</t>
  </si>
  <si>
    <t>mobile</t>
  </si>
  <si>
    <t>viewform</t>
  </si>
  <si>
    <t>examinations</t>
  </si>
  <si>
    <t>faculty</t>
  </si>
  <si>
    <t>exam_centre</t>
  </si>
  <si>
    <t>currency</t>
  </si>
  <si>
    <t>symbol</t>
  </si>
  <si>
    <t>exam_fee</t>
  </si>
  <si>
    <t>practical</t>
  </si>
  <si>
    <t>dissertation</t>
  </si>
  <si>
    <t>reference</t>
  </si>
  <si>
    <t>Approved</t>
  </si>
  <si>
    <t>ummhanzallah2018@gmail.com</t>
  </si>
  <si>
    <t>CHORR</t>
  </si>
  <si>
    <t xml:space="preserve">Barkisu </t>
  </si>
  <si>
    <t xml:space="preserve">Tallinding </t>
  </si>
  <si>
    <t>Female</t>
  </si>
  <si>
    <t xml:space="preserve">Edward Francis small teaching hospital </t>
  </si>
  <si>
    <t>Gambia</t>
  </si>
  <si>
    <t>firstsitting</t>
  </si>
  <si>
    <t>Banjul</t>
  </si>
  <si>
    <t>NGN</t>
  </si>
  <si>
    <t>&amp;#8358;</t>
  </si>
  <si>
    <t>NULL</t>
  </si>
  <si>
    <t>1923411WACP811575687</t>
  </si>
  <si>
    <t>mercyabuyebo@gmail.com</t>
  </si>
  <si>
    <t>ABU</t>
  </si>
  <si>
    <t>Mercy</t>
  </si>
  <si>
    <t>Yebo</t>
  </si>
  <si>
    <t>Behind Gowons Lodge, GRA Bida, Niger State</t>
  </si>
  <si>
    <t xml:space="preserve">Bingham University </t>
  </si>
  <si>
    <t>Nigeria</t>
  </si>
  <si>
    <t>07063515758</t>
  </si>
  <si>
    <t>resitting</t>
  </si>
  <si>
    <t>Abuja</t>
  </si>
  <si>
    <t>2261312WACP92682366</t>
  </si>
  <si>
    <t>etuaweri@gmail.com</t>
  </si>
  <si>
    <t>TUAWERI</t>
  </si>
  <si>
    <t>Ebiye</t>
  </si>
  <si>
    <t>Phillip</t>
  </si>
  <si>
    <t>19A Covenant Garden Estate, Apo-Duste, Lokogoma, Abuja, Federal Capital Territory, Nigeria</t>
  </si>
  <si>
    <t>Male</t>
  </si>
  <si>
    <t>China Medical University</t>
  </si>
  <si>
    <t>2396613WACP403188134</t>
  </si>
  <si>
    <t>iadegoke697@gmail.com</t>
  </si>
  <si>
    <t>IBRAHEEM</t>
  </si>
  <si>
    <t>Basiru</t>
  </si>
  <si>
    <t>Adegoke</t>
  </si>
  <si>
    <t>4 Bole Zone, Wakajaye, Ibadan, Oyo State, Nigeria</t>
  </si>
  <si>
    <t>Obafemi Awolowo University(OAU) Ife Osun State NIgeria</t>
  </si>
  <si>
    <t>07063611172</t>
  </si>
  <si>
    <t>Ibadan</t>
  </si>
  <si>
    <t>2398914WACP993284822</t>
  </si>
  <si>
    <t>revdressien@gmail.com</t>
  </si>
  <si>
    <t xml:space="preserve">ESSIEN, </t>
  </si>
  <si>
    <t xml:space="preserve">Celine </t>
  </si>
  <si>
    <t>Etim</t>
  </si>
  <si>
    <t>Internal. Medicine. UUTH. PMB 1136. Uyo</t>
  </si>
  <si>
    <t>UUTH, Uyo. Akwa Ibom State</t>
  </si>
  <si>
    <t>passedboth</t>
  </si>
  <si>
    <t>504215WACP664712963</t>
  </si>
  <si>
    <t>chukwufaith111@gmail.com</t>
  </si>
  <si>
    <t>CHUKWU</t>
  </si>
  <si>
    <t>faith</t>
  </si>
  <si>
    <t>uchechi</t>
  </si>
  <si>
    <t>ENO 27,beside prison road, kuje, abuja</t>
  </si>
  <si>
    <t>university of medical sciences, ondo, ondo state</t>
  </si>
  <si>
    <t>08135017143</t>
  </si>
  <si>
    <t>2399016WACP119636770</t>
  </si>
  <si>
    <t>okongwuchinenye904@gmail.com</t>
  </si>
  <si>
    <t>OKONGWU</t>
  </si>
  <si>
    <t>Chinenye</t>
  </si>
  <si>
    <t>Ngozi</t>
  </si>
  <si>
    <t>NNAMDI AZIKIWE UNIVERSITY TEACHING HOSPITAL NNEWI</t>
  </si>
  <si>
    <t>07064810150</t>
  </si>
  <si>
    <t>Enugu</t>
  </si>
  <si>
    <t>2398817WACP498517530</t>
  </si>
  <si>
    <t>teemeehips@gmail.com</t>
  </si>
  <si>
    <t>Yunusa</t>
  </si>
  <si>
    <t>Fatima</t>
  </si>
  <si>
    <t>Aliyu</t>
  </si>
  <si>
    <t>University of Maiduguri Teaching Hospital</t>
  </si>
  <si>
    <t>08134992196</t>
  </si>
  <si>
    <t>1932618WACP620948579</t>
  </si>
  <si>
    <t>kennymodilim@gmail.com</t>
  </si>
  <si>
    <t>MODILIM</t>
  </si>
  <si>
    <t>Kenechukwu</t>
  </si>
  <si>
    <t>Dave</t>
  </si>
  <si>
    <t>41 Dogwood Cresecent, Northern Foreshore Estate, Off Chevron Drive, Lekki, Lagos, Nigeria</t>
  </si>
  <si>
    <t>Eti-Osa Maternal and Child Centre, Off Ogombo Road, Ajah, Lagos, Nigeria</t>
  </si>
  <si>
    <t>2382519WACP505462036</t>
  </si>
  <si>
    <t>drstephenogwuche888@gmail.com</t>
  </si>
  <si>
    <t>OGWUCHE</t>
  </si>
  <si>
    <t>Stephen</t>
  </si>
  <si>
    <t>Angwan Nepa, Keffi, Nasarawa state, Nigeria</t>
  </si>
  <si>
    <t>College of Health Sciences, University of Jos, Nigeria</t>
  </si>
  <si>
    <t>07031604760</t>
  </si>
  <si>
    <t>23977110WACP161074878</t>
  </si>
  <si>
    <t>ejiko_nelco@yahoo.com</t>
  </si>
  <si>
    <t>UGWU</t>
  </si>
  <si>
    <t>Nelson</t>
  </si>
  <si>
    <t>ejike</t>
  </si>
  <si>
    <t>ESUT Teaching Hospital, Parklane, Enugu</t>
  </si>
  <si>
    <t>958111WACP2879498</t>
  </si>
  <si>
    <t>ugwokepeaceololo@gmail.com</t>
  </si>
  <si>
    <t>EYA</t>
  </si>
  <si>
    <t>Peace</t>
  </si>
  <si>
    <t>No 5 Okinyi Street, off Enugu Road, Nsukka, Enugu State, c/off, Alex Iduh,</t>
  </si>
  <si>
    <t>Enugu State University of Science and Technology, Enugu</t>
  </si>
  <si>
    <t>07060608103</t>
  </si>
  <si>
    <t>23359112WACP261064212</t>
  </si>
  <si>
    <t>bellepinkroses@yahoo.co.uk</t>
  </si>
  <si>
    <t>KOULAGNA</t>
  </si>
  <si>
    <t>Rosemary</t>
  </si>
  <si>
    <t>Erhemwanarhue</t>
  </si>
  <si>
    <t>Plot 105, Undermercy Filling Station off Rukuba road Agingi Bassa LGA Plateau State Nigeria</t>
  </si>
  <si>
    <t>Plateau State Specialist Hospital</t>
  </si>
  <si>
    <t>09032392618</t>
  </si>
  <si>
    <t>USD</t>
  </si>
  <si>
    <t>$</t>
  </si>
  <si>
    <t>23978113WACP530480360</t>
  </si>
  <si>
    <t>mydocmyke@gmail.com</t>
  </si>
  <si>
    <t>NWADIOKWU</t>
  </si>
  <si>
    <t>Michael</t>
  </si>
  <si>
    <t>Ehima</t>
  </si>
  <si>
    <t>29 OTEKILEH STREET AGBOR, DELTA STATE</t>
  </si>
  <si>
    <t xml:space="preserve">EKU BAPTIST GOVERNMENT HOSPITAL, DELTA STATE </t>
  </si>
  <si>
    <t>08067870223</t>
  </si>
  <si>
    <t>488114WACP571116747</t>
  </si>
  <si>
    <t>abimbola.o.onifade@gmail.com</t>
  </si>
  <si>
    <t>ONIFADE</t>
  </si>
  <si>
    <t>Abimbola</t>
  </si>
  <si>
    <t>Olusegun</t>
  </si>
  <si>
    <t xml:space="preserve">8 Olusegun Obasanjo Street, Peace Court Estate, Lokogoma Abuja </t>
  </si>
  <si>
    <t xml:space="preserve">Igbinedion University Okada </t>
  </si>
  <si>
    <t>08065648866</t>
  </si>
  <si>
    <t>19036115WACP253851288</t>
  </si>
  <si>
    <t>ladelnathan@gmail.com</t>
  </si>
  <si>
    <t xml:space="preserve">LADOKUN </t>
  </si>
  <si>
    <t>nathanael</t>
  </si>
  <si>
    <t>ayokunnu</t>
  </si>
  <si>
    <t>Alphabeta Hospital And Maternity, No 5 Jibowu Crescent, Iyaganku, Ibadan.</t>
  </si>
  <si>
    <t>Alphabeta Hospital And Maternity, No 5 Jibowu Crescent, Iyaganku, Ibadan</t>
  </si>
  <si>
    <t>09030624260</t>
  </si>
  <si>
    <t>24036116WACP331470548</t>
  </si>
  <si>
    <t>mwuesekuna13@gmail.com</t>
  </si>
  <si>
    <t>KUNA</t>
  </si>
  <si>
    <t>Oluwaseun</t>
  </si>
  <si>
    <t>Mwuese</t>
  </si>
  <si>
    <t xml:space="preserve">A three bedroom estate, along prof olu Longe road, Salami Estate, Ikolaba </t>
  </si>
  <si>
    <t>Alpha Beta hospital and Maternity hospital</t>
  </si>
  <si>
    <t>08055300649</t>
  </si>
  <si>
    <t>9413117WACP223398777</t>
  </si>
  <si>
    <t>ezyman2u@yahoo.com</t>
  </si>
  <si>
    <t>DAVID</t>
  </si>
  <si>
    <t xml:space="preserve">Ezekiel </t>
  </si>
  <si>
    <t xml:space="preserve">Federal Neuropsychiatric Hospital, Maiduguri </t>
  </si>
  <si>
    <t>Federal Neuropsychiatric Hospital, Maiduguri</t>
  </si>
  <si>
    <t>08030694905</t>
  </si>
  <si>
    <t>2369118WACP789728223</t>
  </si>
  <si>
    <t>kwetishe76@gmail.com</t>
  </si>
  <si>
    <t>KWETISHE</t>
  </si>
  <si>
    <t>Elisha</t>
  </si>
  <si>
    <t>Enoch</t>
  </si>
  <si>
    <t>FEDERAL NEUROPSYCHIATRIC HOSPITAL, MAIDUGURI. BORNO STATE</t>
  </si>
  <si>
    <t>08163338239</t>
  </si>
  <si>
    <t>7343119WACP134822762</t>
  </si>
  <si>
    <t>jamesirogho@gmail.com</t>
  </si>
  <si>
    <t>IROGHO</t>
  </si>
  <si>
    <t>James</t>
  </si>
  <si>
    <t>Ovbare</t>
  </si>
  <si>
    <t>No 22 Ugba Quarters Ihievbe Owan East, Edo state</t>
  </si>
  <si>
    <t>JUTH</t>
  </si>
  <si>
    <t>08034504949</t>
  </si>
  <si>
    <t>23981120WACP802842580</t>
  </si>
  <si>
    <t>momeghachukwuemeka@yahoo.com</t>
  </si>
  <si>
    <t>MOMEGHA</t>
  </si>
  <si>
    <t>Chukwuemeka</t>
  </si>
  <si>
    <t>Ekene</t>
  </si>
  <si>
    <t>University College Hospital Ibadan</t>
  </si>
  <si>
    <t>18872121WACP648752475</t>
  </si>
  <si>
    <t>otarumud@gmail.com</t>
  </si>
  <si>
    <t xml:space="preserve">OTARU </t>
  </si>
  <si>
    <t xml:space="preserve">Muhammedtahir </t>
  </si>
  <si>
    <t>.</t>
  </si>
  <si>
    <t xml:space="preserve">FEDERAL TEACHING HOSPITAL, KATSINA </t>
  </si>
  <si>
    <t>08036142979</t>
  </si>
  <si>
    <t>3709122WACP301769538</t>
  </si>
  <si>
    <t>nekkyzie@gmail.com</t>
  </si>
  <si>
    <t>MADU</t>
  </si>
  <si>
    <t>Nneka</t>
  </si>
  <si>
    <t>Lovina</t>
  </si>
  <si>
    <t>5 Bishop&amp;#039;s close Ukwu Orji, Agu-Awka, Awka, Anambra State</t>
  </si>
  <si>
    <t>Nnamdi Azikiwe University</t>
  </si>
  <si>
    <t>08039540610</t>
  </si>
  <si>
    <t>24045123WACP657287384</t>
  </si>
  <si>
    <t>zaharaddinlawal@gmail.com</t>
  </si>
  <si>
    <t>LAWAL</t>
  </si>
  <si>
    <t>Zaharaddin</t>
  </si>
  <si>
    <t>Maishanu</t>
  </si>
  <si>
    <t>Famfom maishanu area Gusau Zamfara state.</t>
  </si>
  <si>
    <t>Usmanu Danfodio University Sokoto</t>
  </si>
  <si>
    <t>07064319910</t>
  </si>
  <si>
    <t>24008124WACP936825199</t>
  </si>
  <si>
    <t>docsamtee38@gmail.com</t>
  </si>
  <si>
    <t>TAYO</t>
  </si>
  <si>
    <t>Segun</t>
  </si>
  <si>
    <t xml:space="preserve">Samuel </t>
  </si>
  <si>
    <t xml:space="preserve">No 1 Regent school Ekpan,Delta state </t>
  </si>
  <si>
    <t>Asaba specialist hospital,Asaba</t>
  </si>
  <si>
    <t>07062784875</t>
  </si>
  <si>
    <t>20784125WACP903481522</t>
  </si>
  <si>
    <t>joshuaajoggar@yahoo.com</t>
  </si>
  <si>
    <t>AJOGGAR</t>
  </si>
  <si>
    <t>Joshua</t>
  </si>
  <si>
    <t>Eseoghene</t>
  </si>
  <si>
    <t>No 7 New Mikel Amadi Layout Off Airport Road Rukpokwu Port Harcourt,River State,Nigeria</t>
  </si>
  <si>
    <t>Afe Babalola University Ado Ekiti, Ekiti State</t>
  </si>
  <si>
    <t>08162033579</t>
  </si>
  <si>
    <t>24072126WACP374008903</t>
  </si>
  <si>
    <t>maryamhamza284@gmail.com</t>
  </si>
  <si>
    <t>HAMZA</t>
  </si>
  <si>
    <t>Maryam</t>
  </si>
  <si>
    <t>No. 17 Dikwa Road, Tudun Nupawa Kaduna</t>
  </si>
  <si>
    <t>Elrazi University</t>
  </si>
  <si>
    <t>23957127WACP304233690</t>
  </si>
  <si>
    <t>bisifaboyinde@yahoo.com</t>
  </si>
  <si>
    <t>FABOYINDE</t>
  </si>
  <si>
    <t>OLABISI</t>
  </si>
  <si>
    <t>JUMOKE</t>
  </si>
  <si>
    <t>LAGOS UNIVERSITY TEACHING HOSPITAL,IDII-ARABA</t>
  </si>
  <si>
    <t>08038514841</t>
  </si>
  <si>
    <t>passeddissert</t>
  </si>
  <si>
    <t>6263128WACP327815336</t>
  </si>
  <si>
    <t>Bakareolaoluwa@gmail.com</t>
  </si>
  <si>
    <t>BAKARE</t>
  </si>
  <si>
    <t>Olaoluwa</t>
  </si>
  <si>
    <t>Olumide</t>
  </si>
  <si>
    <t>No 35 Ifesowapo Estate Adebomi Ayegun Oleyo Road Ibadan</t>
  </si>
  <si>
    <t>Federal Teaching Hospital Ido Ekiti</t>
  </si>
  <si>
    <t>09032303306</t>
  </si>
  <si>
    <t>22620129WACP511614256</t>
  </si>
  <si>
    <t>chinenyeodikaesieme@gmail.com</t>
  </si>
  <si>
    <t xml:space="preserve">ODIKAESIEME </t>
  </si>
  <si>
    <t>Jennifer</t>
  </si>
  <si>
    <t>S13 Isaac okoroafor street FHA, Lugbe, Abuja</t>
  </si>
  <si>
    <t>Nisa premier hospital</t>
  </si>
  <si>
    <t>08138262856</t>
  </si>
  <si>
    <t>24007130WACP589212557</t>
  </si>
  <si>
    <t>pelumi4d@gmail.com</t>
  </si>
  <si>
    <t>FALANA</t>
  </si>
  <si>
    <t>Oluwapelumi</t>
  </si>
  <si>
    <t>Victor</t>
  </si>
  <si>
    <t>2, Atilade street, off daddy savage, Fagba, Lagos</t>
  </si>
  <si>
    <t>College of Medicine, University of Lagos</t>
  </si>
  <si>
    <t>08051729094</t>
  </si>
  <si>
    <t>24049131WACP796431223</t>
  </si>
  <si>
    <t>favouroyewole00@gmail.com</t>
  </si>
  <si>
    <t>Oyewole</t>
  </si>
  <si>
    <t>Favour</t>
  </si>
  <si>
    <t>Ikeoluwa</t>
  </si>
  <si>
    <t>House 7, Rd 12b, OAU quarters. Ife</t>
  </si>
  <si>
    <t>Federal Neuropsychiatric Hospital</t>
  </si>
  <si>
    <t>08169706796</t>
  </si>
  <si>
    <t>24006132WACP790610685</t>
  </si>
  <si>
    <t>folasayomiajumobi@gmail.com</t>
  </si>
  <si>
    <t>Oluwafolasayomi</t>
  </si>
  <si>
    <t>Ajumobi</t>
  </si>
  <si>
    <t>No8,Lane 1,aare Oluyole Estate, Ring Road.Ibadan. Oyo State</t>
  </si>
  <si>
    <t>Medical Doctor</t>
  </si>
  <si>
    <t>09020556901</t>
  </si>
  <si>
    <t>24074133WACP155980424</t>
  </si>
  <si>
    <t>adekoyaolaitan@gmail.com</t>
  </si>
  <si>
    <t>ADEKOYA</t>
  </si>
  <si>
    <t>Ridwanallah</t>
  </si>
  <si>
    <t>Abisoye</t>
  </si>
  <si>
    <t>23 Shodimu Street Omo-Oye busstop Abaranje Ikotun Lagos</t>
  </si>
  <si>
    <t>University of Ilorin</t>
  </si>
  <si>
    <t>08081323775</t>
  </si>
  <si>
    <t>23979134WACP998814901</t>
  </si>
  <si>
    <t>udennaka@gmail.com</t>
  </si>
  <si>
    <t>UDENNAKA</t>
  </si>
  <si>
    <t>Chimezie</t>
  </si>
  <si>
    <t>Calistus</t>
  </si>
  <si>
    <t xml:space="preserve">Nnamdi Azikiwe University teaching hospital nnewi </t>
  </si>
  <si>
    <t>6616135WACP550121244</t>
  </si>
  <si>
    <t>ADEYEMO</t>
  </si>
  <si>
    <t>victorobisomtochi@gmail.com</t>
  </si>
  <si>
    <t>VICTOR-OBI</t>
  </si>
  <si>
    <t>Somtochi</t>
  </si>
  <si>
    <t>Promise</t>
  </si>
  <si>
    <t>Agbara Estate, Ogun State</t>
  </si>
  <si>
    <t>Babcock University</t>
  </si>
  <si>
    <t>08137051155</t>
  </si>
  <si>
    <t>23974137WACP517214281</t>
  </si>
  <si>
    <t>Uche</t>
  </si>
  <si>
    <t>akanmuolaoluwa99@yahoo.com</t>
  </si>
  <si>
    <t>AKANMU</t>
  </si>
  <si>
    <t xml:space="preserve">Wasiu </t>
  </si>
  <si>
    <t>No 18 Alhaji Azeez street Mafoluku Oshodi Ikeja Lagos</t>
  </si>
  <si>
    <t xml:space="preserve">Lagos State University Teaching Hospital </t>
  </si>
  <si>
    <t>1785139WACP610201396</t>
  </si>
  <si>
    <t>dr.eselemondi@gmail.com</t>
  </si>
  <si>
    <t>ESELEMONDI</t>
  </si>
  <si>
    <t>Amos</t>
  </si>
  <si>
    <t>Arebimo</t>
  </si>
  <si>
    <t>Behind prison Okaka Yenagoa Bayelsa state</t>
  </si>
  <si>
    <t>University of Port Harcourt</t>
  </si>
  <si>
    <t>07038832035</t>
  </si>
  <si>
    <t>19228140WACP5024995</t>
  </si>
  <si>
    <t>roseviday@gmail.com</t>
  </si>
  <si>
    <t>YAWSON</t>
  </si>
  <si>
    <t>Rosevida</t>
  </si>
  <si>
    <t>Akyeama A</t>
  </si>
  <si>
    <t>+220 3187877</t>
  </si>
  <si>
    <t>Polyclinic</t>
  </si>
  <si>
    <t>24030141WACP181319534</t>
  </si>
  <si>
    <t>kemix19@gmail.com</t>
  </si>
  <si>
    <t>ALESINLOYE</t>
  </si>
  <si>
    <t>Oluwakemi</t>
  </si>
  <si>
    <t>Temitayo</t>
  </si>
  <si>
    <t>No 11, Church Road Agwanserki Orozo Abuja.</t>
  </si>
  <si>
    <t>National Hospital Abuja.</t>
  </si>
  <si>
    <t>08081445906</t>
  </si>
  <si>
    <t>22577142WACP875581860</t>
  </si>
  <si>
    <t>emekaonukogu@yahoo.com</t>
  </si>
  <si>
    <t>ONUKOGU</t>
  </si>
  <si>
    <t>Emeka</t>
  </si>
  <si>
    <t>Philip</t>
  </si>
  <si>
    <t>UCHENDU HOSPITAL, 83 DOUGLAS ROAD, OWERRI, IMO STATE, NIGERIA</t>
  </si>
  <si>
    <t>IMO STATE UNIVERSITY</t>
  </si>
  <si>
    <t>4163143WACP580223447</t>
  </si>
  <si>
    <t>esthermuomareghen@gmail.com</t>
  </si>
  <si>
    <t>MUOMAREGHEN</t>
  </si>
  <si>
    <t>Esther</t>
  </si>
  <si>
    <t>Ogheneufuoma</t>
  </si>
  <si>
    <t>Dr Asemota&amp;#039;s Compound Behind University of Abuja Teaching hospital, Gwagwalada, Abuja</t>
  </si>
  <si>
    <t>Southwestern University Phinma, Philippines</t>
  </si>
  <si>
    <t>08141272514</t>
  </si>
  <si>
    <t>24105144WACP301081023</t>
  </si>
  <si>
    <t>idowuoluwasegun7271@gmail.com</t>
  </si>
  <si>
    <t>IDOWU</t>
  </si>
  <si>
    <t>oluwasegun</t>
  </si>
  <si>
    <t>toluwase</t>
  </si>
  <si>
    <t>no.1, oja-iya street, taiwo road, ilorin</t>
  </si>
  <si>
    <t>07026460216</t>
  </si>
  <si>
    <t>24078145WACP522203933</t>
  </si>
  <si>
    <t>asadeeq06@gmail.com</t>
  </si>
  <si>
    <t>HARUNA</t>
  </si>
  <si>
    <t>Abubakar</t>
  </si>
  <si>
    <t>Musa</t>
  </si>
  <si>
    <t>Yan Awaki, Unguwa Uku</t>
  </si>
  <si>
    <t>Bayero University Kano</t>
  </si>
  <si>
    <t>08067735437</t>
  </si>
  <si>
    <t>24098146WACP55058728</t>
  </si>
  <si>
    <t>mssfertymer96@yahoo.com</t>
  </si>
  <si>
    <t>MUHAMMAD</t>
  </si>
  <si>
    <t>Naima</t>
  </si>
  <si>
    <t>No 6 Bauchi Road Gra Birnin Kebbi, Kebbi staye</t>
  </si>
  <si>
    <t>Sir Yahaya Memorial Hospital</t>
  </si>
  <si>
    <t>24080147WACP474731585</t>
  </si>
  <si>
    <t>ese1ujevs@gmail.com</t>
  </si>
  <si>
    <t>UJEVBIRUVBE</t>
  </si>
  <si>
    <t>Ese-Oghene</t>
  </si>
  <si>
    <t>Gift</t>
  </si>
  <si>
    <t>No. 11 Ekinigbo Street, Off NTA link road, Rumuigbo Port Harcourt Rivers State</t>
  </si>
  <si>
    <t>Afe Babalola University</t>
  </si>
  <si>
    <t>09060156113</t>
  </si>
  <si>
    <t>23906148WACP923609115</t>
  </si>
  <si>
    <t>mrabdulmajidmuhammad@gmail.com</t>
  </si>
  <si>
    <t>ISA</t>
  </si>
  <si>
    <t>Abdulmajid</t>
  </si>
  <si>
    <t>Muhammad</t>
  </si>
  <si>
    <t>D17 Dabo Aliyu Housing Estate Damaturu Yobe State</t>
  </si>
  <si>
    <t>Yobe State University Teaching Hospital</t>
  </si>
  <si>
    <t>24119149WACP848156799</t>
  </si>
  <si>
    <t>ojoboruk@gmail.com</t>
  </si>
  <si>
    <t>OJOBOR</t>
  </si>
  <si>
    <t>Blessing</t>
  </si>
  <si>
    <t>Ukamaka</t>
  </si>
  <si>
    <t>30 Onwuakpa Street, Marlum Quarters, Trans-ekulu, Enugu State</t>
  </si>
  <si>
    <t>Enugu State University of Science and Technology</t>
  </si>
  <si>
    <t>07062115526</t>
  </si>
  <si>
    <t>24123150WACP71745179</t>
  </si>
  <si>
    <t>victoriaanele@gmail.com</t>
  </si>
  <si>
    <t>UCHE</t>
  </si>
  <si>
    <t>Victoria</t>
  </si>
  <si>
    <t>Onyinyechi</t>
  </si>
  <si>
    <t>6 Eko ATUGE Close off LASU Road, Isheri Olofin, Alimosho Local Government Area, Lagos State, Nigeria.</t>
  </si>
  <si>
    <t>Badagry General Hospital, Nigeria.</t>
  </si>
  <si>
    <t>08033879364</t>
  </si>
  <si>
    <t>24102151WACP845461484</t>
  </si>
  <si>
    <t>papatty2008@yahoo.com</t>
  </si>
  <si>
    <t>KOREDE</t>
  </si>
  <si>
    <t>Oluwatosin</t>
  </si>
  <si>
    <t>6 Oreniwon street off Agbe Road Abule Egba</t>
  </si>
  <si>
    <t>University of Calabar</t>
  </si>
  <si>
    <t>08033287669</t>
  </si>
  <si>
    <t>24121152WACP992077105</t>
  </si>
  <si>
    <t>chinenyeharrison2009@gmail.com</t>
  </si>
  <si>
    <t xml:space="preserve">HARRISON-IKWEGBU </t>
  </si>
  <si>
    <t>Department of Medicine UNTH Ituku Ozalla Enugu</t>
  </si>
  <si>
    <t>UNTH Ituku Ozalla Enugu</t>
  </si>
  <si>
    <t>5174153WACP998167146</t>
  </si>
  <si>
    <t>bimbec@yahoo.com</t>
  </si>
  <si>
    <t xml:space="preserve">IDOWU </t>
  </si>
  <si>
    <t xml:space="preserve">abimbola </t>
  </si>
  <si>
    <t xml:space="preserve">rebecca </t>
  </si>
  <si>
    <t>14 Ayanbadejo street ikosi ketu</t>
  </si>
  <si>
    <t>LAGOS STATE UNIVERSITY TEACHING HOSPITAL [LASUTH]</t>
  </si>
  <si>
    <t>07030364300</t>
  </si>
  <si>
    <t>19459154WACP931176607</t>
  </si>
  <si>
    <t>Maxnuel316@gmail.com</t>
  </si>
  <si>
    <t>ILOMBU</t>
  </si>
  <si>
    <t>AMADI</t>
  </si>
  <si>
    <t>MAXWELL</t>
  </si>
  <si>
    <t>No 15 Ifeanyichukwu Nwagbo drive, Infant Jesus. Anwai road. Asaba Delta state</t>
  </si>
  <si>
    <t>Federal Medical Centre Asaba</t>
  </si>
  <si>
    <t>08065377258</t>
  </si>
  <si>
    <t>GHWACP432511741</t>
  </si>
  <si>
    <t>kamphin6@gmail.com</t>
  </si>
  <si>
    <t xml:space="preserve">MUOJIUBA </t>
  </si>
  <si>
    <t xml:space="preserve">Kambiri </t>
  </si>
  <si>
    <t>Phina</t>
  </si>
  <si>
    <t>30D Udensi Street, Abakaliki Ebonyi State.</t>
  </si>
  <si>
    <t>Alex Ekwueme Federal University  Teaching Hospital,  Abakaliki</t>
  </si>
  <si>
    <t>7556156WACP1425397</t>
  </si>
  <si>
    <t>abikoyeebunoluwa@gmail.com</t>
  </si>
  <si>
    <t>ABIKOYE</t>
  </si>
  <si>
    <t>ebunoluwa</t>
  </si>
  <si>
    <t>modesayo</t>
  </si>
  <si>
    <t>12 Gbenga Olatunji, Ejigbo, Lagos</t>
  </si>
  <si>
    <t>Isolo General Hospital</t>
  </si>
  <si>
    <t>08108772442</t>
  </si>
  <si>
    <t>24114157WACP777125374</t>
  </si>
  <si>
    <t>couragedogbey@ymail.com</t>
  </si>
  <si>
    <t>DOGBE</t>
  </si>
  <si>
    <t>Courage</t>
  </si>
  <si>
    <t>Kwashie</t>
  </si>
  <si>
    <t>GCA0959 Jorbies estate Tuba -Kasoa</t>
  </si>
  <si>
    <t>Bemuah Royal Hospital</t>
  </si>
  <si>
    <t>Ghana</t>
  </si>
  <si>
    <t>0242535583</t>
  </si>
  <si>
    <t>Accra</t>
  </si>
  <si>
    <t>GHWACP999745214</t>
  </si>
  <si>
    <t>jamenoflondon14@gmail.com</t>
  </si>
  <si>
    <t>Jamiyu</t>
  </si>
  <si>
    <t>Ojo</t>
  </si>
  <si>
    <t>Department of Medicine UITH Ilorin</t>
  </si>
  <si>
    <t>University of Ilorin Teaching Hospital, Ilorin Kwara State</t>
  </si>
  <si>
    <t>3930159WACP927283682</t>
  </si>
  <si>
    <t>Kunsky2002@yahoo.com</t>
  </si>
  <si>
    <t>KOLADE</t>
  </si>
  <si>
    <t>Ibrahim</t>
  </si>
  <si>
    <t>Adekunle</t>
  </si>
  <si>
    <t>Federal University of Health Sciences Teaching Hospital 5 SULE KATAGUM ROAD P.M.B 005  Azare Bauchi state</t>
  </si>
  <si>
    <t>P.M.B 005 AZARE BAUCHI STATE</t>
  </si>
  <si>
    <t>6463160WACP618402314</t>
  </si>
  <si>
    <t>alphonseametame@gmail.com</t>
  </si>
  <si>
    <t>AMETAME</t>
  </si>
  <si>
    <t>ALPHONSE</t>
  </si>
  <si>
    <t>AWUKU</t>
  </si>
  <si>
    <t>PRESBYTERIAN HOSPITAL, AGOGO</t>
  </si>
  <si>
    <t>GHWACP502954021</t>
  </si>
  <si>
    <t>akuakurosemary@yahoo.com</t>
  </si>
  <si>
    <t>AKUAKU</t>
  </si>
  <si>
    <t xml:space="preserve">Rosemary </t>
  </si>
  <si>
    <t>Sefakor</t>
  </si>
  <si>
    <t>Korle Bu Teaching Hospital</t>
  </si>
  <si>
    <t>0242065922</t>
  </si>
  <si>
    <t>GHWACP982873482</t>
  </si>
  <si>
    <t>dapoetnaanep@gmail.com</t>
  </si>
  <si>
    <t>DAPOET</t>
  </si>
  <si>
    <t>Naanep</t>
  </si>
  <si>
    <t>Tangame</t>
  </si>
  <si>
    <t>D11 harmony estate Galadimawa Abuja</t>
  </si>
  <si>
    <t>King Ceasor University Kampala Uganda</t>
  </si>
  <si>
    <t>09125940375</t>
  </si>
  <si>
    <t>23980163WACP564670355</t>
  </si>
  <si>
    <t>ajanakuolamiji@gmail.com</t>
  </si>
  <si>
    <t>Ajanaku</t>
  </si>
  <si>
    <t>Olamiji</t>
  </si>
  <si>
    <t>Omotayo</t>
  </si>
  <si>
    <t>Flat 10 Hillcrest apartment Jericho Ibadan.</t>
  </si>
  <si>
    <t>University College Hospital</t>
  </si>
  <si>
    <t>08032100335</t>
  </si>
  <si>
    <t>24051164WACP211629653</t>
  </si>
  <si>
    <t>veetee2010@gmail.com</t>
  </si>
  <si>
    <t>PREMPEH</t>
  </si>
  <si>
    <t>Kwabena Taa Street, block D plot 30</t>
  </si>
  <si>
    <t>St. Martin?s Catholic Hospital</t>
  </si>
  <si>
    <t>0592621024</t>
  </si>
  <si>
    <t>22289165WACP613493059</t>
  </si>
  <si>
    <t>viviankwasau@yahoo.com</t>
  </si>
  <si>
    <t xml:space="preserve">KWASAU </t>
  </si>
  <si>
    <t xml:space="preserve">Vivian </t>
  </si>
  <si>
    <t xml:space="preserve">No 8 Dariya Street Ung boro Sabo Tasha Kaduna </t>
  </si>
  <si>
    <t xml:space="preserve">University of medicine and pharmacy Carol Davila Bucharest Romania </t>
  </si>
  <si>
    <t>09071536038</t>
  </si>
  <si>
    <t>23786166WACP273173889</t>
  </si>
  <si>
    <t>amarachiudonna@gmail.com</t>
  </si>
  <si>
    <t>UDONNA-OGBUE</t>
  </si>
  <si>
    <t>Amarachi</t>
  </si>
  <si>
    <t>Faith</t>
  </si>
  <si>
    <t>7 cepogate ubommiri owerri</t>
  </si>
  <si>
    <t>Nnamdi Azikiwe University Teaching Hospital Nnewi</t>
  </si>
  <si>
    <t>08039192324</t>
  </si>
  <si>
    <t>24154167WACP479249590</t>
  </si>
  <si>
    <t>ifeoma_oli@yahoo.com</t>
  </si>
  <si>
    <t>OLI</t>
  </si>
  <si>
    <t>Ifeoma</t>
  </si>
  <si>
    <t>10 Kaltungo street, Garki 2 Abuja, FCT Nigeria</t>
  </si>
  <si>
    <t>University of Jos</t>
  </si>
  <si>
    <t>24152168WACP544692828</t>
  </si>
  <si>
    <t>sambankole01@gmail.com</t>
  </si>
  <si>
    <t>BANKOLE</t>
  </si>
  <si>
    <t>Oluwafemi</t>
  </si>
  <si>
    <t>Samuel</t>
  </si>
  <si>
    <t>No 2,Temidire Street, Adebayo, Ado-Ekiti</t>
  </si>
  <si>
    <t>Ekiti State University Teaching Hospital</t>
  </si>
  <si>
    <t>07068245393</t>
  </si>
  <si>
    <t>24156169WACP818021374</t>
  </si>
  <si>
    <t>onyekachianyiam1@gmail.com</t>
  </si>
  <si>
    <t>UMOKORO</t>
  </si>
  <si>
    <t>Onyekachi</t>
  </si>
  <si>
    <t>Uzodinma</t>
  </si>
  <si>
    <t>No 2SD4 Beaufort court, Sabon Lugbe, Abuja.</t>
  </si>
  <si>
    <t xml:space="preserve">Federal Medical Center Jabi Abuja </t>
  </si>
  <si>
    <t>09060837879</t>
  </si>
  <si>
    <t>6428170WACP933201685</t>
  </si>
  <si>
    <t>melissaoduro@rocketmail.com</t>
  </si>
  <si>
    <t>ODURO</t>
  </si>
  <si>
    <t>Melissa</t>
  </si>
  <si>
    <t>Accra, Ghana</t>
  </si>
  <si>
    <t>0274801695</t>
  </si>
  <si>
    <t>GHWACP920173350</t>
  </si>
  <si>
    <t>kaddy311@gmail.com</t>
  </si>
  <si>
    <t>OGUNSOLA</t>
  </si>
  <si>
    <t>Hadijat</t>
  </si>
  <si>
    <t>Ayoka</t>
  </si>
  <si>
    <t>22 Yaya Baale Street Iyana Iyesi ,Ota Ogun State</t>
  </si>
  <si>
    <t>Olabisi Onabanjo University Teaching Hospital,Sagamu</t>
  </si>
  <si>
    <t>23961172WACP433132207</t>
  </si>
  <si>
    <t>hannlisaa@gmail.com</t>
  </si>
  <si>
    <t>AKUNYUMU-TETTEH</t>
  </si>
  <si>
    <t>Hannah-lisa</t>
  </si>
  <si>
    <t>GPHA clinic, 488, Tema. Ghana.</t>
  </si>
  <si>
    <t>GPHA clinic</t>
  </si>
  <si>
    <t>0246163816</t>
  </si>
  <si>
    <t>21864173WACP154580969</t>
  </si>
  <si>
    <t>victoraasa@gmail.com</t>
  </si>
  <si>
    <t>AASA</t>
  </si>
  <si>
    <t>Gabriel</t>
  </si>
  <si>
    <t>Number 4, adjacent Adventure school, Ita- Elepa, Ilorin, Kwara state.</t>
  </si>
  <si>
    <t>College of Health Sciences, University of Ilorin, Ilorin, Nigeria.</t>
  </si>
  <si>
    <t>08146200372</t>
  </si>
  <si>
    <t>23933174WACP633779215</t>
  </si>
  <si>
    <t>dryung95@gmail.com</t>
  </si>
  <si>
    <t>OLANIYAN</t>
  </si>
  <si>
    <t>Steve</t>
  </si>
  <si>
    <t>Tope-Femi</t>
  </si>
  <si>
    <t>Hospital Close, Epe, Nigeria</t>
  </si>
  <si>
    <t>London road, iragushi</t>
  </si>
  <si>
    <t>07037479004</t>
  </si>
  <si>
    <t>23953175WACP791189217</t>
  </si>
  <si>
    <t>drifeomachukwu@gmail.com</t>
  </si>
  <si>
    <t>IFEOMA</t>
  </si>
  <si>
    <t>ONYIA</t>
  </si>
  <si>
    <t>FELICIA</t>
  </si>
  <si>
    <t>UNIVERSITY OF NIGERIA TEACHING HOSPITAL ITUKU-OZALLA PMB 01129, ENUGU</t>
  </si>
  <si>
    <t xml:space="preserve">Enugu state university teaching hospital parklane Enugu </t>
  </si>
  <si>
    <t>8361176WACP98356801</t>
  </si>
  <si>
    <t>stephenjeremiah262@gmail.com</t>
  </si>
  <si>
    <t xml:space="preserve">JEREMIAH </t>
  </si>
  <si>
    <t xml:space="preserve">Stephen </t>
  </si>
  <si>
    <t xml:space="preserve">Abubakar Tafawa Balewa University Teaching Hospital Bauchi State </t>
  </si>
  <si>
    <t>08106278011</t>
  </si>
  <si>
    <t>23098177WACP208873620</t>
  </si>
  <si>
    <t>aishatukaumi05@gmail.com</t>
  </si>
  <si>
    <t>MAINA</t>
  </si>
  <si>
    <t>Aisha</t>
  </si>
  <si>
    <t>Kaumi</t>
  </si>
  <si>
    <t>No.2 Talba road, new GRA, Maiduguri Borno State</t>
  </si>
  <si>
    <t>09035734547</t>
  </si>
  <si>
    <t>22989178WACP519417785</t>
  </si>
  <si>
    <t>duduemmanuelruth@gmail.com</t>
  </si>
  <si>
    <t>EMMANUEL</t>
  </si>
  <si>
    <t>Ruth</t>
  </si>
  <si>
    <t>Dudu</t>
  </si>
  <si>
    <t>No. 2 Sultan Abubakar Road, Birnin Kebbi</t>
  </si>
  <si>
    <t>Federal Teaching Hospital Birnin Kebbi, Kebbi State</t>
  </si>
  <si>
    <t>09030333974</t>
  </si>
  <si>
    <t>23994179WACP145087513</t>
  </si>
  <si>
    <t>abusharon11@gmail.com</t>
  </si>
  <si>
    <t>MOKAH</t>
  </si>
  <si>
    <t>Nkiru</t>
  </si>
  <si>
    <t>Sharon</t>
  </si>
  <si>
    <t xml:space="preserve">3A Hassan Katsina Street, Army Estate,Kurudu, Abuja Kurudu </t>
  </si>
  <si>
    <t xml:space="preserve">National Hospital </t>
  </si>
  <si>
    <t>08067368148</t>
  </si>
  <si>
    <t>22519180WACP808862766</t>
  </si>
  <si>
    <t>aiwanfoosamede@gmail.com</t>
  </si>
  <si>
    <t>AIWANFO</t>
  </si>
  <si>
    <t>LYNDA</t>
  </si>
  <si>
    <t>OSAMEDE</t>
  </si>
  <si>
    <t>29, I.Z EBOSE STREET, OFF UPPER SAKPONBA ROAD, BENIN CITY, EDO STATE.</t>
  </si>
  <si>
    <t>CENTRAL HOSPITAL, BENIN CITY, EDO STATE, NIGERIA.</t>
  </si>
  <si>
    <t>08078324941</t>
  </si>
  <si>
    <t>24172181WACP709991799</t>
  </si>
  <si>
    <t>evangel.andy@gmail.com</t>
  </si>
  <si>
    <t>OKOSUN</t>
  </si>
  <si>
    <t>Andy</t>
  </si>
  <si>
    <t>Irhabor</t>
  </si>
  <si>
    <t>3 G.Okosun Avenue, Off Lucky Way, Ikpoba Hill, Benin City</t>
  </si>
  <si>
    <t>General Hospital Jakusko</t>
  </si>
  <si>
    <t>09069555465</t>
  </si>
  <si>
    <t>24173182WACP682884849</t>
  </si>
  <si>
    <t>adedejimichael103@gmail.com</t>
  </si>
  <si>
    <t>ADEDEJI</t>
  </si>
  <si>
    <t>Oluwaseyi</t>
  </si>
  <si>
    <t>No 21/23 Unity Close ,Off Elerinko Ogo oluwa Gas Line, Ijoko Road ,Sango Ota ,Ogun State Nigeria</t>
  </si>
  <si>
    <t>University of Benin, Benin City,Edo State, Nigeria</t>
  </si>
  <si>
    <t>24127183WACP182902507</t>
  </si>
  <si>
    <t>chukwumachigbu@gmail.com</t>
  </si>
  <si>
    <t>CHIGBU</t>
  </si>
  <si>
    <t>Chukwuma</t>
  </si>
  <si>
    <t>Block 5, Efon street by Friday mosque maroko pw kubwa</t>
  </si>
  <si>
    <t>Frsc medical center Gwarinpa Abuja</t>
  </si>
  <si>
    <t>08037915798</t>
  </si>
  <si>
    <t>24151184WACP4099161</t>
  </si>
  <si>
    <t>maryambashir596@gmail.com</t>
  </si>
  <si>
    <t>UMAR</t>
  </si>
  <si>
    <t>Bashir</t>
  </si>
  <si>
    <t>Aminu Kano Teaching Hospital, Kano</t>
  </si>
  <si>
    <t>2907185WACP149919743</t>
  </si>
  <si>
    <t>oichoku@yahoo.com</t>
  </si>
  <si>
    <t>ICHOKU</t>
  </si>
  <si>
    <t xml:space="preserve">Onyebuchi </t>
  </si>
  <si>
    <t>Mathias</t>
  </si>
  <si>
    <t>Late Chief Benneth Ichoku compound, Alaohia Isulo,Orumba South Local Government, Anambra State</t>
  </si>
  <si>
    <t xml:space="preserve">COOUTH </t>
  </si>
  <si>
    <t>08037046212</t>
  </si>
  <si>
    <t>20793186WACP747261142</t>
  </si>
  <si>
    <t>Hildaudohe@gmail.com</t>
  </si>
  <si>
    <t>UDOH</t>
  </si>
  <si>
    <t>Hilda</t>
  </si>
  <si>
    <t>Edem</t>
  </si>
  <si>
    <t>Nsadup close Garki Abuja</t>
  </si>
  <si>
    <t>Madonna University Rivers state.</t>
  </si>
  <si>
    <t>07067659184</t>
  </si>
  <si>
    <t>24021187WACP999302558</t>
  </si>
  <si>
    <t>sukuniconn@gmail.com</t>
  </si>
  <si>
    <t>YUSUF</t>
  </si>
  <si>
    <t>Abdulmalik</t>
  </si>
  <si>
    <t>No 119, Gwammaja Qtrs kofar Mazugal road, kano Nigeria</t>
  </si>
  <si>
    <t>Muhammad Abdullahi Wase Teaching Hospital, Kano State Nigeria</t>
  </si>
  <si>
    <t>24164188WACP852298787</t>
  </si>
  <si>
    <t>jamesufomski@gmail.com</t>
  </si>
  <si>
    <t xml:space="preserve">JAMES </t>
  </si>
  <si>
    <t>Ufuoma</t>
  </si>
  <si>
    <t>Emmanuel</t>
  </si>
  <si>
    <t>Akenfa 2 , Yenagoa</t>
  </si>
  <si>
    <t>Niger Delta University</t>
  </si>
  <si>
    <t>08134925206</t>
  </si>
  <si>
    <t>18493189WACP20331106</t>
  </si>
  <si>
    <t>adiibokajag@yahoo.com</t>
  </si>
  <si>
    <t>AKANCHIIMANYORO</t>
  </si>
  <si>
    <t>John</t>
  </si>
  <si>
    <t>Gerald Adiiboka</t>
  </si>
  <si>
    <t>TAMALE TEACHING HOSPITAL P.O.BOX 16, TAMALE GHANA</t>
  </si>
  <si>
    <t>KORLE BU TEACHING HOSPITAL</t>
  </si>
  <si>
    <t>242163766/0206920409</t>
  </si>
  <si>
    <t>GHWACP183361957</t>
  </si>
  <si>
    <t>mahutafatima50@gmail.com</t>
  </si>
  <si>
    <t>HUSSAIN</t>
  </si>
  <si>
    <t>Mahuta</t>
  </si>
  <si>
    <t>No 11 bengahzi street wuse zone 4</t>
  </si>
  <si>
    <t>Nile University</t>
  </si>
  <si>
    <t>08064600433</t>
  </si>
  <si>
    <t>24136191WACP37216693</t>
  </si>
  <si>
    <t>adebisimargaret10@gmail.com</t>
  </si>
  <si>
    <t>ADEBISI</t>
  </si>
  <si>
    <t>Margaret</t>
  </si>
  <si>
    <t>Olabisi</t>
  </si>
  <si>
    <t>24 Barrister Raphael himikaye pipeline ilorin</t>
  </si>
  <si>
    <t>Kwara state University teaching hospital</t>
  </si>
  <si>
    <t>08023524513</t>
  </si>
  <si>
    <t>24095192WACP721750551</t>
  </si>
  <si>
    <t>ifioraarinze@gmail.com</t>
  </si>
  <si>
    <t>IFIORA</t>
  </si>
  <si>
    <t>franklin</t>
  </si>
  <si>
    <t>arinze</t>
  </si>
  <si>
    <t>07065647462</t>
  </si>
  <si>
    <t>371193WACP304923221</t>
  </si>
  <si>
    <t>narteybridget90.bn@gmail.com</t>
  </si>
  <si>
    <t>NARTEY</t>
  </si>
  <si>
    <t>Bridget</t>
  </si>
  <si>
    <t>Naatekwour</t>
  </si>
  <si>
    <t>1st Nana Kanfonik, Accra, Ghana</t>
  </si>
  <si>
    <t>Rinat Clinic</t>
  </si>
  <si>
    <t>GHWACP942418655</t>
  </si>
  <si>
    <t>wisdomharry70@yahoo.com</t>
  </si>
  <si>
    <t>HARRY</t>
  </si>
  <si>
    <t xml:space="preserve">Wisdom </t>
  </si>
  <si>
    <t>Karibi</t>
  </si>
  <si>
    <t>University of Port Harcourt Teaching Hospital, Port Harcourt</t>
  </si>
  <si>
    <t>08063767452</t>
  </si>
  <si>
    <t>18109195WACP427968109</t>
  </si>
  <si>
    <t>nyiputwen@gmail.com</t>
  </si>
  <si>
    <t>ANDEZE</t>
  </si>
  <si>
    <t>Nyiputwen</t>
  </si>
  <si>
    <t>Abel</t>
  </si>
  <si>
    <t>Federal Medical Centre Jalingo</t>
  </si>
  <si>
    <t>08030825843</t>
  </si>
  <si>
    <t>24073196WACP269554076</t>
  </si>
  <si>
    <t>oliveronuche@gmail.com</t>
  </si>
  <si>
    <t>OLIVER</t>
  </si>
  <si>
    <t>ONUCHE</t>
  </si>
  <si>
    <t>IGOCHE</t>
  </si>
  <si>
    <t>Road 5,flat 2 haske quarters lamingo Jos North plateau state</t>
  </si>
  <si>
    <t xml:space="preserve">Jos university teaching hospital </t>
  </si>
  <si>
    <t>07062529381</t>
  </si>
  <si>
    <t>7574197WACP449818191</t>
  </si>
  <si>
    <t>drnusiratyusuf@gmail.com</t>
  </si>
  <si>
    <t>Nusirat</t>
  </si>
  <si>
    <t>Oluwaseun-Ajibade</t>
  </si>
  <si>
    <t>BARAU DIKKO TEACHING HOSPITAL, P. O. BOX, 9727 KADUNA</t>
  </si>
  <si>
    <t>BARAU DIKKO TEACHING HOSPITAL, KADUNA</t>
  </si>
  <si>
    <t>07060470964</t>
  </si>
  <si>
    <t>1854198WACP752221255</t>
  </si>
  <si>
    <t>UDEH</t>
  </si>
  <si>
    <t>Ugochukwu</t>
  </si>
  <si>
    <t>www.drsniper@gmail.com</t>
  </si>
  <si>
    <t>AJAYI</t>
  </si>
  <si>
    <t xml:space="preserve">Olawumi </t>
  </si>
  <si>
    <t>dDOBs, Paediatric Department, Uth, Osogbo</t>
  </si>
  <si>
    <t>Uniosun Teaching Hospital</t>
  </si>
  <si>
    <t>09039658801</t>
  </si>
  <si>
    <t>190091100WACP333560435</t>
  </si>
  <si>
    <t>onungwewuwu@gmail.com</t>
  </si>
  <si>
    <t>ONUNGWE</t>
  </si>
  <si>
    <t>Onungwe</t>
  </si>
  <si>
    <t>Wuwu</t>
  </si>
  <si>
    <t>Portharcourt, Rivers State</t>
  </si>
  <si>
    <t>Tbilisi state medical university, Tbilisi Georgia</t>
  </si>
  <si>
    <t>07061183989</t>
  </si>
  <si>
    <t>241481101WACP904458915</t>
  </si>
  <si>
    <t>josephgconteh@gmail.com</t>
  </si>
  <si>
    <t>CONTEH</t>
  </si>
  <si>
    <t xml:space="preserve">Joseph </t>
  </si>
  <si>
    <t xml:space="preserve">Gbassay </t>
  </si>
  <si>
    <t>University of Sierra leone teaching hospital complex. Connaught hospital</t>
  </si>
  <si>
    <t xml:space="preserve">University of SierraLeone Teaching Hospital Complex-Connaught </t>
  </si>
  <si>
    <t>Sierra Leone</t>
  </si>
  <si>
    <t>116571102WACP266920733</t>
  </si>
  <si>
    <t>onajiokpejoseph@gmail.com</t>
  </si>
  <si>
    <t>ONAJI</t>
  </si>
  <si>
    <t>Joseph</t>
  </si>
  <si>
    <t>Okpe</t>
  </si>
  <si>
    <t>Block 10, Flat 2, Lapai Street, Area 1 Garki-Abuja, FCT</t>
  </si>
  <si>
    <t>Ahmadu Bello University, Zaria</t>
  </si>
  <si>
    <t>7171103WACP914492383</t>
  </si>
  <si>
    <t>mohdsesugh@yahoo.com</t>
  </si>
  <si>
    <t>MOHAMMED</t>
  </si>
  <si>
    <t>Sesugh</t>
  </si>
  <si>
    <t xml:space="preserve">MOQ Gen OA Azazi Barracks </t>
  </si>
  <si>
    <t>University of Abuja Teaching Hospital</t>
  </si>
  <si>
    <t>08171527854</t>
  </si>
  <si>
    <t>26841104WACP864310040</t>
  </si>
  <si>
    <t>gracenwatu@yahoo.com</t>
  </si>
  <si>
    <t>NWATU</t>
  </si>
  <si>
    <t>Grace</t>
  </si>
  <si>
    <t>Ogechukwu</t>
  </si>
  <si>
    <t>Enugu State University Teaching Hospital (ESUTH), Parklane</t>
  </si>
  <si>
    <t>239641105WACP564044722</t>
  </si>
  <si>
    <t>ayewahbenita93@gmail.com</t>
  </si>
  <si>
    <t>Ayewah</t>
  </si>
  <si>
    <t>Ehiaghe</t>
  </si>
  <si>
    <t>Benita</t>
  </si>
  <si>
    <t>No 19 Camo Avenue Emaudo Ekpoma Edo State Nigeria</t>
  </si>
  <si>
    <t>Irrua Specialist teaching Hospital Edo state Nigeria</t>
  </si>
  <si>
    <t>07043304322</t>
  </si>
  <si>
    <t>242011106WACP590194391</t>
  </si>
  <si>
    <t>farochuks@gmail.com</t>
  </si>
  <si>
    <t>ARO</t>
  </si>
  <si>
    <t>Nwachukwu</t>
  </si>
  <si>
    <t>Frankline</t>
  </si>
  <si>
    <t>Aro&amp;#039;s compound, umueze okwu, ogbalu, Imo State</t>
  </si>
  <si>
    <t>GH, Mangu</t>
  </si>
  <si>
    <t>07051089690</t>
  </si>
  <si>
    <t>241081107WACP303078084</t>
  </si>
  <si>
    <t>echukwuanyim@gmail.com</t>
  </si>
  <si>
    <t>CHUKWUANYIM</t>
  </si>
  <si>
    <t>Ekwutosi</t>
  </si>
  <si>
    <t>Belinda</t>
  </si>
  <si>
    <t>Plot 51 unity estate, Independence Layout, Enugu, Enugu State.</t>
  </si>
  <si>
    <t>Alex Ekwueme Federal University Teaching Hospital Abakaliki  (AE-FUTHA )</t>
  </si>
  <si>
    <t>07036776466</t>
  </si>
  <si>
    <t>206731108WACP979465011</t>
  </si>
  <si>
    <t>willowymedic@gmail.com</t>
  </si>
  <si>
    <t xml:space="preserve">ARIFAYAN </t>
  </si>
  <si>
    <t>Ekiti state university teaching hospital,ado Ekiti. Ekiti State</t>
  </si>
  <si>
    <t>Ekiti state university teaching hospital,ado Ekiti. Ekiti</t>
  </si>
  <si>
    <t>08063687334</t>
  </si>
  <si>
    <t>241701109WACP799630541</t>
  </si>
  <si>
    <t>oizahajara@yahoo.com</t>
  </si>
  <si>
    <t xml:space="preserve">KURE </t>
  </si>
  <si>
    <t>Hajara</t>
  </si>
  <si>
    <t>Ismaila</t>
  </si>
  <si>
    <t>No1 Kunle Suleiman Street Lifecamp Abuja</t>
  </si>
  <si>
    <t>National Hospital Abuja</t>
  </si>
  <si>
    <t>08065896391</t>
  </si>
  <si>
    <t>77981110WACP520763146</t>
  </si>
  <si>
    <t>peacefulken96@gmail.com</t>
  </si>
  <si>
    <t>Akanmu</t>
  </si>
  <si>
    <t>Kehinde</t>
  </si>
  <si>
    <t>No62, zone A, Kuduru extension, Bwari, Abuja</t>
  </si>
  <si>
    <t>Nisa garki hospital Abuja</t>
  </si>
  <si>
    <t>240961111WACP642975978</t>
  </si>
  <si>
    <t>g4358780@gmail.com</t>
  </si>
  <si>
    <t>ADEGOROYE</t>
  </si>
  <si>
    <t>adegboyega</t>
  </si>
  <si>
    <t>Oda odo ogbe</t>
  </si>
  <si>
    <t>Unimedth Ondo</t>
  </si>
  <si>
    <t>08138186187</t>
  </si>
  <si>
    <t>241831112WACP705228353</t>
  </si>
  <si>
    <t>nandombenjamin05@gmail.com</t>
  </si>
  <si>
    <t>BENJAMIN</t>
  </si>
  <si>
    <t>Nandom</t>
  </si>
  <si>
    <t xml:space="preserve"> </t>
  </si>
  <si>
    <t>Department of child health,University of Benin Teaching hospital Benin city,Edo state.</t>
  </si>
  <si>
    <t>Edo State</t>
  </si>
  <si>
    <t>85401113WACP828594933</t>
  </si>
  <si>
    <t>morbbyola@gmail.com</t>
  </si>
  <si>
    <t>OLAPADE</t>
  </si>
  <si>
    <t>yewande</t>
  </si>
  <si>
    <t>omobola</t>
  </si>
  <si>
    <t>Plot 1, Akinwumi street Ashi Ibadan oyo state</t>
  </si>
  <si>
    <t>Kampala international university</t>
  </si>
  <si>
    <t>241821114WACP17035828</t>
  </si>
  <si>
    <t>t_kutin@yahoo.com</t>
  </si>
  <si>
    <t>KUTIN SIAW</t>
  </si>
  <si>
    <t>THEOPHILUS</t>
  </si>
  <si>
    <t>fontomfrom street, Dansoman</t>
  </si>
  <si>
    <t>0541588246</t>
  </si>
  <si>
    <t>241871115WACP996764341</t>
  </si>
  <si>
    <t>iboyitieimo@yahoo.com</t>
  </si>
  <si>
    <t>IBOYITIE</t>
  </si>
  <si>
    <t xml:space="preserve">Imonivwerha </t>
  </si>
  <si>
    <t>jasmine</t>
  </si>
  <si>
    <t>No 1 Agbedia lane, Okirigwe Sapele Delta State</t>
  </si>
  <si>
    <t>Delta State University Teaching Hospital Oghara</t>
  </si>
  <si>
    <t>59081116WACP44442215</t>
  </si>
  <si>
    <t>Fawazomohammed@gmail.com</t>
  </si>
  <si>
    <t>Mohammed</t>
  </si>
  <si>
    <t>Fawaz</t>
  </si>
  <si>
    <t>Flat 5, Block 1, Ijebu Ode close, Area 2, Garki, Abuja</t>
  </si>
  <si>
    <t>Ahmadu Bello University Teaching Hospital</t>
  </si>
  <si>
    <t>08037640872</t>
  </si>
  <si>
    <t>241961117WACP299032302</t>
  </si>
  <si>
    <t>ezemmaifunanya@gmail.com</t>
  </si>
  <si>
    <t xml:space="preserve">EZEMMA </t>
  </si>
  <si>
    <t xml:space="preserve">Ifunanya </t>
  </si>
  <si>
    <t xml:space="preserve">Eberechukwu </t>
  </si>
  <si>
    <t xml:space="preserve">No 6 Odoru opposite TTC Road Nsukka </t>
  </si>
  <si>
    <t xml:space="preserve">Enugu state University college of medicine parklane </t>
  </si>
  <si>
    <t>08066728665</t>
  </si>
  <si>
    <t>235241118WACP703274237</t>
  </si>
  <si>
    <t>nuamah36@gmail.com</t>
  </si>
  <si>
    <t>NUAMAH</t>
  </si>
  <si>
    <t>Kwame</t>
  </si>
  <si>
    <t>Adjei</t>
  </si>
  <si>
    <t xml:space="preserve">37 Military Teaching Hospital </t>
  </si>
  <si>
    <t>GHWACP757246298</t>
  </si>
  <si>
    <t>loveamarchi65@gmail.com</t>
  </si>
  <si>
    <t>CHINYERE</t>
  </si>
  <si>
    <t>Love</t>
  </si>
  <si>
    <t>Enugu state university teaching hospital, parklane</t>
  </si>
  <si>
    <t>07035493816</t>
  </si>
  <si>
    <t>239951120WACP359722231</t>
  </si>
  <si>
    <t>oluchilife@yahoo.com</t>
  </si>
  <si>
    <t>IKE</t>
  </si>
  <si>
    <t xml:space="preserve">Oluchukwu </t>
  </si>
  <si>
    <t>No 40 Nawfia Street, Independence Layout, Enugu</t>
  </si>
  <si>
    <t xml:space="preserve">University of Nigeria Teaching Hospital, Ituku-Ozalla, Enugu. </t>
  </si>
  <si>
    <t>09139281612</t>
  </si>
  <si>
    <t>202581121WACP240675958</t>
  </si>
  <si>
    <t>olajumokeafolabi2@yahoo.co.uk</t>
  </si>
  <si>
    <t>MUHAMMED-BUKOYE</t>
  </si>
  <si>
    <t>Olajumoke</t>
  </si>
  <si>
    <t>Rasheedat</t>
  </si>
  <si>
    <t>Plot 120 Justice Housing Estate, Karsana, Gwarinpa, FCT, Abuja</t>
  </si>
  <si>
    <t>Asokoro District Hospital, FCT Hospitals Management Board,</t>
  </si>
  <si>
    <t>242001122WACP975424977</t>
  </si>
  <si>
    <t>fatywadasuleiman@gmail.com</t>
  </si>
  <si>
    <t>WADA</t>
  </si>
  <si>
    <t>No 148B Efab Estate Lokogoma Abuja</t>
  </si>
  <si>
    <t>International University Of Africa Sudan</t>
  </si>
  <si>
    <t>09065541825</t>
  </si>
  <si>
    <t>240841123WACP255460468</t>
  </si>
  <si>
    <t>olutotan@gmail.com</t>
  </si>
  <si>
    <t>SOBODE</t>
  </si>
  <si>
    <t>Oluwatotan</t>
  </si>
  <si>
    <t>Atanda</t>
  </si>
  <si>
    <t>7, Adekunbi Crescent, Off Allen, Ikeja, Lagos, Nigeria</t>
  </si>
  <si>
    <t>(234)7038542309</t>
  </si>
  <si>
    <t>240761124WACP689418885</t>
  </si>
  <si>
    <t>ojima23@gmail.com</t>
  </si>
  <si>
    <t>Abutu</t>
  </si>
  <si>
    <t>Ojima</t>
  </si>
  <si>
    <t>Jerab Hospital,new Kutunku,Gwagwalada</t>
  </si>
  <si>
    <t>Bingham University</t>
  </si>
  <si>
    <t>07042698114</t>
  </si>
  <si>
    <t>241981125WACP959823215</t>
  </si>
  <si>
    <t>drjalo02@gmail.com</t>
  </si>
  <si>
    <t>JALO</t>
  </si>
  <si>
    <t>No 2 gombole street giwa barrack</t>
  </si>
  <si>
    <t>Islamic University, Uganda</t>
  </si>
  <si>
    <t>09130907740</t>
  </si>
  <si>
    <t>242101126WACP745093550</t>
  </si>
  <si>
    <t>gandu809@gmail.com</t>
  </si>
  <si>
    <t>GANDU</t>
  </si>
  <si>
    <t xml:space="preserve">Alexander </t>
  </si>
  <si>
    <t xml:space="preserve">KM11, Mistaali Zaria road Jos </t>
  </si>
  <si>
    <t xml:space="preserve">JOS UNIVERSITY TEACHING HOSPITAL </t>
  </si>
  <si>
    <t>08148157998</t>
  </si>
  <si>
    <t>231841127WACP696229202</t>
  </si>
  <si>
    <t>toriolani2@gmail.com</t>
  </si>
  <si>
    <t>OLAOSEBIKAN</t>
  </si>
  <si>
    <t>Oluranti</t>
  </si>
  <si>
    <t>Mojisola</t>
  </si>
  <si>
    <t>Federal University of Health Sciences Teaching Hospital Azare, Bauchi State.</t>
  </si>
  <si>
    <t>Federal University of Health Sciences Teaching Hospital, Azare, Bauchi State.</t>
  </si>
  <si>
    <t>07032137522</t>
  </si>
  <si>
    <t>242051128WACP937494329</t>
  </si>
  <si>
    <t>eaashiadey@gmail.com</t>
  </si>
  <si>
    <t>Ashiadey</t>
  </si>
  <si>
    <t>Emefa</t>
  </si>
  <si>
    <t>Abena</t>
  </si>
  <si>
    <t>West Legon, Accra</t>
  </si>
  <si>
    <t>Accra Psychiatric Hospital</t>
  </si>
  <si>
    <t>233 245141511</t>
  </si>
  <si>
    <t>242201129WACP331298205</t>
  </si>
  <si>
    <t>lakesseh@gmail.com</t>
  </si>
  <si>
    <t>AKESSEH</t>
  </si>
  <si>
    <t>lorenda</t>
  </si>
  <si>
    <t>armah</t>
  </si>
  <si>
    <t>P.O.Box 318, Akosombo</t>
  </si>
  <si>
    <t>Korle-bu Teaching Hospital</t>
  </si>
  <si>
    <t>0506828512</t>
  </si>
  <si>
    <t>GHWACP71678617</t>
  </si>
  <si>
    <t>btrixob@gmail.com</t>
  </si>
  <si>
    <t>OBENG</t>
  </si>
  <si>
    <t>Beatrice</t>
  </si>
  <si>
    <t xml:space="preserve">Konama </t>
  </si>
  <si>
    <t>Box KD 356, Kanda, Accra</t>
  </si>
  <si>
    <t>Komfo Anokye Teaching Hospital</t>
  </si>
  <si>
    <t>0205546011</t>
  </si>
  <si>
    <t>GHWACP704177510</t>
  </si>
  <si>
    <t>dranibonifaceikechukwu@gmail.com</t>
  </si>
  <si>
    <t>ANI</t>
  </si>
  <si>
    <t>BONIFACE</t>
  </si>
  <si>
    <t>IKECHUKWU</t>
  </si>
  <si>
    <t>ESUT TEACHING HOSPITAL, PARKLANE ENUGU</t>
  </si>
  <si>
    <t>COLLEGE OF MEDICINE / TEACHING HOSPITAL</t>
  </si>
  <si>
    <t>08064410083</t>
  </si>
  <si>
    <t>241241132WACP589336791</t>
  </si>
  <si>
    <t>hauwakakaah@gmail.com</t>
  </si>
  <si>
    <t>ABUBAKAR</t>
  </si>
  <si>
    <t>Hauwa</t>
  </si>
  <si>
    <t>Kaka</t>
  </si>
  <si>
    <t>no 3 kalu idika kalu street guzape abuja</t>
  </si>
  <si>
    <t>Kharkiv National Medical University</t>
  </si>
  <si>
    <t>241611133WACP573116450</t>
  </si>
  <si>
    <t>asagairene@gmail.com</t>
  </si>
  <si>
    <t>ASAGA NWALI</t>
  </si>
  <si>
    <t>ugochi</t>
  </si>
  <si>
    <t>irene</t>
  </si>
  <si>
    <t xml:space="preserve">Alex - Ekwueme Federal University Teaching Hospital Abakaliki, Ebonyi State. </t>
  </si>
  <si>
    <t>Alex - Ekwueme Federal University Teaching Hospital Abakaliki, Ebonyi State.</t>
  </si>
  <si>
    <t>42241134WACP180463378</t>
  </si>
  <si>
    <t>bbjunique@gmail.com</t>
  </si>
  <si>
    <t>No. 3 katsina close New GRA Bauchi, Bauchi State</t>
  </si>
  <si>
    <t>Abubakar Tafawa Balewa university teaching Hospital</t>
  </si>
  <si>
    <t>08162451141</t>
  </si>
  <si>
    <t>241571135WACP726762687</t>
  </si>
  <si>
    <t>twumasiankrahyaw@gmail.com</t>
  </si>
  <si>
    <t>TWUMASI-ANKRAH</t>
  </si>
  <si>
    <t>Zakaria</t>
  </si>
  <si>
    <t>Plt 3, AK-659-1598, Daban, Melkom Road, Kumasi, Ghana</t>
  </si>
  <si>
    <t>AngloGold Ashanti Health Foundation, Obuasi</t>
  </si>
  <si>
    <t>GHWACP943896314</t>
  </si>
  <si>
    <t>ummiedaura@yahoo.com</t>
  </si>
  <si>
    <t>DAURA</t>
  </si>
  <si>
    <t>Mardiyya</t>
  </si>
  <si>
    <t>Lawal</t>
  </si>
  <si>
    <t>Crown court estate, mabushi, Abuja.</t>
  </si>
  <si>
    <t>Maitama District hospital</t>
  </si>
  <si>
    <t>08139693316</t>
  </si>
  <si>
    <t>241991137WACP505088696</t>
  </si>
  <si>
    <t>michelleakor@gmail.com</t>
  </si>
  <si>
    <t>AKOR</t>
  </si>
  <si>
    <t>Michelle</t>
  </si>
  <si>
    <t>Enuwa</t>
  </si>
  <si>
    <t>K18 Gen Yakubu street Army housing estate phase 5, Kurudu, Abuja</t>
  </si>
  <si>
    <t>Bingham University Karu, Nigeria</t>
  </si>
  <si>
    <t>07057988693</t>
  </si>
  <si>
    <t>240531138WACP735243174</t>
  </si>
  <si>
    <t>oluwamula@gmail.com</t>
  </si>
  <si>
    <t>JUNAID</t>
  </si>
  <si>
    <t>Anuoluwapo</t>
  </si>
  <si>
    <t>Fatimat</t>
  </si>
  <si>
    <t>4 dominion close, glory estate, Ipaja, Lagos</t>
  </si>
  <si>
    <t>Olabisi onabanjo university, Ogun state</t>
  </si>
  <si>
    <t>07063971855</t>
  </si>
  <si>
    <t>241681139WACP154305259</t>
  </si>
  <si>
    <t>mfon02@gmail.com</t>
  </si>
  <si>
    <t>OKON-INYANG</t>
  </si>
  <si>
    <t>Mfonobong</t>
  </si>
  <si>
    <t>Lugbe</t>
  </si>
  <si>
    <t>wuse district hospital</t>
  </si>
  <si>
    <t>08037863399</t>
  </si>
  <si>
    <t>242191140WACP824138133</t>
  </si>
  <si>
    <t>sheriffsualiho@gmail.com</t>
  </si>
  <si>
    <t>SHERIFF</t>
  </si>
  <si>
    <t>Sualiho</t>
  </si>
  <si>
    <t>1 Rita Drive, Mount Sugarloaf, Regent, Freetown</t>
  </si>
  <si>
    <t>College of medicine and Allied Health Sciences-University of Sierra Leone</t>
  </si>
  <si>
    <t>185981141WACP944929661</t>
  </si>
  <si>
    <t>pkamgali@gmail.com</t>
  </si>
  <si>
    <t>GALI</t>
  </si>
  <si>
    <t>Paul</t>
  </si>
  <si>
    <t>Mtaku</t>
  </si>
  <si>
    <t>Pompomari, Askira Close</t>
  </si>
  <si>
    <t>University of Maiduguri</t>
  </si>
  <si>
    <t>09014358399</t>
  </si>
  <si>
    <t>241971142WACP5698964</t>
  </si>
  <si>
    <t>ikechukwuarinze90@gmail.com</t>
  </si>
  <si>
    <t>ARINZE</t>
  </si>
  <si>
    <t>ikechukwu</t>
  </si>
  <si>
    <t>peter</t>
  </si>
  <si>
    <t>PMB 2 GENERAL HOSPITAL MINNA NIGER STATE</t>
  </si>
  <si>
    <t xml:space="preserve">UNIVERSITY OF ABUJA TEACHING HOSPITAL </t>
  </si>
  <si>
    <t>08034317828</t>
  </si>
  <si>
    <t>114211143WACP890602780</t>
  </si>
  <si>
    <t>dapanisile@gmail.com</t>
  </si>
  <si>
    <t>APANISILE</t>
  </si>
  <si>
    <t>Oluwadamilola</t>
  </si>
  <si>
    <t>Oluwaseyi Ruth</t>
  </si>
  <si>
    <t>2,COKER CLOSE OFF BABS OGUNWOLE STREET,NEW OKO-OBA,AGEGE LAGOS</t>
  </si>
  <si>
    <t>FEDERAL MEDICAL CENTRE, GUSAU</t>
  </si>
  <si>
    <t>GHWACP784251584</t>
  </si>
  <si>
    <t>eduah40@yahoo.com</t>
  </si>
  <si>
    <t>DUAH</t>
  </si>
  <si>
    <t>Plot 1 block Q Abuakwa</t>
  </si>
  <si>
    <t>ASUTIFI NORTH DISTRICT HOSPITAL, AHAFO KENYASI</t>
  </si>
  <si>
    <t>0555134288</t>
  </si>
  <si>
    <t>GHWACP808203310</t>
  </si>
  <si>
    <t>lamidi346@gmail.com</t>
  </si>
  <si>
    <t>LAMIDI</t>
  </si>
  <si>
    <t>Hussein</t>
  </si>
  <si>
    <t>Department of Medical Microbiology, AKTH, Kano</t>
  </si>
  <si>
    <t xml:space="preserve">Akth </t>
  </si>
  <si>
    <t>64831146WACP829950153</t>
  </si>
  <si>
    <t>anubias43@gmail.com</t>
  </si>
  <si>
    <t>DIKE</t>
  </si>
  <si>
    <t>Chinaza</t>
  </si>
  <si>
    <t>Kenneth</t>
  </si>
  <si>
    <t>No. 7 Noble Crescent, Irete, Owerri West Lga, Imo state, Nigeria.</t>
  </si>
  <si>
    <t>Federal Teaching Hospital, Owerri.</t>
  </si>
  <si>
    <t>09032310232</t>
  </si>
  <si>
    <t>241131147WACP799616986</t>
  </si>
  <si>
    <t>eduammanuela.em@gmail.com</t>
  </si>
  <si>
    <t>Eduam</t>
  </si>
  <si>
    <t>Manuela</t>
  </si>
  <si>
    <t>0505521399/0541603327</t>
  </si>
  <si>
    <t>University of Ghana Medical Centre</t>
  </si>
  <si>
    <t>GHWACP733723889</t>
  </si>
  <si>
    <t>estherowusunyarko@yahoo.com</t>
  </si>
  <si>
    <t xml:space="preserve"> NYARKO</t>
  </si>
  <si>
    <t xml:space="preserve">Esther </t>
  </si>
  <si>
    <t>OWUSU</t>
  </si>
  <si>
    <t xml:space="preserve">P.O Box RY 176, Adum Kumasi </t>
  </si>
  <si>
    <t xml:space="preserve">Komfo Anokye Teaching Hospital </t>
  </si>
  <si>
    <t>0557724511</t>
  </si>
  <si>
    <t>GHWACP791708328</t>
  </si>
  <si>
    <t>yusadey@gmail.com</t>
  </si>
  <si>
    <t xml:space="preserve">ADEBAYO </t>
  </si>
  <si>
    <t xml:space="preserve">YUSUFF </t>
  </si>
  <si>
    <t xml:space="preserve">AKINTUNDE </t>
  </si>
  <si>
    <t xml:space="preserve">No 13 oke Ayo Area Ido Osun, Osun State </t>
  </si>
  <si>
    <t xml:space="preserve">Ladoke Akintola University of technology </t>
  </si>
  <si>
    <t>07037244339</t>
  </si>
  <si>
    <t>189991150WACP106204568</t>
  </si>
  <si>
    <t>rosechuksanexcels@gmail.com</t>
  </si>
  <si>
    <t xml:space="preserve">OSSAI </t>
  </si>
  <si>
    <t>ngozi</t>
  </si>
  <si>
    <t xml:space="preserve">rosemary </t>
  </si>
  <si>
    <t xml:space="preserve">Asaba Specialist Hospital, Asaba </t>
  </si>
  <si>
    <t>Asaba Specialist Hospital, Asaba</t>
  </si>
  <si>
    <t>08065747410</t>
  </si>
  <si>
    <t>203611151WACP84531776</t>
  </si>
  <si>
    <t>Chipuruime@gmail.com</t>
  </si>
  <si>
    <t xml:space="preserve">ONYEKACHI (nee Ehiriodo) </t>
  </si>
  <si>
    <t xml:space="preserve">Chinenye </t>
  </si>
  <si>
    <t>Ozioma</t>
  </si>
  <si>
    <t>Abia State University, Uturu</t>
  </si>
  <si>
    <t>63711152WACP633424147</t>
  </si>
  <si>
    <t>abeldahunsi@yahoo.com</t>
  </si>
  <si>
    <t xml:space="preserve">DAHUNSI </t>
  </si>
  <si>
    <t>Sunday</t>
  </si>
  <si>
    <t xml:space="preserve">St. Gerard&amp;#039;s Quarter, Kakuri Kaduna </t>
  </si>
  <si>
    <t>Jos</t>
  </si>
  <si>
    <t>08036945628</t>
  </si>
  <si>
    <t>192311153WACP64150038</t>
  </si>
  <si>
    <t>dr.may673@gmail.com</t>
  </si>
  <si>
    <t>Marian</t>
  </si>
  <si>
    <t>Okolo</t>
  </si>
  <si>
    <t>Isioma</t>
  </si>
  <si>
    <t>Delsuth</t>
  </si>
  <si>
    <t>107041154WACP976409282</t>
  </si>
  <si>
    <t>ujuumejiego@gmail.com</t>
  </si>
  <si>
    <t>UMEJIEGO</t>
  </si>
  <si>
    <t xml:space="preserve">Obianuju </t>
  </si>
  <si>
    <t xml:space="preserve">Jane </t>
  </si>
  <si>
    <t>Harmony Estate Rumukwurushi</t>
  </si>
  <si>
    <t xml:space="preserve">Imo State University </t>
  </si>
  <si>
    <t>08038170055</t>
  </si>
  <si>
    <t>242311155WACP122094612</t>
  </si>
  <si>
    <t>aghasam2k@gmail.com</t>
  </si>
  <si>
    <t>AGHA</t>
  </si>
  <si>
    <t>Ude</t>
  </si>
  <si>
    <t>Alex Ekwueme Federal University Teaching Hospital, Abakaliki, Ebonyi State</t>
  </si>
  <si>
    <t>08035441858</t>
  </si>
  <si>
    <t>206031156WACP115781766</t>
  </si>
  <si>
    <t>geogodz@hotmail.com</t>
  </si>
  <si>
    <t>GODDARD</t>
  </si>
  <si>
    <t>george</t>
  </si>
  <si>
    <t>daniel</t>
  </si>
  <si>
    <t xml:space="preserve">Banjul, The Gambia </t>
  </si>
  <si>
    <t>Edward Francis Small Teaching Hospital</t>
  </si>
  <si>
    <t>+220 3347575</t>
  </si>
  <si>
    <t>53121157WACP477116559</t>
  </si>
  <si>
    <t>Genesiskc97@gmail.com</t>
  </si>
  <si>
    <t xml:space="preserve">MOKWE </t>
  </si>
  <si>
    <t>Chibuzo</t>
  </si>
  <si>
    <t>University of Nigeria Teaching Hospital (UNTH) ituku ozalla. Enugu state</t>
  </si>
  <si>
    <t>UNTH ituku Ozalla Enugu State</t>
  </si>
  <si>
    <t>08166624700</t>
  </si>
  <si>
    <t>3941158WACP193259159</t>
  </si>
  <si>
    <t>uchececlia96@gmail.com</t>
  </si>
  <si>
    <t>OBIDIWE</t>
  </si>
  <si>
    <t>Uchechukwu</t>
  </si>
  <si>
    <t>Perpetua</t>
  </si>
  <si>
    <t>No 8A Iseke Street Akpaka GRA Phase 2 Onitsha</t>
  </si>
  <si>
    <t>Chukwuemeka Odumegwu Ojukwu University College Of Medicine</t>
  </si>
  <si>
    <t>242361159WACP744094574</t>
  </si>
  <si>
    <t>sherrycuttie233@gmail.com</t>
  </si>
  <si>
    <t>KARIM</t>
  </si>
  <si>
    <t>Sherifa</t>
  </si>
  <si>
    <t>Aggrey Street, Achimota-Accra</t>
  </si>
  <si>
    <t>Achimota Hospital</t>
  </si>
  <si>
    <t>+233 594852210</t>
  </si>
  <si>
    <t>GHWACP366915909</t>
  </si>
  <si>
    <t>trueuddan@gmail.com</t>
  </si>
  <si>
    <t>PRINCEWILL</t>
  </si>
  <si>
    <t>Uduak</t>
  </si>
  <si>
    <t>Pryse</t>
  </si>
  <si>
    <t>08064606300</t>
  </si>
  <si>
    <t>181261161WACP253466638</t>
  </si>
  <si>
    <t>ibrahimbalarabeyahaya@gmail.com</t>
  </si>
  <si>
    <t>Yahaya</t>
  </si>
  <si>
    <t>Balarabe</t>
  </si>
  <si>
    <t>No. 20 Doka road birnin Gwari, kaduna state</t>
  </si>
  <si>
    <t>Federal Teaching Hospital,katsina</t>
  </si>
  <si>
    <t>08032485455</t>
  </si>
  <si>
    <t>194101162WACP930593185</t>
  </si>
  <si>
    <t>dailmercy@gmail.com</t>
  </si>
  <si>
    <t>AJIMOTOKAN</t>
  </si>
  <si>
    <t>Isaiah</t>
  </si>
  <si>
    <t>IJ 190,Ijagun, Ijebu-ode, Ogun State</t>
  </si>
  <si>
    <t>Olabisi Onabanjo University Teaching Hospital</t>
  </si>
  <si>
    <t>241431163WACP923615606</t>
  </si>
  <si>
    <t>emmabritain4u@gmail.com</t>
  </si>
  <si>
    <t>UWA-ABUIKE</t>
  </si>
  <si>
    <t>Princess</t>
  </si>
  <si>
    <t>Munachi</t>
  </si>
  <si>
    <t>BARR. UWA-ABUIKE&amp;#039;S COMPOUND, UMUEZIKE VILLAGE, AWO-OMAMMA, IMO STATE, NIGERIA.</t>
  </si>
  <si>
    <t>The Children Hospital, Nnewi, Anambra State, Nigeria.</t>
  </si>
  <si>
    <t>08103666525</t>
  </si>
  <si>
    <t>194981164WACP614163792</t>
  </si>
  <si>
    <t>buchikb123@yahoo.com</t>
  </si>
  <si>
    <t>OJUKWU</t>
  </si>
  <si>
    <t xml:space="preserve">Juliet </t>
  </si>
  <si>
    <t xml:space="preserve">Nnamdi Azikiwe University Teaching Hospital Nnewi Anambra State </t>
  </si>
  <si>
    <t>casebook</t>
  </si>
  <si>
    <t>81241165WACP220405546</t>
  </si>
  <si>
    <t>aminushinkafi203@gmail.com</t>
  </si>
  <si>
    <t>aminu</t>
  </si>
  <si>
    <t>muhammad</t>
  </si>
  <si>
    <t>Federal Medical Center, Gusau, Zamfara State</t>
  </si>
  <si>
    <t xml:space="preserve">Federal medical centre Gusau, Zamfara state </t>
  </si>
  <si>
    <t>08147250203</t>
  </si>
  <si>
    <t>58351166WACP966264623</t>
  </si>
  <si>
    <t>ebsonbah@gmail.com</t>
  </si>
  <si>
    <t>BAH</t>
  </si>
  <si>
    <t>Ebrima</t>
  </si>
  <si>
    <t>-</t>
  </si>
  <si>
    <t>Edward Francis small teaching hospital, Banjul.</t>
  </si>
  <si>
    <t>192711167WACP472350415</t>
  </si>
  <si>
    <t>njtijani@yahoo.com</t>
  </si>
  <si>
    <t>TIJANI</t>
  </si>
  <si>
    <t>Najeemdeen</t>
  </si>
  <si>
    <t>Federal Medical Centre Gusau, Zamfara state.</t>
  </si>
  <si>
    <t>170141168WACP804047874</t>
  </si>
  <si>
    <t>tkelvindr@gmail.com</t>
  </si>
  <si>
    <t>Kelvin</t>
  </si>
  <si>
    <t>THOMAS</t>
  </si>
  <si>
    <t>Banjul, the Gambia</t>
  </si>
  <si>
    <t>28971169WACP255429192</t>
  </si>
  <si>
    <t>vivianosiruemu@gmail.com</t>
  </si>
  <si>
    <t>OSIRUEMU</t>
  </si>
  <si>
    <t>Omamomo</t>
  </si>
  <si>
    <t xml:space="preserve">1, JESUS CHRIST WAY, IGUE-IHEYA, BENIN CITY, EDO STATE. </t>
  </si>
  <si>
    <t>DELTA STATE UNIVERSITY TEACHING HOSPITAL, OGHARA, DELTA STATE.</t>
  </si>
  <si>
    <t>08126083459</t>
  </si>
  <si>
    <t>209171170WACP198264498</t>
  </si>
  <si>
    <t>victor.ojeh1@gmail.com</t>
  </si>
  <si>
    <t>OJEH</t>
  </si>
  <si>
    <t>chukwuebuka</t>
  </si>
  <si>
    <t xml:space="preserve">victor </t>
  </si>
  <si>
    <t>No 4 Pastor Street, Asaba, Delta State</t>
  </si>
  <si>
    <t>Nnamdi Azikiwe University Teaching Hospital</t>
  </si>
  <si>
    <t>07038464267</t>
  </si>
  <si>
    <t>198371171WACP586700803</t>
  </si>
  <si>
    <t>cjokise@gmail.com</t>
  </si>
  <si>
    <t>OKISE</t>
  </si>
  <si>
    <t>Chukwuamaka</t>
  </si>
  <si>
    <t>Jeneffer</t>
  </si>
  <si>
    <t>1, Ifelodun Street, Coker, Orile, Surulere, Lagos.</t>
  </si>
  <si>
    <t>University College Hospital, Ibadan</t>
  </si>
  <si>
    <t>08093291950</t>
  </si>
  <si>
    <t>242481172WACP897832811</t>
  </si>
  <si>
    <t>amandawogu@gmail.com</t>
  </si>
  <si>
    <t>WOGU</t>
  </si>
  <si>
    <t>Chidinma</t>
  </si>
  <si>
    <t>Umuafara Okpuumuobo Abayi Aba, Abia State</t>
  </si>
  <si>
    <t>07037564031</t>
  </si>
  <si>
    <t>207041173WACP51194788</t>
  </si>
  <si>
    <t>ummieyelwa@gmail.com</t>
  </si>
  <si>
    <t>YELWA</t>
  </si>
  <si>
    <t xml:space="preserve">Aisha </t>
  </si>
  <si>
    <t xml:space="preserve">Abdulmumini </t>
  </si>
  <si>
    <t xml:space="preserve">No. 334 Abdulmumini Yelwa Street Off Atiku Abubakar Road Gandun Albasa Quarters Kano.  </t>
  </si>
  <si>
    <t xml:space="preserve">Khalifa Sheikh Isyaka Rabiu Pediatric Hospital Zoo Road Kano </t>
  </si>
  <si>
    <t>07069178262</t>
  </si>
  <si>
    <t>234901174WACP875822983</t>
  </si>
  <si>
    <t>jusumattia@yahoo.com</t>
  </si>
  <si>
    <t xml:space="preserve">MATTIA </t>
  </si>
  <si>
    <t>Jusu</t>
  </si>
  <si>
    <t>Sierra Leone Psychiatric Teaching Hospital, Kissy, Freetown, Sierra Leone.</t>
  </si>
  <si>
    <t>WACP Sierra Leone Chapter</t>
  </si>
  <si>
    <t>95381175WACP219182502</t>
  </si>
  <si>
    <t>agboolashehu5@gmail.com</t>
  </si>
  <si>
    <t>AGBOOLA</t>
  </si>
  <si>
    <t>Shehu</t>
  </si>
  <si>
    <t>Lolade</t>
  </si>
  <si>
    <t>Block 168 flat 2 LSDPC Iba estate Ojo Lagos</t>
  </si>
  <si>
    <t xml:space="preserve">Massey Street Children Hospital </t>
  </si>
  <si>
    <t>61941176WACP232202034</t>
  </si>
  <si>
    <t>shuaibabdulrahman1995@gmail.com</t>
  </si>
  <si>
    <t>SHUAIB</t>
  </si>
  <si>
    <t>Abdulrahman</t>
  </si>
  <si>
    <t>Kayode</t>
  </si>
  <si>
    <t>24 Araromi Zone D, Gaa Akanbi Ilorin</t>
  </si>
  <si>
    <t>08176907402</t>
  </si>
  <si>
    <t>191951177WACP513529181</t>
  </si>
  <si>
    <t>sledgehamdoc@gmail.com</t>
  </si>
  <si>
    <t xml:space="preserve">NNAKWE </t>
  </si>
  <si>
    <t>Obinna</t>
  </si>
  <si>
    <t>Paschal</t>
  </si>
  <si>
    <t>Nnamdi Azikiwe University Teaching Hospital PMB 5025 Nnewi,Anambra State</t>
  </si>
  <si>
    <t>NAUTH,NNEWI</t>
  </si>
  <si>
    <t>08036680315</t>
  </si>
  <si>
    <t>10051178WACP810872779</t>
  </si>
  <si>
    <t>allejoy299@gmail.com</t>
  </si>
  <si>
    <t>Ogide</t>
  </si>
  <si>
    <t>Joy</t>
  </si>
  <si>
    <t>Olubunmi</t>
  </si>
  <si>
    <t>Delsuth, Oghara.</t>
  </si>
  <si>
    <t>Delta State University Teaching Hospital, Oghara</t>
  </si>
  <si>
    <t>08068512299</t>
  </si>
  <si>
    <t>242461179WACP43095776</t>
  </si>
  <si>
    <t>lisa4realluv05@yahoo.com</t>
  </si>
  <si>
    <t xml:space="preserve">AZUBUIKE </t>
  </si>
  <si>
    <t xml:space="preserve">Amarachi </t>
  </si>
  <si>
    <t>Ukwen</t>
  </si>
  <si>
    <t xml:space="preserve">18b prince Bode Oluwo street Mende Maryland </t>
  </si>
  <si>
    <t>Lagos State University Teaching Hospital Ikeja</t>
  </si>
  <si>
    <t>199361180WACP423470705</t>
  </si>
  <si>
    <t>realzidy@gmail.com</t>
  </si>
  <si>
    <t>ONWUNEME</t>
  </si>
  <si>
    <t>Eziada</t>
  </si>
  <si>
    <t>Madonna university teaching Hospital Elele</t>
  </si>
  <si>
    <t>08109003826</t>
  </si>
  <si>
    <t>242241181WACP315510695</t>
  </si>
  <si>
    <t>abdullahisafiyya25@gmail.com</t>
  </si>
  <si>
    <t>ABDULLAHI</t>
  </si>
  <si>
    <t>Safiyya</t>
  </si>
  <si>
    <t>Shagali</t>
  </si>
  <si>
    <t>No.137 Sapele street Sabon Gari Kaduna State</t>
  </si>
  <si>
    <t>08034293731</t>
  </si>
  <si>
    <t>241941182WACP1265554</t>
  </si>
  <si>
    <t>aishabalaumar@yahoo.co.uk</t>
  </si>
  <si>
    <t>Bala</t>
  </si>
  <si>
    <t>No 22 Ahmad Dako street , Farm Centre,  Tarauni</t>
  </si>
  <si>
    <t>08067414270</t>
  </si>
  <si>
    <t>242181183WACP434863329</t>
  </si>
  <si>
    <t>iwuanyanwuchinemerem@gmail.com</t>
  </si>
  <si>
    <t xml:space="preserve">IWUANYANWU </t>
  </si>
  <si>
    <t>chinemerem</t>
  </si>
  <si>
    <t>colette</t>
  </si>
  <si>
    <t>Plot177,areaL,nice avenue world bank housing estate owerri,imo state</t>
  </si>
  <si>
    <t>Federal University teaching hospital owerri</t>
  </si>
  <si>
    <t>08108312593</t>
  </si>
  <si>
    <t>200681184WACP290443494</t>
  </si>
  <si>
    <t>stanleyanyigor@gmail.com</t>
  </si>
  <si>
    <t>NKECHI</t>
  </si>
  <si>
    <t>ANYIGOR</t>
  </si>
  <si>
    <t>JESSICA</t>
  </si>
  <si>
    <t>ALEX EKWUEME FEDERAL UNIVERSITY TEACHING HOSPITAL, ABAKALIKI, EBONYI STATE</t>
  </si>
  <si>
    <t>08032258219</t>
  </si>
  <si>
    <t>65421185WACP453518152</t>
  </si>
  <si>
    <t>abdulaiabdulwaris90@gmail.com</t>
  </si>
  <si>
    <t>ABDULAI</t>
  </si>
  <si>
    <t>Abdul Waris</t>
  </si>
  <si>
    <t>DK 103_ KUMBIEHI</t>
  </si>
  <si>
    <t>Salaga Municipal hospital Savannah region Ghana</t>
  </si>
  <si>
    <t>0205669976</t>
  </si>
  <si>
    <t>GHWACP243691054</t>
  </si>
  <si>
    <t>okeke.chijioke@yahoo.com</t>
  </si>
  <si>
    <t>OKEKE</t>
  </si>
  <si>
    <t>Chijioke</t>
  </si>
  <si>
    <t>Mmadueke</t>
  </si>
  <si>
    <t>242581187WACP421989850</t>
  </si>
  <si>
    <t>bouqiyousouph@yahoo.com</t>
  </si>
  <si>
    <t>RUFAI</t>
  </si>
  <si>
    <t>Adebukunola</t>
  </si>
  <si>
    <t>Aminat</t>
  </si>
  <si>
    <t xml:space="preserve"> Massey street children Hospital</t>
  </si>
  <si>
    <t xml:space="preserve"> Massey Street Children Hospital</t>
  </si>
  <si>
    <t>08029317313</t>
  </si>
  <si>
    <t>37861188WACP103110499</t>
  </si>
  <si>
    <t>clevergib@gmail.com</t>
  </si>
  <si>
    <t>UDO</t>
  </si>
  <si>
    <t xml:space="preserve">Edikan </t>
  </si>
  <si>
    <t>David</t>
  </si>
  <si>
    <t>Plot 5, Town Planning Layout, GRA, Ikot Ekpene, Akwa Ibom State.</t>
  </si>
  <si>
    <t>Delta State University Teaching Hospital, Oghara.</t>
  </si>
  <si>
    <t>08066557723</t>
  </si>
  <si>
    <t>187381189WACP391928184</t>
  </si>
  <si>
    <t>musamatthew1034@gmail.com</t>
  </si>
  <si>
    <t>MATHEW</t>
  </si>
  <si>
    <t>Bafeshi</t>
  </si>
  <si>
    <t xml:space="preserve">23A Ahmad Makarfi Road, Kabama Layout Zaria - Kaduna state, Nigeria </t>
  </si>
  <si>
    <t>08138439006</t>
  </si>
  <si>
    <t>240201190WACP290644403</t>
  </si>
  <si>
    <t>fatimaalmustapha723@gmail.com</t>
  </si>
  <si>
    <t>ALMUSTAPHA</t>
  </si>
  <si>
    <t>Flat 3, P Jacob block, NAF valley estate, Asokoro, Abuja</t>
  </si>
  <si>
    <t>Army Command and NAOWA Hospital, Abuja</t>
  </si>
  <si>
    <t>08065543453</t>
  </si>
  <si>
    <t>240971191WACP167844252</t>
  </si>
  <si>
    <t>wilsel2006@gmail.com</t>
  </si>
  <si>
    <t>GOBAH</t>
  </si>
  <si>
    <t>Wilson</t>
  </si>
  <si>
    <t>Selorm</t>
  </si>
  <si>
    <t>Korle-Bu Polyclinic</t>
  </si>
  <si>
    <t>0548231045</t>
  </si>
  <si>
    <t>GHWACP962650823</t>
  </si>
  <si>
    <t>peacerims91@gmail.com</t>
  </si>
  <si>
    <t>Rims</t>
  </si>
  <si>
    <t>Area 1 Garki Abuja</t>
  </si>
  <si>
    <t>Bingham university</t>
  </si>
  <si>
    <t>07034783663</t>
  </si>
  <si>
    <t>242071193WACP531128367</t>
  </si>
  <si>
    <t>temitopeoluwabukola771@gmail.com</t>
  </si>
  <si>
    <t>AYEMORO</t>
  </si>
  <si>
    <t>Temitope</t>
  </si>
  <si>
    <t>Number 3 Ifesowapo street Igbokoda Ondo State</t>
  </si>
  <si>
    <t>Edo State University Iyamho</t>
  </si>
  <si>
    <t>07081505783</t>
  </si>
  <si>
    <t>240501194WACP797331312</t>
  </si>
  <si>
    <t>Onyehosp@gmail.com</t>
  </si>
  <si>
    <t>OKORIE</t>
  </si>
  <si>
    <t>Leonard</t>
  </si>
  <si>
    <t>Onye</t>
  </si>
  <si>
    <t xml:space="preserve">Nnamdi Azikiwe University Teaching Hospital , Nnewi  </t>
  </si>
  <si>
    <t>08038712825</t>
  </si>
  <si>
    <t>16201195WACP585732957</t>
  </si>
  <si>
    <t>gumzato123@gmail.com</t>
  </si>
  <si>
    <t>OSMAN</t>
  </si>
  <si>
    <t>Abdullah</t>
  </si>
  <si>
    <t>Musah</t>
  </si>
  <si>
    <t>0245953472</t>
  </si>
  <si>
    <t>Atebubu Municipal Hospital</t>
  </si>
  <si>
    <t>GHWACP20071258</t>
  </si>
  <si>
    <t>rukayyabadawi@gmail.com</t>
  </si>
  <si>
    <t>BADAWI</t>
  </si>
  <si>
    <t>Rukayya</t>
  </si>
  <si>
    <t>Sallari, Hassan Gwarzo, Lambu</t>
  </si>
  <si>
    <t>Near East University, Cyprus</t>
  </si>
  <si>
    <t>241111197WACP900853576</t>
  </si>
  <si>
    <t>ibrahimgarbatom@gmail.com</t>
  </si>
  <si>
    <t>GARBA</t>
  </si>
  <si>
    <t>House No20 Waziri Musa street, Gwange 1 ward, Maiduguri</t>
  </si>
  <si>
    <t>University Of Maiduguri</t>
  </si>
  <si>
    <t>09168499440</t>
  </si>
  <si>
    <t>242711198WACP938893575</t>
  </si>
  <si>
    <t>habibatlanrelawal@gmail.com</t>
  </si>
  <si>
    <t>Habiba</t>
  </si>
  <si>
    <t>Lanre</t>
  </si>
  <si>
    <t>2A Zobe Road off Jabi East, U/Rimi, Kaduna.</t>
  </si>
  <si>
    <t>Ahmadu Bello University Teaching Hospital Shika</t>
  </si>
  <si>
    <t>07025650540</t>
  </si>
  <si>
    <t>242601199WACP741026186</t>
  </si>
  <si>
    <t>zainabmukhtarshettima@gmail.com</t>
  </si>
  <si>
    <t>SHETTIMA</t>
  </si>
  <si>
    <t>Zainab</t>
  </si>
  <si>
    <t>Mukhtar</t>
  </si>
  <si>
    <t>08166038580</t>
  </si>
  <si>
    <t>228371200WACP814062097</t>
  </si>
  <si>
    <t>adeyemimoses96@gmail.com</t>
  </si>
  <si>
    <t xml:space="preserve">ADEYEMI </t>
  </si>
  <si>
    <t xml:space="preserve">Olalekan </t>
  </si>
  <si>
    <t xml:space="preserve">Moses </t>
  </si>
  <si>
    <t>P.O.BOX 627, ADO EKITI</t>
  </si>
  <si>
    <t xml:space="preserve">EKITI STATE UNIVERSITY TEACHING HOSPITAL ADO EKITI </t>
  </si>
  <si>
    <t>09065928166</t>
  </si>
  <si>
    <t>10491201WACP720245602</t>
  </si>
  <si>
    <t>irabortom@yahoo.com</t>
  </si>
  <si>
    <t xml:space="preserve">IRABOR </t>
  </si>
  <si>
    <t xml:space="preserve">Thomas </t>
  </si>
  <si>
    <t>Ovbiye</t>
  </si>
  <si>
    <t>Department of Medicine, Cardiology unit, UBTH</t>
  </si>
  <si>
    <t>University of Benin teaching hospital</t>
  </si>
  <si>
    <t>08037077077</t>
  </si>
  <si>
    <t>7821202WACP383287264</t>
  </si>
  <si>
    <t>donfiko2@gmail.com</t>
  </si>
  <si>
    <t>ORJIH</t>
  </si>
  <si>
    <t>Ifeanyi</t>
  </si>
  <si>
    <t>Donald</t>
  </si>
  <si>
    <t>4 Ogbaga Street, Phase Six, Transekulu, Enugu</t>
  </si>
  <si>
    <t>07030257642</t>
  </si>
  <si>
    <t>189651203WACP122702252</t>
  </si>
  <si>
    <t>judithjima@gmail.com</t>
  </si>
  <si>
    <t>NWANGWU</t>
  </si>
  <si>
    <t>Judith</t>
  </si>
  <si>
    <t>Chikodiri</t>
  </si>
  <si>
    <t>PO BOX 357 Oji River</t>
  </si>
  <si>
    <t>Enugu State University Teaching Hospital, Parklane, Enugu</t>
  </si>
  <si>
    <t>07067500238</t>
  </si>
  <si>
    <t>116431204WACP659192702</t>
  </si>
  <si>
    <t>kpallu88@gmail.com</t>
  </si>
  <si>
    <t>KOROMBA-KPALLU</t>
  </si>
  <si>
    <t>Kelfa</t>
  </si>
  <si>
    <t>Sierra Leone Psychiatric Teaching Hospital, Kissy, Freetown</t>
  </si>
  <si>
    <t>Sierra Leone Psychiatric Teaching Hospital</t>
  </si>
  <si>
    <t>Freetown</t>
  </si>
  <si>
    <t>100521205WACP115623204</t>
  </si>
  <si>
    <t>ibebuchichijioke@gmail.com</t>
  </si>
  <si>
    <t>IBEBUCHI</t>
  </si>
  <si>
    <t>Nnaemeka</t>
  </si>
  <si>
    <t>Queen of Apostles Parish, Umuago Urualla, Ideato North LGA, Imo State, Nigeria</t>
  </si>
  <si>
    <t>08064086483</t>
  </si>
  <si>
    <t>242381206WACP166094629</t>
  </si>
  <si>
    <t>enambuni@gmail.com</t>
  </si>
  <si>
    <t>MBAWINI</t>
  </si>
  <si>
    <t xml:space="preserve">Ernestina </t>
  </si>
  <si>
    <t xml:space="preserve">Nambuni </t>
  </si>
  <si>
    <t>Dansoma- Accra, wheat street</t>
  </si>
  <si>
    <t>Kolebu Teaching Hospital</t>
  </si>
  <si>
    <t>0249558375</t>
  </si>
  <si>
    <t>GHWACP532897939</t>
  </si>
  <si>
    <t>jewonenneh@gmail.com</t>
  </si>
  <si>
    <t>BALDEH</t>
  </si>
  <si>
    <t>Nenneh</t>
  </si>
  <si>
    <t>Jewo</t>
  </si>
  <si>
    <t>Brusubi</t>
  </si>
  <si>
    <t>242831208WACP373111309</t>
  </si>
  <si>
    <t>nuhudenis@gmail.com</t>
  </si>
  <si>
    <t>DENIS</t>
  </si>
  <si>
    <t>Nuhu</t>
  </si>
  <si>
    <t>Behind Hayatu Anas filling station new Kurikyo, Lafia, Nasarawa state</t>
  </si>
  <si>
    <t>Federal University Teaching Hospital Lafia</t>
  </si>
  <si>
    <t>242701209WACP549668955</t>
  </si>
  <si>
    <t>macjajuapeter@gmail.com</t>
  </si>
  <si>
    <t>MAC-JAJUA</t>
  </si>
  <si>
    <t>Peter</t>
  </si>
  <si>
    <t>12E off Sheriff Drive, Regent Road, Lumley, Freetown-Sierra Leone</t>
  </si>
  <si>
    <t xml:space="preserve">University of Sierra Leone Leone Teaching Hospital Complex - Connaught Hospital </t>
  </si>
  <si>
    <t>185861210WACP505195053</t>
  </si>
  <si>
    <t>okowa0507@gmail.com</t>
  </si>
  <si>
    <t>OKOWA</t>
  </si>
  <si>
    <t>Roland</t>
  </si>
  <si>
    <t xml:space="preserve">Asaba specialist hospital, Delta state, Nigeria </t>
  </si>
  <si>
    <t xml:space="preserve">Niger Delta university </t>
  </si>
  <si>
    <t>195081211WACP450963489</t>
  </si>
  <si>
    <t>GOBA</t>
  </si>
  <si>
    <t>University of Sierra Leone Teaching Hospital Complex, Sierra Leone Psychiatric Teaching Hospital</t>
  </si>
  <si>
    <t>gblason4@gmail.com</t>
  </si>
  <si>
    <t>GBLA</t>
  </si>
  <si>
    <t>Alhaji</t>
  </si>
  <si>
    <t>24 Byrne lane</t>
  </si>
  <si>
    <t>University of Sierra Leone Teaching Hospitals complex-Connaught Hospital</t>
  </si>
  <si>
    <t>181591213WACP273992440</t>
  </si>
  <si>
    <t>naaayele_mensah2007@yahoo.com</t>
  </si>
  <si>
    <t>MENSAH</t>
  </si>
  <si>
    <t>Naa</t>
  </si>
  <si>
    <t>Ayele</t>
  </si>
  <si>
    <t>C/o Tema polyclinic,Community 2,Tema</t>
  </si>
  <si>
    <t>0544040466</t>
  </si>
  <si>
    <t>GHWACP245172770</t>
  </si>
  <si>
    <t>sunkanmigladys@gmail.com</t>
  </si>
  <si>
    <t>BASORUN</t>
  </si>
  <si>
    <t>Gladys</t>
  </si>
  <si>
    <t>Olasunkanmi</t>
  </si>
  <si>
    <t>14, Christ Avenue Adebayo, ado ekiti</t>
  </si>
  <si>
    <t>Grodno state medical university</t>
  </si>
  <si>
    <t>08169476869</t>
  </si>
  <si>
    <t>241711215WACP982696514</t>
  </si>
  <si>
    <t>kelezefrancis@gmail.com</t>
  </si>
  <si>
    <t xml:space="preserve">KELEZE </t>
  </si>
  <si>
    <t>Francis</t>
  </si>
  <si>
    <t>Chidiebere</t>
  </si>
  <si>
    <t>University of Nigeria Teaching Hospital Ituku-Ozalla Enugu Enugu State</t>
  </si>
  <si>
    <t>99891216WACP24583481</t>
  </si>
  <si>
    <t>obihealth@gmail.com</t>
  </si>
  <si>
    <t xml:space="preserve">OGBANGWO </t>
  </si>
  <si>
    <t xml:space="preserve">Obiajulu </t>
  </si>
  <si>
    <t xml:space="preserve">Helen </t>
  </si>
  <si>
    <t>Bright Idioma Close, Asaba, Delta State</t>
  </si>
  <si>
    <t xml:space="preserve">Asaba Specialist Hospital </t>
  </si>
  <si>
    <t>08022576333</t>
  </si>
  <si>
    <t>196531217WACP160884537</t>
  </si>
  <si>
    <t>contactchiomzy.co@gmail.com</t>
  </si>
  <si>
    <t>OGUZIE</t>
  </si>
  <si>
    <t xml:space="preserve">Chioma </t>
  </si>
  <si>
    <t>Pepertua</t>
  </si>
  <si>
    <t xml:space="preserve">Area 2,Garki, Abuja </t>
  </si>
  <si>
    <t xml:space="preserve">Federal Medical Center, Abuja </t>
  </si>
  <si>
    <t>08063608449</t>
  </si>
  <si>
    <t>49811218WACP931223408</t>
  </si>
  <si>
    <t>Aminatuabubakar1110@gmail.com</t>
  </si>
  <si>
    <t>Amina</t>
  </si>
  <si>
    <t>Abdullahi</t>
  </si>
  <si>
    <t>Government quarters opp city campus sokoto state</t>
  </si>
  <si>
    <t>Ibn sina university khartoum, sudan</t>
  </si>
  <si>
    <t>07047520568</t>
  </si>
  <si>
    <t>242931219WACP795090268</t>
  </si>
  <si>
    <t>solomonaudu@rocketmail.com</t>
  </si>
  <si>
    <t xml:space="preserve">SOLOMON </t>
  </si>
  <si>
    <t xml:space="preserve">Akentaimu </t>
  </si>
  <si>
    <t xml:space="preserve">Audu </t>
  </si>
  <si>
    <t xml:space="preserve">No. 14 chindo Audu close Magami Jalingo </t>
  </si>
  <si>
    <t xml:space="preserve">Universidad nacional experimental RÃƒÂ³mulo gallegos </t>
  </si>
  <si>
    <t>08080813842</t>
  </si>
  <si>
    <t>199631220WACP813587905</t>
  </si>
  <si>
    <t>jiddanana9@gmail.com</t>
  </si>
  <si>
    <t xml:space="preserve">TIJJANI </t>
  </si>
  <si>
    <t>nana</t>
  </si>
  <si>
    <t>jidda</t>
  </si>
  <si>
    <t xml:space="preserve">Ajuji Waziri Road, Federal lowcost Gombe State,Nigeria </t>
  </si>
  <si>
    <t>Federal Teaching Hospital Gombe</t>
  </si>
  <si>
    <t>112241221WACP893226735</t>
  </si>
  <si>
    <t>Olanrewajukolawole90@gmail.com</t>
  </si>
  <si>
    <t>KOLAWOLE</t>
  </si>
  <si>
    <t>Olanrewaju</t>
  </si>
  <si>
    <t>32, Yemetu-Alaadorin road, Yemetu, Ibadan</t>
  </si>
  <si>
    <t>Highland Specialist Hospital, Yemetu, Ibadan</t>
  </si>
  <si>
    <t>08131130674</t>
  </si>
  <si>
    <t>242121222WACP987326595</t>
  </si>
  <si>
    <t>agorsormawulikplim@gmail.com</t>
  </si>
  <si>
    <t>DEKU</t>
  </si>
  <si>
    <t>Mawulikplim</t>
  </si>
  <si>
    <t>Enyo</t>
  </si>
  <si>
    <t>Tema General Hospital,  box 14</t>
  </si>
  <si>
    <t>Tema General Hospital</t>
  </si>
  <si>
    <t>0244921362</t>
  </si>
  <si>
    <t>GHWACP148739124</t>
  </si>
  <si>
    <t>aishasheriff214@gmail.com</t>
  </si>
  <si>
    <t xml:space="preserve">Sabon pegi Njiwaji layout damaturu yobe state </t>
  </si>
  <si>
    <t xml:space="preserve">university of maiduguri </t>
  </si>
  <si>
    <t>110971224WACP989560449</t>
  </si>
  <si>
    <t>horanye21@gmail.com</t>
  </si>
  <si>
    <t>ORANYE</t>
  </si>
  <si>
    <t>chinaza</t>
  </si>
  <si>
    <t>chikamso</t>
  </si>
  <si>
    <t>NO. 1 EBO NWEKE OFF EMMANNAEMEKA STREET, AWKA</t>
  </si>
  <si>
    <t>CHUKWUEMEKA ODUMEGWU TEACHING HOSPITAL, AMAKU, AWKA</t>
  </si>
  <si>
    <t>07064800972</t>
  </si>
  <si>
    <t>186831225WACP275443274</t>
  </si>
  <si>
    <t>aishaauwalmusam@gmail.com</t>
  </si>
  <si>
    <t>AUWAL</t>
  </si>
  <si>
    <t>Independence road bompai kano</t>
  </si>
  <si>
    <t>Elrazi university Sudan</t>
  </si>
  <si>
    <t>07025158226</t>
  </si>
  <si>
    <t>242741226WACP458881123</t>
  </si>
  <si>
    <t>kayisitete@gmail.com</t>
  </si>
  <si>
    <t xml:space="preserve">AYISI-TETE </t>
  </si>
  <si>
    <t>Kwaku</t>
  </si>
  <si>
    <t>KORLE BU TEACHING HOSPITAL,  BOX 77, ACCRA</t>
  </si>
  <si>
    <t xml:space="preserve">Korle Bu Teaching Hospital </t>
  </si>
  <si>
    <t>0557168343</t>
  </si>
  <si>
    <t>GHWACP980428726</t>
  </si>
  <si>
    <t>Deferred</t>
  </si>
  <si>
    <t>Registration as subspecialist/fellow in training is 7 months, less than 12 months before application</t>
  </si>
  <si>
    <t>bjseyifunmi@gmail.com</t>
  </si>
  <si>
    <t>BALOGUN</t>
  </si>
  <si>
    <t>Seyifunmi</t>
  </si>
  <si>
    <t>8B, Hafsatu Abdulkadir Street, Phase 1, Anthem Estate, Gwagwalada Abuja FCT</t>
  </si>
  <si>
    <t xml:space="preserve">University of Abuja Teaching Hospital, Gwagwalada FCT </t>
  </si>
  <si>
    <t>08030744603</t>
  </si>
  <si>
    <t>36501228WACP411848380</t>
  </si>
  <si>
    <t>davez.ink91@gmail.com</t>
  </si>
  <si>
    <t>AUDU</t>
  </si>
  <si>
    <t>Onucheojo</t>
  </si>
  <si>
    <t>Plot 4 Omakoji Street, U/boro.</t>
  </si>
  <si>
    <t>Bingham University Teaching hospital. Jos. Plateau state.</t>
  </si>
  <si>
    <t>09018594580</t>
  </si>
  <si>
    <t>241301229WACP637419151</t>
  </si>
  <si>
    <t>munagerro@gmail.com</t>
  </si>
  <si>
    <t>MUSTAPHA</t>
  </si>
  <si>
    <t>maimuna</t>
  </si>
  <si>
    <t>No 3 River Rd</t>
  </si>
  <si>
    <t>Kaduna</t>
  </si>
  <si>
    <t>08106287089</t>
  </si>
  <si>
    <t>242611230WACP436202419</t>
  </si>
  <si>
    <t>akosuaanane1@gmail.com</t>
  </si>
  <si>
    <t>ANANE-DARKO</t>
  </si>
  <si>
    <t>Akosua</t>
  </si>
  <si>
    <t>Oforiwaa</t>
  </si>
  <si>
    <t>P. O. Box CT 4211, Cantonments, Accra</t>
  </si>
  <si>
    <t>Weija Gbawe Municipal Hospital</t>
  </si>
  <si>
    <t>0546150070</t>
  </si>
  <si>
    <t>GHWACP865300476</t>
  </si>
  <si>
    <t>ukeanyajuliet@gmail.com</t>
  </si>
  <si>
    <t>UKEANYA</t>
  </si>
  <si>
    <t>Chisom</t>
  </si>
  <si>
    <t>Juliet</t>
  </si>
  <si>
    <t>2b Aninwagbo Street, Garriki Awkunanaw, Enugu</t>
  </si>
  <si>
    <t>University of Nigeria Teaching Hospital, Ituku Ozalla, Enugu</t>
  </si>
  <si>
    <t>08103420496</t>
  </si>
  <si>
    <t>241181232WACP560206736</t>
  </si>
  <si>
    <t>msowe3775@gmail.com</t>
  </si>
  <si>
    <t xml:space="preserve">SOWE </t>
  </si>
  <si>
    <t>Mustapha</t>
  </si>
  <si>
    <t>Kanifing Housing Estate A107</t>
  </si>
  <si>
    <t>239971233WACP992615464</t>
  </si>
  <si>
    <t>drabies4christ@yahoo.com</t>
  </si>
  <si>
    <t xml:space="preserve">OJOKOJO </t>
  </si>
  <si>
    <t xml:space="preserve">Abieyuwa </t>
  </si>
  <si>
    <t>17, OMOGIATE STREET, OFF UGBOR ROAD, GRA BENIN CITY, EDO STATE.</t>
  </si>
  <si>
    <t xml:space="preserve">AMBROSE ALI UNIVERSITY </t>
  </si>
  <si>
    <t>08038841332</t>
  </si>
  <si>
    <t>209371234WACP89825274</t>
  </si>
  <si>
    <t>drtrish2017@gmail.com</t>
  </si>
  <si>
    <t>NWOKWU</t>
  </si>
  <si>
    <t xml:space="preserve">Patricia </t>
  </si>
  <si>
    <t xml:space="preserve">Amogechukwu </t>
  </si>
  <si>
    <t>FEDERAL MEDICAL CENTRE ABUJA</t>
  </si>
  <si>
    <t>GHWACP722927719</t>
  </si>
  <si>
    <t>nnubiatonia@yahoo.com</t>
  </si>
  <si>
    <t>NNUBIA</t>
  </si>
  <si>
    <t>Anthonia</t>
  </si>
  <si>
    <t>Community Medicine Department, Alex Ekwueme Federal University Teaching Hospital Abakaliki, Ebonyi State.</t>
  </si>
  <si>
    <t>Alex Ekwueme Federal University Teaching Hospital Abakaliki Ebonyi State</t>
  </si>
  <si>
    <t>177181236WACP187713825</t>
  </si>
  <si>
    <t>ijeomamaureen239@gmail.com</t>
  </si>
  <si>
    <t>EKWUEME</t>
  </si>
  <si>
    <t>Ijeoma</t>
  </si>
  <si>
    <t>Maureen</t>
  </si>
  <si>
    <t>Amagu Ebe in Udi L.G.A Enugu state</t>
  </si>
  <si>
    <t>Enugu State University of science and technology</t>
  </si>
  <si>
    <t>07064666803</t>
  </si>
  <si>
    <t>242171237WACP571859391</t>
  </si>
  <si>
    <t>dradekpongo@gmail.com</t>
  </si>
  <si>
    <t>OGIEVA-KPONGO</t>
  </si>
  <si>
    <t>Adesuwa</t>
  </si>
  <si>
    <t>Victory</t>
  </si>
  <si>
    <t>No 10A Ekikhalo Edosomwan street off ugbor GRA, Benin City, Edo State.</t>
  </si>
  <si>
    <t>University Of Benin Teaching Hospital UBTH</t>
  </si>
  <si>
    <t>82511238WACP359748133</t>
  </si>
  <si>
    <t>donbrayemich@gmail.com</t>
  </si>
  <si>
    <t>DONBRAYE</t>
  </si>
  <si>
    <t>Ebikemefa</t>
  </si>
  <si>
    <t xml:space="preserve">McMichelle </t>
  </si>
  <si>
    <t>Resident&amp;#039;s Staff Quarters, Delsuth, Oghara, Delta State</t>
  </si>
  <si>
    <t>Delta State University Teaching Hospital, Oghara, Delta State</t>
  </si>
  <si>
    <t>79861239WACP756723941</t>
  </si>
  <si>
    <t>nyamahsandra@gmail.com</t>
  </si>
  <si>
    <t>AYAARUM</t>
  </si>
  <si>
    <t>SANDRA</t>
  </si>
  <si>
    <t>NYAAMA</t>
  </si>
  <si>
    <t>box 494, La, trade faire</t>
  </si>
  <si>
    <t>university of Ghana medical center</t>
  </si>
  <si>
    <t>0500806260</t>
  </si>
  <si>
    <t>GHWACP886002572</t>
  </si>
  <si>
    <t>summayyasaleesu47@gmail.com</t>
  </si>
  <si>
    <t>SALISU</t>
  </si>
  <si>
    <t>Summayya</t>
  </si>
  <si>
    <t>T6 Silicon Valley Sunnyvale Estate</t>
  </si>
  <si>
    <t>El Razi University</t>
  </si>
  <si>
    <t>09120017325</t>
  </si>
  <si>
    <t>242651241WACP534684649</t>
  </si>
  <si>
    <t>habiba241m14@gmail.com</t>
  </si>
  <si>
    <t>SALIHU</t>
  </si>
  <si>
    <t>203 Tudun Fulani, Minna</t>
  </si>
  <si>
    <t>08168161099</t>
  </si>
  <si>
    <t>242021242WACP443544690</t>
  </si>
  <si>
    <t>okerehrowland@yahoo.com</t>
  </si>
  <si>
    <t>OKEREH</t>
  </si>
  <si>
    <t>Rowland</t>
  </si>
  <si>
    <t>Okwudiri</t>
  </si>
  <si>
    <t>23 IFITE UKPO STREET BY SABBATH JUNCTION UPPER CHIME NEW HAVEN ENUGU</t>
  </si>
  <si>
    <t>FEDERAL NEURO PSYCHIATRIC HOSPITAL ENUGU</t>
  </si>
  <si>
    <t>08035930809</t>
  </si>
  <si>
    <t>210371243WACP978035035</t>
  </si>
  <si>
    <t>sandraquaye67@gmail.com</t>
  </si>
  <si>
    <t xml:space="preserve">QUAYE </t>
  </si>
  <si>
    <t>Sandra</t>
  </si>
  <si>
    <t>P.O.box GP 21046 Accra</t>
  </si>
  <si>
    <t>0244165873</t>
  </si>
  <si>
    <t>GHWACP903164525</t>
  </si>
  <si>
    <t>nkirufezie@yahoo.com</t>
  </si>
  <si>
    <t xml:space="preserve">FEZIE-NNAJI </t>
  </si>
  <si>
    <t xml:space="preserve">Nkiru </t>
  </si>
  <si>
    <t>Lagos  University Teaching Hospital , Idi- araba, Lagos</t>
  </si>
  <si>
    <t>08027492111</t>
  </si>
  <si>
    <t>62071245WACP899142686</t>
  </si>
  <si>
    <t>francis.adeyeye96@gmail.com</t>
  </si>
  <si>
    <t xml:space="preserve">Francis </t>
  </si>
  <si>
    <t xml:space="preserve">Tope </t>
  </si>
  <si>
    <t xml:space="preserve">Adeyeye </t>
  </si>
  <si>
    <t xml:space="preserve">Nova road 7, opposite palace of prayer church, Nova, Ado Ekiti </t>
  </si>
  <si>
    <t xml:space="preserve">Ekiti state university college of Medicine </t>
  </si>
  <si>
    <t>08062162800</t>
  </si>
  <si>
    <t>195121246WACP952530208</t>
  </si>
  <si>
    <t>ikoowajikakpo@gmail.com</t>
  </si>
  <si>
    <t>IKOOWAJI</t>
  </si>
  <si>
    <t>kakpo</t>
  </si>
  <si>
    <t>walter</t>
  </si>
  <si>
    <t>No. 2 Amini Close, Okey Wali Estate, Off Alakahia Car Wash, Rumualogu, Port Harcourt.</t>
  </si>
  <si>
    <t>University Of Port Harcourt Teaching Hospital, Port Harcourt</t>
  </si>
  <si>
    <t>242661247WACP724210548</t>
  </si>
  <si>
    <t>hopeeme24@gmail.com</t>
  </si>
  <si>
    <t>EME</t>
  </si>
  <si>
    <t>Hope</t>
  </si>
  <si>
    <t>Ogbeyialu</t>
  </si>
  <si>
    <t>50 Tenant Road Aba, Abia State</t>
  </si>
  <si>
    <t>Abia State University Teaching Hospital Aba</t>
  </si>
  <si>
    <t>07060861034</t>
  </si>
  <si>
    <t>232751248WACP34500878</t>
  </si>
  <si>
    <t>kiniegoba39@gmail.com</t>
  </si>
  <si>
    <t>KINIE</t>
  </si>
  <si>
    <t>Kamara Town, Calaba Town, Freetown, Sierra Leone</t>
  </si>
  <si>
    <t>243071249WACP214019814</t>
  </si>
  <si>
    <t>felixoloruntoba@gmail.com</t>
  </si>
  <si>
    <t>OLORUNTOBA</t>
  </si>
  <si>
    <t>Felix</t>
  </si>
  <si>
    <t>Gbenga</t>
  </si>
  <si>
    <t>Number 17, Abagana street, Dawaki, Abuja</t>
  </si>
  <si>
    <t>University of Medical Sciences Teaching Hospital, Ondo</t>
  </si>
  <si>
    <t>08064213674</t>
  </si>
  <si>
    <t>242751250WACP933709100</t>
  </si>
  <si>
    <t>zainabaliibrahim5638@gmail.com</t>
  </si>
  <si>
    <t>ALI</t>
  </si>
  <si>
    <t>No 462 Hotoro G.R.A kano</t>
  </si>
  <si>
    <t>Ahfad university for women</t>
  </si>
  <si>
    <t>08100845355</t>
  </si>
  <si>
    <t>242981251WACP715719433</t>
  </si>
  <si>
    <t>joenyamison@gmail.com</t>
  </si>
  <si>
    <t>NYAMISON</t>
  </si>
  <si>
    <t>Kabena</t>
  </si>
  <si>
    <t>C/0 P. O. BOX 625, TEMA</t>
  </si>
  <si>
    <t>Pantang Hospital, Ghana</t>
  </si>
  <si>
    <t>0508456379</t>
  </si>
  <si>
    <t>GHWACP96757311</t>
  </si>
  <si>
    <t>Kponihitesse@yahoo.com</t>
  </si>
  <si>
    <t>BASSEY</t>
  </si>
  <si>
    <t>Tesse</t>
  </si>
  <si>
    <t>Nkereuwem</t>
  </si>
  <si>
    <t>No 4 Balogun Agbaje Close Off Jimoh Bajulaiye street, Ifako Gbagada</t>
  </si>
  <si>
    <t>Vinnytsia National Pirogov Medical University Ukraine</t>
  </si>
  <si>
    <t>239701253WACP715574035</t>
  </si>
  <si>
    <t>michaelmadupue7438@gmail.com</t>
  </si>
  <si>
    <t xml:space="preserve">MADUPUE </t>
  </si>
  <si>
    <t xml:space="preserve">Michael </t>
  </si>
  <si>
    <t>Ejimkonye</t>
  </si>
  <si>
    <t xml:space="preserve">Nike express ibagwa by Ekwo filling station </t>
  </si>
  <si>
    <t xml:space="preserve">Enugu state of university of science and technology </t>
  </si>
  <si>
    <t>08034147438</t>
  </si>
  <si>
    <t>210461254WACP736164203</t>
  </si>
  <si>
    <t>eranya71@gmail.com</t>
  </si>
  <si>
    <t>AWUSANYA-SOSU</t>
  </si>
  <si>
    <t>eyram</t>
  </si>
  <si>
    <t>esi</t>
  </si>
  <si>
    <t xml:space="preserve">Pantang Hospital, Pantang, Ghana </t>
  </si>
  <si>
    <t xml:space="preserve">Pantang Hospital </t>
  </si>
  <si>
    <t>GHWACP392561342</t>
  </si>
  <si>
    <t>asukpong@yahoo.com</t>
  </si>
  <si>
    <t>ESO</t>
  </si>
  <si>
    <t xml:space="preserve">Asukpong </t>
  </si>
  <si>
    <t>Effiong</t>
  </si>
  <si>
    <t>University of Uyo Teaching Hospital, Uyo, Akwa Ibom State, Nigeria</t>
  </si>
  <si>
    <t>08030977189</t>
  </si>
  <si>
    <t>40051256WACP196017507</t>
  </si>
  <si>
    <t>nenehjarai@hotmail.com</t>
  </si>
  <si>
    <t>TAMBEDOU</t>
  </si>
  <si>
    <t>Neneh</t>
  </si>
  <si>
    <t>Jarai</t>
  </si>
  <si>
    <t xml:space="preserve">Kanifing General Hospital, Kanifing municipality </t>
  </si>
  <si>
    <t xml:space="preserve">Kanifing General Hospital </t>
  </si>
  <si>
    <t>72071257WACP950512171</t>
  </si>
  <si>
    <t>moojterheed@gmail.com</t>
  </si>
  <si>
    <t>SHUAIBU</t>
  </si>
  <si>
    <t>Mujaheed Isah</t>
  </si>
  <si>
    <t>No.2 jos road, sabon gari, tudun wada lga. Kano state</t>
  </si>
  <si>
    <t xml:space="preserve">Ahmadu Bello university </t>
  </si>
  <si>
    <t>233921258WACP200067173</t>
  </si>
  <si>
    <t>taakujobi@yahoo.com</t>
  </si>
  <si>
    <t>AKUJOBI</t>
  </si>
  <si>
    <t>Tobechi</t>
  </si>
  <si>
    <t>Adanna</t>
  </si>
  <si>
    <t>Department of Medical Microbiology, National Hospital, PMB 425, Central Business District, Abuja, FCT.</t>
  </si>
  <si>
    <t>98871259WACP523027868</t>
  </si>
  <si>
    <t>hajara00479@hotmail.com</t>
  </si>
  <si>
    <t xml:space="preserve">DALHATU </t>
  </si>
  <si>
    <t xml:space="preserve"> hajara</t>
  </si>
  <si>
    <t>musa</t>
  </si>
  <si>
    <t>Plot 434 funmilayo close mabushi, Abuja</t>
  </si>
  <si>
    <t>39341260WACP639581002</t>
  </si>
  <si>
    <t>humairanaz.nazir7@gmail.com</t>
  </si>
  <si>
    <t>NAZIRU</t>
  </si>
  <si>
    <t>No. 13a likita road off Umar Muhammad road malali kaduna</t>
  </si>
  <si>
    <t>Shehu Muhammad kangiwa medical center</t>
  </si>
  <si>
    <t>242631261WACP840542018</t>
  </si>
  <si>
    <t>ciriellawhite2@gmail.com</t>
  </si>
  <si>
    <t>ELABOR</t>
  </si>
  <si>
    <t>Chidalu</t>
  </si>
  <si>
    <t>Unoma</t>
  </si>
  <si>
    <t>Bishop&amp;#039;s court, Episcopal house Ujoelen Ekpoma</t>
  </si>
  <si>
    <t xml:space="preserve">Irrua Specialist teaching Hospital </t>
  </si>
  <si>
    <t>114191262WACP883562542</t>
  </si>
  <si>
    <t>baiokamara22@gmail.com</t>
  </si>
  <si>
    <t>Kamara</t>
  </si>
  <si>
    <t>Baio</t>
  </si>
  <si>
    <t xml:space="preserve">142A Leicester Road, Freetown </t>
  </si>
  <si>
    <t>College Of Medicine and Allied Health Sciences</t>
  </si>
  <si>
    <t>186111263WACP568665727</t>
  </si>
  <si>
    <t>adedayolateef@yahoo.com</t>
  </si>
  <si>
    <t xml:space="preserve">ADEDAYO </t>
  </si>
  <si>
    <t xml:space="preserve">lateef </t>
  </si>
  <si>
    <t>adetunji</t>
  </si>
  <si>
    <t>HOUSE 10 AJULOR STREET UNITY ESTATE OJOKORO RD. IKORODU LAGOS</t>
  </si>
  <si>
    <t xml:space="preserve">GENERAL HOSPITAL LAGOS </t>
  </si>
  <si>
    <t>08064443050</t>
  </si>
  <si>
    <t>56791264WACP314582597</t>
  </si>
  <si>
    <t>manchandogo@gmail.com</t>
  </si>
  <si>
    <t>DOGO</t>
  </si>
  <si>
    <t>Manchan</t>
  </si>
  <si>
    <t>Belmont</t>
  </si>
  <si>
    <t>Gwagwalada</t>
  </si>
  <si>
    <t>08037755621</t>
  </si>
  <si>
    <t>GHWACP707625019</t>
  </si>
  <si>
    <t>sanderlilee@gmail.com</t>
  </si>
  <si>
    <t>EHIAKHAMEN</t>
  </si>
  <si>
    <t>Osaiyekemwen</t>
  </si>
  <si>
    <t>16 Gudi Street, Panama Estate off Odili road, Port harcourt, Rivers state</t>
  </si>
  <si>
    <t>Ambrose Alli University</t>
  </si>
  <si>
    <t>07079468398</t>
  </si>
  <si>
    <t>243171266WACP882180511</t>
  </si>
  <si>
    <t>junduphat@gmail.com</t>
  </si>
  <si>
    <t>Fatimah</t>
  </si>
  <si>
    <t>Oyewale</t>
  </si>
  <si>
    <t>6 Yakubu Lane Off Sebiotimo Mongoro Agege Lagos</t>
  </si>
  <si>
    <t>Lagos state university</t>
  </si>
  <si>
    <t>07088770096</t>
  </si>
  <si>
    <t>240881267WACP676570085</t>
  </si>
  <si>
    <t>nanaadjeimd@gmail.com</t>
  </si>
  <si>
    <t>Agyei</t>
  </si>
  <si>
    <t>Sunyani</t>
  </si>
  <si>
    <t>Sunyani Teaching Hospital</t>
  </si>
  <si>
    <t>GHWACP899492672</t>
  </si>
  <si>
    <t>waheedatx@yahoo.com</t>
  </si>
  <si>
    <t xml:space="preserve">Waheedat </t>
  </si>
  <si>
    <t>Abdulazeez</t>
  </si>
  <si>
    <t>ATBUTH Registrar&amp;#039;s staff quarters yelwa campus bauchi,bauchi state</t>
  </si>
  <si>
    <t>University of maiduguri,borno state</t>
  </si>
  <si>
    <t>07032160882</t>
  </si>
  <si>
    <t>183411269WACP636514512</t>
  </si>
  <si>
    <t>mansuraadamu7@gmail.com</t>
  </si>
  <si>
    <t>ADAMU</t>
  </si>
  <si>
    <t>Mansura</t>
  </si>
  <si>
    <t>No A4 peacecourt estate Lokogoma Abuja</t>
  </si>
  <si>
    <t>El razi university Sudan</t>
  </si>
  <si>
    <t>08148746310</t>
  </si>
  <si>
    <t>243211270WACP372530495</t>
  </si>
  <si>
    <t>enywyne@yahoo.com</t>
  </si>
  <si>
    <t>ROBINSON-ELECHI</t>
  </si>
  <si>
    <t>Enore</t>
  </si>
  <si>
    <t>Rivers State University Teaching Hospital</t>
  </si>
  <si>
    <t>08032756960</t>
  </si>
  <si>
    <t>52381271WACP782440765</t>
  </si>
  <si>
    <t>cherry_f2@yahoo.com</t>
  </si>
  <si>
    <t xml:space="preserve">KAMARA </t>
  </si>
  <si>
    <t xml:space="preserve">Chernoh </t>
  </si>
  <si>
    <t>Foday</t>
  </si>
  <si>
    <t xml:space="preserve">30 SINNAH LANE, ROKUPA - WELLINGTON </t>
  </si>
  <si>
    <t xml:space="preserve">CONNAUGHT TEACHING HOSPITAL </t>
  </si>
  <si>
    <t>+23231110392 or +233533271228</t>
  </si>
  <si>
    <t>GHWACP479430219</t>
  </si>
  <si>
    <t>Ibrahimxahra@gmail.com</t>
  </si>
  <si>
    <t xml:space="preserve">IBRAHIM </t>
  </si>
  <si>
    <t>Fadimatu</t>
  </si>
  <si>
    <t>Zarah</t>
  </si>
  <si>
    <t>No 8 gabes street, Wuse zone 2, FCT</t>
  </si>
  <si>
    <t>08036415440</t>
  </si>
  <si>
    <t>240031273WACP688041280</t>
  </si>
  <si>
    <t>jeremymainayaga@gmail.com</t>
  </si>
  <si>
    <t>Jeremiah</t>
  </si>
  <si>
    <t>Yaga</t>
  </si>
  <si>
    <t>Pompomari PUB 190</t>
  </si>
  <si>
    <t xml:space="preserve">University of Maiduguri Teaching Hospital </t>
  </si>
  <si>
    <t>08105578931</t>
  </si>
  <si>
    <t>186911274WACP27579149</t>
  </si>
  <si>
    <t>aseeyajameel@gmail.com</t>
  </si>
  <si>
    <t>SUNUSI</t>
  </si>
  <si>
    <t>Asiya</t>
  </si>
  <si>
    <t>Jamilu</t>
  </si>
  <si>
    <t>373,Kofar kabuga</t>
  </si>
  <si>
    <t>Bayero University kano</t>
  </si>
  <si>
    <t>09033474052</t>
  </si>
  <si>
    <t>241901275WACP110490176</t>
  </si>
  <si>
    <t>Attention Needed</t>
  </si>
  <si>
    <t>jamala.obioha@gmail.com</t>
  </si>
  <si>
    <t>OBIOHA</t>
  </si>
  <si>
    <t>Solomon</t>
  </si>
  <si>
    <t>uchenna</t>
  </si>
  <si>
    <t>no 6, rivers street, off royal avenue, behind NTA, mgbuoba, portharcourt.</t>
  </si>
  <si>
    <t>UNIVERSITY OF PORT HARCOURT TEACHING HOSPITAL</t>
  </si>
  <si>
    <t>33011276WACP38840769</t>
  </si>
  <si>
    <t>anitanonso98@gmail.com</t>
  </si>
  <si>
    <t>UGWOEGBU</t>
  </si>
  <si>
    <t>Chinonso</t>
  </si>
  <si>
    <t>Anita</t>
  </si>
  <si>
    <t>No 7 Ekwe street mile 3 Diobu Port Harcourt</t>
  </si>
  <si>
    <t>Imo state university</t>
  </si>
  <si>
    <t>07035282413</t>
  </si>
  <si>
    <t>242221277WACP229119769</t>
  </si>
  <si>
    <t>beelkisuagwai505@gmail.com</t>
  </si>
  <si>
    <t>Bilkisu</t>
  </si>
  <si>
    <t>No 2 Teal lane Bora Bora Island Bilaad Estate, Wuye, Abuja FCT</t>
  </si>
  <si>
    <t>Caucasus International University, Faculty of Medicine</t>
  </si>
  <si>
    <t>242621278WACP15985765</t>
  </si>
  <si>
    <t>hashimbelloahmed@gmail.com</t>
  </si>
  <si>
    <t>BELLO</t>
  </si>
  <si>
    <t>Hashim</t>
  </si>
  <si>
    <t>1st Avenue,Gwarinpa,Abuja.</t>
  </si>
  <si>
    <t>ELrazi University</t>
  </si>
  <si>
    <t>221531279WACP181458917</t>
  </si>
  <si>
    <t>oladesemolajoyomolola@gmail.com</t>
  </si>
  <si>
    <t>AMINU</t>
  </si>
  <si>
    <t>Omolola</t>
  </si>
  <si>
    <t>Opposite NOUN, Oke Aro, Akure, Ondo State</t>
  </si>
  <si>
    <t>University of medical sciences, laje road, Ondo, Ondo State</t>
  </si>
  <si>
    <t>08138076144</t>
  </si>
  <si>
    <t>243091280WACP252256053</t>
  </si>
  <si>
    <t>sadibuba98@gmail.com</t>
  </si>
  <si>
    <t>Sadiya</t>
  </si>
  <si>
    <t xml:space="preserve">Tanimu </t>
  </si>
  <si>
    <t>No 28 Umar Mutallab road katsina estate life camp abuja</t>
  </si>
  <si>
    <t xml:space="preserve">Elrazi university Khartoum Sudan </t>
  </si>
  <si>
    <t>07066281471</t>
  </si>
  <si>
    <t>215271281WACP338157046</t>
  </si>
  <si>
    <t>meenatdogara@gmail.com</t>
  </si>
  <si>
    <t>YAHAYA</t>
  </si>
  <si>
    <t xml:space="preserve">Abdullahi </t>
  </si>
  <si>
    <t xml:space="preserve">Arabian Quaters katsina </t>
  </si>
  <si>
    <t xml:space="preserve">Elrazi University Sudan </t>
  </si>
  <si>
    <t>07032486988</t>
  </si>
  <si>
    <t>234071282WACP726431392</t>
  </si>
  <si>
    <t>hafsatkay2@gmail.com</t>
  </si>
  <si>
    <t>KABIR</t>
  </si>
  <si>
    <t>Hafsat</t>
  </si>
  <si>
    <t>No 5 ohimege off guava road unguwan dosa</t>
  </si>
  <si>
    <t xml:space="preserve">Sudan International University </t>
  </si>
  <si>
    <t>08100794454</t>
  </si>
  <si>
    <t>236741283WACP866114172</t>
  </si>
  <si>
    <t>Onyiijoy31@gmail.com</t>
  </si>
  <si>
    <t>ONYEWUCHI</t>
  </si>
  <si>
    <t>Onyinyechukwu</t>
  </si>
  <si>
    <t>No 180 Ifite road Awka Anambra state</t>
  </si>
  <si>
    <t>Chukwuemeka Odumegwu Ojukwu University Teaching Hospital (COOUTH)</t>
  </si>
  <si>
    <t>07067047808</t>
  </si>
  <si>
    <t>243291284WACP336650255</t>
  </si>
  <si>
    <t>zannunny@gmail.com</t>
  </si>
  <si>
    <t>YAHYA</t>
  </si>
  <si>
    <t>Yusuf</t>
  </si>
  <si>
    <t>Ã¢â€žâ€“:&amp;amp;#8470;2B Goruba road Katsina State.</t>
  </si>
  <si>
    <t>FTH Katsina</t>
  </si>
  <si>
    <t>08139725868</t>
  </si>
  <si>
    <t>202551285WACP344277205</t>
  </si>
  <si>
    <t>adebowale567@yahoo.com</t>
  </si>
  <si>
    <t>ADEBOWALE</t>
  </si>
  <si>
    <t>OLUWADAMILARE</t>
  </si>
  <si>
    <t>AHMED</t>
  </si>
  <si>
    <t>8 Samson Salau Street Giwa Ifo Local Government</t>
  </si>
  <si>
    <t>Lasuth</t>
  </si>
  <si>
    <t>09038966993</t>
  </si>
  <si>
    <t>242081286WACP872647081</t>
  </si>
  <si>
    <t>dapylyn@gmail.com</t>
  </si>
  <si>
    <t>IDUDU</t>
  </si>
  <si>
    <t>Adakpor</t>
  </si>
  <si>
    <t>Plot 3, Off Akaighe street, Along Jakpa Road, Effurun, Delta State, Nigeria</t>
  </si>
  <si>
    <t xml:space="preserve">University of Benin Teaching Hospital, UBTH, Benin City, Edo State, Nigeria </t>
  </si>
  <si>
    <t>08064456194</t>
  </si>
  <si>
    <t>112871287WACP464477807</t>
  </si>
  <si>
    <t>saliunaeemah@gmail.com</t>
  </si>
  <si>
    <t>SALIU</t>
  </si>
  <si>
    <t>Noheemat</t>
  </si>
  <si>
    <t>19, Association Avenue, Unique Estate, Magboro, Ogun State</t>
  </si>
  <si>
    <t>University of Ibadan</t>
  </si>
  <si>
    <t>07082397690</t>
  </si>
  <si>
    <t>241891288WACP339330007</t>
  </si>
  <si>
    <t>awodeledebbie1984@yahoo.com</t>
  </si>
  <si>
    <t>AWODELE</t>
  </si>
  <si>
    <t>Deborah</t>
  </si>
  <si>
    <t>No 10 Ilugbo close, Ojodu Berger</t>
  </si>
  <si>
    <t>University of lagos teaching hospital</t>
  </si>
  <si>
    <t>09097561052</t>
  </si>
  <si>
    <t>185551289WACP699147007</t>
  </si>
  <si>
    <t>shamsuddeenrad@gmail.com</t>
  </si>
  <si>
    <t xml:space="preserve">ABUBAKAR </t>
  </si>
  <si>
    <t xml:space="preserve">Shamsuddeen </t>
  </si>
  <si>
    <t>Rabiu</t>
  </si>
  <si>
    <t>No. 757 Tukuntawa Quarters, Zoo Road, Kano State, Nigeria.</t>
  </si>
  <si>
    <t>09131304445</t>
  </si>
  <si>
    <t>199441290WACP506622648</t>
  </si>
  <si>
    <t>hauwadamu7@gmail.com</t>
  </si>
  <si>
    <t>Oyanki</t>
  </si>
  <si>
    <t>Fort Royal estate.Abuja</t>
  </si>
  <si>
    <t>Nile university of Nigeria</t>
  </si>
  <si>
    <t>07066024568</t>
  </si>
  <si>
    <t>240001291WACP885345673</t>
  </si>
  <si>
    <t>ucheaghalu@gmail.com</t>
  </si>
  <si>
    <t xml:space="preserve">AGHALU </t>
  </si>
  <si>
    <t xml:space="preserve">Uchenna </t>
  </si>
  <si>
    <t xml:space="preserve">Chinonye </t>
  </si>
  <si>
    <t xml:space="preserve">Umuonaga village Awka </t>
  </si>
  <si>
    <t xml:space="preserve">Chukwuemeka Odumegwu Ojukwu University teaching hospital Awka </t>
  </si>
  <si>
    <t>08106991061</t>
  </si>
  <si>
    <t>233891292WACP695403902</t>
  </si>
  <si>
    <t>khaleelatgiwa06@gmail.com</t>
  </si>
  <si>
    <t>GIWA-AWONIRAN</t>
  </si>
  <si>
    <t>Khaleelat</t>
  </si>
  <si>
    <t>Feyisike</t>
  </si>
  <si>
    <t>20, Wilson-Emelike Street, Hilltop Estate Aboru Iyana-Ipaja, Lagos.</t>
  </si>
  <si>
    <t>08104999332</t>
  </si>
  <si>
    <t>241931293WACP420937437</t>
  </si>
  <si>
    <t>femchisom92@yahoo.com</t>
  </si>
  <si>
    <t>IBIWOYE</t>
  </si>
  <si>
    <t>Olufemi</t>
  </si>
  <si>
    <t xml:space="preserve">51 Jagunmolu Street Bariga Lagos </t>
  </si>
  <si>
    <t xml:space="preserve">Massey Street Children&amp;#039;s Hospital </t>
  </si>
  <si>
    <t>07069336003</t>
  </si>
  <si>
    <t>111841294WACP806469309</t>
  </si>
  <si>
    <t>laxzee2011@gmail.com</t>
  </si>
  <si>
    <t xml:space="preserve">ABDULAZEEZ </t>
  </si>
  <si>
    <t xml:space="preserve">Zainab </t>
  </si>
  <si>
    <t xml:space="preserve">Modibbo </t>
  </si>
  <si>
    <t xml:space="preserve">Barau Dikko Teaching Hospital Kaduna </t>
  </si>
  <si>
    <t>90691295WACP333763332</t>
  </si>
  <si>
    <t>lebarifrank@gmail.com</t>
  </si>
  <si>
    <t>FRANK</t>
  </si>
  <si>
    <t>Lebari</t>
  </si>
  <si>
    <t>Sorle</t>
  </si>
  <si>
    <t>7 Mosunmola Adekoya Close, Lagos</t>
  </si>
  <si>
    <t>FEDERAL MEDICAL CENTRE EBUTE-METTA</t>
  </si>
  <si>
    <t>242731296WACP588471244</t>
  </si>
  <si>
    <t>rukevweatori0@gmail.com</t>
  </si>
  <si>
    <t>ATORI</t>
  </si>
  <si>
    <t>OGHENERUKEVWE</t>
  </si>
  <si>
    <t>No 8, Joseph Atori Street, off udu road, Ovwian.</t>
  </si>
  <si>
    <t>Madonna University Elele, Rivers State.</t>
  </si>
  <si>
    <t>242891297WACP51309153</t>
  </si>
  <si>
    <t>yusufsaidu304@gmail.com</t>
  </si>
  <si>
    <t>SAIDU</t>
  </si>
  <si>
    <t>General Hospital, Jahun</t>
  </si>
  <si>
    <t>07032085527</t>
  </si>
  <si>
    <t>181211298WACP682835507</t>
  </si>
  <si>
    <t>fawziyyahagoro@gmail.com</t>
  </si>
  <si>
    <t>AGORO</t>
  </si>
  <si>
    <t>Fawziyyah</t>
  </si>
  <si>
    <t>22, Rev. Braithwaite Street, Agric, Epe, Lagos.</t>
  </si>
  <si>
    <t>EKO University of Medicine and Allied Sciences</t>
  </si>
  <si>
    <t>09072453867</t>
  </si>
  <si>
    <t>243431299WACP706386501</t>
  </si>
  <si>
    <t>dr.mkhalil81@gmail.com</t>
  </si>
  <si>
    <t>MAHMOOD</t>
  </si>
  <si>
    <t>Khalil</t>
  </si>
  <si>
    <t>Hospital Services Management Board Katsina</t>
  </si>
  <si>
    <t>Omdurman Islamic University In Sudan</t>
  </si>
  <si>
    <t>08034401814</t>
  </si>
  <si>
    <t>243181300WACP100722644</t>
  </si>
  <si>
    <t>Kameenah@gmail.com</t>
  </si>
  <si>
    <t>SHOBOWALE</t>
  </si>
  <si>
    <t>AMEENAT</t>
  </si>
  <si>
    <t>KIKELOMO</t>
  </si>
  <si>
    <t>12 funso oka street</t>
  </si>
  <si>
    <t>Izhevsk state medical academy</t>
  </si>
  <si>
    <t>09018555609</t>
  </si>
  <si>
    <t>242561301WACP201505666</t>
  </si>
  <si>
    <t>aminaalkali.b@gmail.com</t>
  </si>
  <si>
    <t>ALKALI</t>
  </si>
  <si>
    <t>amina</t>
  </si>
  <si>
    <t>baaba</t>
  </si>
  <si>
    <t>141-RIJIYAR ZAKI GWARZO ROAD KANO STATE</t>
  </si>
  <si>
    <t>SHENYANG MEDICAL COLLEGE CHINA</t>
  </si>
  <si>
    <t>09049490587</t>
  </si>
  <si>
    <t>243361302WACP982526345</t>
  </si>
  <si>
    <t>mustywali01@gmail.com</t>
  </si>
  <si>
    <t>mustapha</t>
  </si>
  <si>
    <t>wali</t>
  </si>
  <si>
    <t xml:space="preserve">No 36 yadim street shagari lowcost yola </t>
  </si>
  <si>
    <t>University of maiduguri</t>
  </si>
  <si>
    <t>226411303WACP833336264</t>
  </si>
  <si>
    <t>ruqayyahisiak@gmail.com</t>
  </si>
  <si>
    <t>ISIAK-BELGORE</t>
  </si>
  <si>
    <t>Rukayat</t>
  </si>
  <si>
    <t>Abidemi</t>
  </si>
  <si>
    <t>54, Eruda street, Baboko, Ilorin, Kwara state, Nigeria.</t>
  </si>
  <si>
    <t>07063817050</t>
  </si>
  <si>
    <t>200261304WACP97689835</t>
  </si>
  <si>
    <t>harunajaloauwalu@gmail.com</t>
  </si>
  <si>
    <t>AUWALU</t>
  </si>
  <si>
    <t>Haruna</t>
  </si>
  <si>
    <t>Jalo</t>
  </si>
  <si>
    <t>Shagari Phase 2, Yola Town, Off Mayodaga street</t>
  </si>
  <si>
    <t>Moddibo Adama University Teaching Hospital. Yola</t>
  </si>
  <si>
    <t>71901305WACP410866525</t>
  </si>
  <si>
    <t>fjitteh@gmail.com</t>
  </si>
  <si>
    <t>JITTEH</t>
  </si>
  <si>
    <t>Fatoumatta</t>
  </si>
  <si>
    <t>Independence Drive</t>
  </si>
  <si>
    <t>232161306WACP884094741</t>
  </si>
  <si>
    <t>ufe93.fa@gmail.com</t>
  </si>
  <si>
    <t xml:space="preserve">AMANABO </t>
  </si>
  <si>
    <t xml:space="preserve">Ufedo-ojo </t>
  </si>
  <si>
    <t xml:space="preserve">Faith </t>
  </si>
  <si>
    <t>Plot F3, Ike Ekweremadu Crescent, Congress court estate,  Lokogoma, Abuja</t>
  </si>
  <si>
    <t xml:space="preserve">Grodno State Medical University, Grodno, Belarus </t>
  </si>
  <si>
    <t>235501307WACP195939617</t>
  </si>
  <si>
    <t>nsenanzamaogban@gmail.com</t>
  </si>
  <si>
    <t>OGBAN</t>
  </si>
  <si>
    <t>Nsenanzama</t>
  </si>
  <si>
    <t>Eko</t>
  </si>
  <si>
    <t>Plot A, First Gate, Parliamentary village, Calabar, Cross River State</t>
  </si>
  <si>
    <t>University Of Calabar Teaching Hospital, Calabar</t>
  </si>
  <si>
    <t>07067026699</t>
  </si>
  <si>
    <t>242451308WACP881129705</t>
  </si>
  <si>
    <t>tahadekilekun@yahoo.com</t>
  </si>
  <si>
    <t>Abdulhakeem</t>
  </si>
  <si>
    <t>Adekilekun</t>
  </si>
  <si>
    <t>UNIOSUN TEACHING HOSPITAL OSOGBO, OSUN STATE</t>
  </si>
  <si>
    <t>11181309WACP261718136</t>
  </si>
  <si>
    <t>ndubuisikester@gmail.com</t>
  </si>
  <si>
    <t>NDUBUISI</t>
  </si>
  <si>
    <t>Kester</t>
  </si>
  <si>
    <t>Chikwendu</t>
  </si>
  <si>
    <t>08164189960</t>
  </si>
  <si>
    <t>180251310WACP399422979</t>
  </si>
  <si>
    <t>almustaphamaryam@gmail.com</t>
  </si>
  <si>
    <t>Ahmed</t>
  </si>
  <si>
    <t>No.B6, Asba and Dantata Estate, Asba and Dantata Street, Lifecamp, Abuja</t>
  </si>
  <si>
    <t>Federal Medical Center, Jabi, Abuja</t>
  </si>
  <si>
    <t>111771311WACP391315201</t>
  </si>
  <si>
    <t>Gladness</t>
  </si>
  <si>
    <t>Mother and child specialist hospital owa alero Delta state</t>
  </si>
  <si>
    <t>07035447198</t>
  </si>
  <si>
    <t>aminasambo18@yahoo.com</t>
  </si>
  <si>
    <t>SAMBO</t>
  </si>
  <si>
    <t>No 16 Abatcha street near Sabana Hospital, federal low cost Gombe, Gombe State</t>
  </si>
  <si>
    <t>Federal Medical Centre Abuja</t>
  </si>
  <si>
    <t>08061587056</t>
  </si>
  <si>
    <t>192981313WACP796870650</t>
  </si>
  <si>
    <t>avahadaeze@gmail.com</t>
  </si>
  <si>
    <t>ONODU</t>
  </si>
  <si>
    <t>Adaeze</t>
  </si>
  <si>
    <t>11 Ezenweke Street, Trans-ekulu,Enugu</t>
  </si>
  <si>
    <t>Enugu State University Teaching Hospital</t>
  </si>
  <si>
    <t>08134481902</t>
  </si>
  <si>
    <t>207511314WACP228841743</t>
  </si>
  <si>
    <t>chnnykk@gmail.com</t>
  </si>
  <si>
    <t>CHILOLI</t>
  </si>
  <si>
    <t>Nnenna</t>
  </si>
  <si>
    <t>Jane</t>
  </si>
  <si>
    <t>No. 35 Ebonesi street Fegge Onitsha</t>
  </si>
  <si>
    <t>Nnamdi-Azikiwe University Teaching Hospital Nnewi, Anambra state, Nigeria.</t>
  </si>
  <si>
    <t>243371315WACP499171730</t>
  </si>
  <si>
    <t>c.godspower@yahoo.com</t>
  </si>
  <si>
    <t>ONYEGAOLU</t>
  </si>
  <si>
    <t xml:space="preserve">Godspower </t>
  </si>
  <si>
    <t>Chukwudi</t>
  </si>
  <si>
    <t>29 west end street, Amadi ama port Harcourt</t>
  </si>
  <si>
    <t>University of port Harcourt, Port Harcourt</t>
  </si>
  <si>
    <t>208241316WACP293822099</t>
  </si>
  <si>
    <t>jataujosephwhyte47@yahoo.com</t>
  </si>
  <si>
    <t>JATAU</t>
  </si>
  <si>
    <t>Nil</t>
  </si>
  <si>
    <t>Department of f. medicine, ADH,11,julius Nyerere crescent Asokoro Abuja Nigeria</t>
  </si>
  <si>
    <t>Asokoro Distric Hospital Abuja</t>
  </si>
  <si>
    <t>50881317WACP762446425</t>
  </si>
  <si>
    <t>sagaygrace25@gmail.com</t>
  </si>
  <si>
    <t>NEGEDU</t>
  </si>
  <si>
    <t>Anninoritse</t>
  </si>
  <si>
    <t>08137728126</t>
  </si>
  <si>
    <t>University of Benin</t>
  </si>
  <si>
    <t>242871318WACP105608770</t>
  </si>
  <si>
    <t>dyusuf2009@gmail.com</t>
  </si>
  <si>
    <t>DOSUMU</t>
  </si>
  <si>
    <t>Adebowale</t>
  </si>
  <si>
    <t>6, Alhaja Tijani street Ojodu abiodun way, Ojodu berger Lagos</t>
  </si>
  <si>
    <t>LAGOS STATE UNIVERSITY, OJO</t>
  </si>
  <si>
    <t>08067180403</t>
  </si>
  <si>
    <t>184291319WACP77870974</t>
  </si>
  <si>
    <t>ewaefaomini@gmail.com</t>
  </si>
  <si>
    <t>EWA</t>
  </si>
  <si>
    <t>Efayobaseta</t>
  </si>
  <si>
    <t>Omini</t>
  </si>
  <si>
    <t>Nnewi Anambra State</t>
  </si>
  <si>
    <t>Nnamdi Azikiwe University teaching hospital</t>
  </si>
  <si>
    <t>08148000810</t>
  </si>
  <si>
    <t>243611320WACP454763084</t>
  </si>
  <si>
    <t>dambatta.ummi@gmail.com</t>
  </si>
  <si>
    <t>Dambatta</t>
  </si>
  <si>
    <t>Ummi</t>
  </si>
  <si>
    <t>Sani</t>
  </si>
  <si>
    <t>D city estate zango zaria</t>
  </si>
  <si>
    <t>ABUTH ZARIA</t>
  </si>
  <si>
    <t>08079237916</t>
  </si>
  <si>
    <t>243651321WACP54800866</t>
  </si>
  <si>
    <t>damilola.oladunni.do.do@gmail.com</t>
  </si>
  <si>
    <t>OLADUNNI</t>
  </si>
  <si>
    <t>Damilola</t>
  </si>
  <si>
    <t>Damilare</t>
  </si>
  <si>
    <t>10 Tola Adewunmi Street,Maryland,Lagos</t>
  </si>
  <si>
    <t>Afe Babalola University Ado-Ekiti</t>
  </si>
  <si>
    <t>08163121505</t>
  </si>
  <si>
    <t>243221322WACP876433232</t>
  </si>
  <si>
    <t>jessyadanu123@gmail.com</t>
  </si>
  <si>
    <t>ADANU</t>
  </si>
  <si>
    <t>Jessica</t>
  </si>
  <si>
    <t>Igbe</t>
  </si>
  <si>
    <t>FCDA owner occupier estate Kubwa Abuja</t>
  </si>
  <si>
    <t>08126127265</t>
  </si>
  <si>
    <t>241061323WACP479354771</t>
  </si>
  <si>
    <t>algusawi2016@gmail.com</t>
  </si>
  <si>
    <t xml:space="preserve">LAWALI </t>
  </si>
  <si>
    <t>Dr.</t>
  </si>
  <si>
    <t xml:space="preserve"> Opposite alheri group of schools tudun wada Gusau</t>
  </si>
  <si>
    <t>Usman danfodio university sokoto</t>
  </si>
  <si>
    <t>08163301188</t>
  </si>
  <si>
    <t>191291324WACP261761585</t>
  </si>
  <si>
    <t>ginamikael@yahoo.com</t>
  </si>
  <si>
    <t>NWEKE</t>
  </si>
  <si>
    <t>Nkechi</t>
  </si>
  <si>
    <t>Regina</t>
  </si>
  <si>
    <t>56951325WACP235748226</t>
  </si>
  <si>
    <t>tonybush98@gmail.com</t>
  </si>
  <si>
    <t>NWOHIRI</t>
  </si>
  <si>
    <t>Celine</t>
  </si>
  <si>
    <t>10 Iyanda Bashua close, off Fola Agoro Road, Lagos</t>
  </si>
  <si>
    <t>Lagos University Teaching Hospital</t>
  </si>
  <si>
    <t>08068726904</t>
  </si>
  <si>
    <t>207451326WACP568049087</t>
  </si>
  <si>
    <t>yusuftaqiyya@yahoo.com</t>
  </si>
  <si>
    <t>BAKO</t>
  </si>
  <si>
    <t xml:space="preserve">taqiyyat </t>
  </si>
  <si>
    <t>yusuf</t>
  </si>
  <si>
    <t>Ivy apartments wuye abuja</t>
  </si>
  <si>
    <t>October 6th university egypt</t>
  </si>
  <si>
    <t>07033175223</t>
  </si>
  <si>
    <t>200401327WACP478923457</t>
  </si>
  <si>
    <t>temmy4christj@gmail.com</t>
  </si>
  <si>
    <t>ADESUYAN</t>
  </si>
  <si>
    <t xml:space="preserve">Caroline </t>
  </si>
  <si>
    <t xml:space="preserve">Layo </t>
  </si>
  <si>
    <t>2, Line 6 Olubukun Street  Ife City area Ile Ife, Osun State</t>
  </si>
  <si>
    <t>OBAFEMI AWOLOWO UNIVERSITY TEACHING HOSPITALS COMPLEX, ILE IFE</t>
  </si>
  <si>
    <t>07030077938</t>
  </si>
  <si>
    <t>185171328WACP997867011</t>
  </si>
  <si>
    <t>seyioluwabukunmi99@gmail.com</t>
  </si>
  <si>
    <t>ADELAKUN</t>
  </si>
  <si>
    <t>Bukunmi</t>
  </si>
  <si>
    <t>zone 8 iludun area testing ground osogbo, osun state</t>
  </si>
  <si>
    <t>UNIVERSITY OF ILORIN TEACHING HOSPITAL</t>
  </si>
  <si>
    <t>08140536671</t>
  </si>
  <si>
    <t>243551329WACP88274751</t>
  </si>
  <si>
    <t>driyareosas247@gmail.com</t>
  </si>
  <si>
    <t>IYARE</t>
  </si>
  <si>
    <t>osarhiemen</t>
  </si>
  <si>
    <t xml:space="preserve">department of community medicine </t>
  </si>
  <si>
    <t>Alex Ekwueme Federal University Teaching Hospital, Abakaliki</t>
  </si>
  <si>
    <t>3681330WACP410080139</t>
  </si>
  <si>
    <t>marufayodejijimoh@yahoo.com</t>
  </si>
  <si>
    <t>JIMOH</t>
  </si>
  <si>
    <t>Maruf</t>
  </si>
  <si>
    <t>Ayodeji</t>
  </si>
  <si>
    <t>University of Ilorin Teaching Hospital Ilorin</t>
  </si>
  <si>
    <t>08082766401</t>
  </si>
  <si>
    <t>passedorals</t>
  </si>
  <si>
    <t>30971331WACP354462999</t>
  </si>
  <si>
    <t>uzomafideliachigbu@gmail.com</t>
  </si>
  <si>
    <t>Okoro Amoji</t>
  </si>
  <si>
    <t>Uzoma</t>
  </si>
  <si>
    <t>Fidelia</t>
  </si>
  <si>
    <t>Pw Kubwa Abuja</t>
  </si>
  <si>
    <t>ABSUTH</t>
  </si>
  <si>
    <t>07035311312</t>
  </si>
  <si>
    <t>243701332WACP721405229</t>
  </si>
  <si>
    <t>chidimmaudeozo@gmail.com</t>
  </si>
  <si>
    <t xml:space="preserve">UGWUEZE </t>
  </si>
  <si>
    <t>Chidimma</t>
  </si>
  <si>
    <t>Chiamaka</t>
  </si>
  <si>
    <t>39 Adenuga Street New Bodija Ibadan, Oyo State</t>
  </si>
  <si>
    <t>08137584811</t>
  </si>
  <si>
    <t>194271333WACP239441876</t>
  </si>
  <si>
    <t>vivianamadi@ymail.com</t>
  </si>
  <si>
    <t xml:space="preserve">Nkeiruka </t>
  </si>
  <si>
    <t xml:space="preserve">17 Peter Chigbue Close, Alpha Beach Road,  off Lekki-Epe. Lagos </t>
  </si>
  <si>
    <t xml:space="preserve">Onikan General Hospital, Lagos </t>
  </si>
  <si>
    <t>08179076325</t>
  </si>
  <si>
    <t>29331334WACP128142965</t>
  </si>
  <si>
    <t>nwenwechinwendu@gmail.com</t>
  </si>
  <si>
    <t>NWENWE</t>
  </si>
  <si>
    <t>Chinwendu</t>
  </si>
  <si>
    <t>Ogechi</t>
  </si>
  <si>
    <t>5 Aluede Street, Benin Technical College Road Benin City, Edo State, Nigeria</t>
  </si>
  <si>
    <t>University of Benin Teaching Hospital PMB 1111 Lagos Benin Expressway, Ugbowo Benin City, Edo State, Nigeria</t>
  </si>
  <si>
    <t>08146442319</t>
  </si>
  <si>
    <t>242111335WACP277667060</t>
  </si>
  <si>
    <t>nworiechiamaka3@gmail.com</t>
  </si>
  <si>
    <t>Nnajiofor</t>
  </si>
  <si>
    <t>Rita</t>
  </si>
  <si>
    <t>No 2 Isuoba Penocks Enugu state</t>
  </si>
  <si>
    <t>Godfrey Okoye University Teaching Hospital</t>
  </si>
  <si>
    <t>08130485464</t>
  </si>
  <si>
    <t>239481336WACP423062504</t>
  </si>
  <si>
    <t>eromsmosel@gmail.com</t>
  </si>
  <si>
    <t>OLIGBI</t>
  </si>
  <si>
    <t>Eromosele</t>
  </si>
  <si>
    <t>Flat 3, Henry Morkah street, Gwagwalada</t>
  </si>
  <si>
    <t>University of Abuja Teaching Hospital (UATH)</t>
  </si>
  <si>
    <t>08090860019</t>
  </si>
  <si>
    <t>66301337WACP569979080</t>
  </si>
  <si>
    <t>isahruqayya@gmail.com</t>
  </si>
  <si>
    <t>ISAH</t>
  </si>
  <si>
    <t>22Road house no 11 Gwarimpa 2nd avenue Abuja</t>
  </si>
  <si>
    <t xml:space="preserve">Nile university Sudan </t>
  </si>
  <si>
    <t>08038913962</t>
  </si>
  <si>
    <t>213071338WACP63062410</t>
  </si>
  <si>
    <t>hopennenna34@gmail.com</t>
  </si>
  <si>
    <t xml:space="preserve">OKAFOR </t>
  </si>
  <si>
    <t>45 Angel Estate New GRA Trans-Ekulu</t>
  </si>
  <si>
    <t>Enugu State University Teaching Hospital Parklane, Enugu</t>
  </si>
  <si>
    <t>07065726562</t>
  </si>
  <si>
    <t>240401339WACP698949147</t>
  </si>
  <si>
    <t>drneurone13@gmail.com</t>
  </si>
  <si>
    <t>IBUJE</t>
  </si>
  <si>
    <t>Taghogho</t>
  </si>
  <si>
    <t>Emuobo</t>
  </si>
  <si>
    <t>1 Odo-efo, after osere Junction, asadam, Ilorin, Kwara State</t>
  </si>
  <si>
    <t>University of Ilorin teaching hospital</t>
  </si>
  <si>
    <t>09033689010</t>
  </si>
  <si>
    <t>243311340WACP973685072</t>
  </si>
  <si>
    <t>okekeogechukwu40@gmail.com</t>
  </si>
  <si>
    <t>Scholarstica</t>
  </si>
  <si>
    <t>No 10 Solomon Street</t>
  </si>
  <si>
    <t>Afe Babalola</t>
  </si>
  <si>
    <t>08163177326</t>
  </si>
  <si>
    <t>242321341WACP629657239</t>
  </si>
  <si>
    <t>rachelwinslow.17@gmail.com</t>
  </si>
  <si>
    <t>ONUH</t>
  </si>
  <si>
    <t>gift</t>
  </si>
  <si>
    <t xml:space="preserve">ojoduwene </t>
  </si>
  <si>
    <t xml:space="preserve">federal medical centre keffi </t>
  </si>
  <si>
    <t>Afe babalola university ado ekiti, ekiti state</t>
  </si>
  <si>
    <t>08169470019</t>
  </si>
  <si>
    <t>186841342WACP95497827</t>
  </si>
  <si>
    <t>muhdsaboyandutse18@gmail.com</t>
  </si>
  <si>
    <t>Sabo</t>
  </si>
  <si>
    <t>No 1 Yandutse Arewa, Ringim Local Government Jigawa State</t>
  </si>
  <si>
    <t>University Medical Services, Sule Lamido University Kafin Hauaa</t>
  </si>
  <si>
    <t>08066252285</t>
  </si>
  <si>
    <t>239681343WACP279922495</t>
  </si>
  <si>
    <t>diamondizugbara15@gmail.com</t>
  </si>
  <si>
    <t>IZUGBARA</t>
  </si>
  <si>
    <t>Diamond</t>
  </si>
  <si>
    <t>Block 1 Flat 1, Phase 2 site 1, Kuje street, Kubwa, Abuja</t>
  </si>
  <si>
    <t>08128220643</t>
  </si>
  <si>
    <t>243301344WACP932895765</t>
  </si>
  <si>
    <t>enejetajoel@gmail.com</t>
  </si>
  <si>
    <t>ENEJETA</t>
  </si>
  <si>
    <t>Joel</t>
  </si>
  <si>
    <t xml:space="preserve">Ogagaoghene </t>
  </si>
  <si>
    <t>No. 3 umuizana quarters ogbeiyase ugbolu</t>
  </si>
  <si>
    <t>Delta state university, Abraka</t>
  </si>
  <si>
    <t>07036366590</t>
  </si>
  <si>
    <t>242801345WACP233745540</t>
  </si>
  <si>
    <t>johnisrael@icloud.com</t>
  </si>
  <si>
    <t>ISRAEL</t>
  </si>
  <si>
    <t>Akintunde</t>
  </si>
  <si>
    <t>Department of connumity Medicine, UCH Ibadan</t>
  </si>
  <si>
    <t xml:space="preserve">University College HospitaÃ…â€š, Ibadan </t>
  </si>
  <si>
    <t>08054193113</t>
  </si>
  <si>
    <t>122181346WACP384869237</t>
  </si>
  <si>
    <t>ifejioforebere@yahoo.com</t>
  </si>
  <si>
    <t>IFEJIOFOR</t>
  </si>
  <si>
    <t>Eberechukwu</t>
  </si>
  <si>
    <t>Gloria</t>
  </si>
  <si>
    <t>Ahmadu Bello University Teaching Hospital, Zaria</t>
  </si>
  <si>
    <t>40981347WACP675613324</t>
  </si>
  <si>
    <t>fatimazarma2@gmail.com</t>
  </si>
  <si>
    <t>ZARMA</t>
  </si>
  <si>
    <t>Ajiya</t>
  </si>
  <si>
    <t>Hayatt University College</t>
  </si>
  <si>
    <t>241331348WACP580499211</t>
  </si>
  <si>
    <t>ezeakaadanna@gmail.com</t>
  </si>
  <si>
    <t>OBI</t>
  </si>
  <si>
    <t xml:space="preserve">Adanna </t>
  </si>
  <si>
    <t>Vivian</t>
  </si>
  <si>
    <t>19 Pentecost Avenue Phase 6, Trans-Ekulu, Enugu State.</t>
  </si>
  <si>
    <t>University of Nigeria Teaching Hospital Enugu</t>
  </si>
  <si>
    <t>08164386291</t>
  </si>
  <si>
    <t>233621349WACP584138703</t>
  </si>
  <si>
    <t>alabighaffar@yahoo.com</t>
  </si>
  <si>
    <t>ALABI</t>
  </si>
  <si>
    <t>Abdul-gaffar</t>
  </si>
  <si>
    <t>Fortune</t>
  </si>
  <si>
    <t>Behind winner&amp;#039;s church, off airport road, ilorin, Kwara state</t>
  </si>
  <si>
    <t>Kwara State University Teaching Hospital, ilorin.</t>
  </si>
  <si>
    <t>07056720022</t>
  </si>
  <si>
    <t>242431350WACP195123088</t>
  </si>
  <si>
    <t>james_yewande@yahoo.com</t>
  </si>
  <si>
    <t>JAMES</t>
  </si>
  <si>
    <t>Oluwayomi</t>
  </si>
  <si>
    <t>15, Adebajo, Kongi, Bodija, Ibadan, Oyo State, Nigeria</t>
  </si>
  <si>
    <t xml:space="preserve">University of Ibadan </t>
  </si>
  <si>
    <t>196151351WACP428910622</t>
  </si>
  <si>
    <t>awwalhamidu@gmail.com</t>
  </si>
  <si>
    <t>ABDULHAMID</t>
  </si>
  <si>
    <t>Awwal</t>
  </si>
  <si>
    <t>Katuru Road, Badarawa, Kaduna State, Nigeria</t>
  </si>
  <si>
    <t>American International University West Africa, The Gambia</t>
  </si>
  <si>
    <t>242091352WACP717234628</t>
  </si>
  <si>
    <t>nsadiq963@gmail.com</t>
  </si>
  <si>
    <t>SADIQ</t>
  </si>
  <si>
    <t>Nafisa</t>
  </si>
  <si>
    <t>Ahmad</t>
  </si>
  <si>
    <t>4b Jaji close off Jaji Road Malali Kaduna</t>
  </si>
  <si>
    <t>Ahmadu Bello University Teaching Hospital Zaria</t>
  </si>
  <si>
    <t>243811353WACP382526352</t>
  </si>
  <si>
    <t>preciouseobute@gmail.com</t>
  </si>
  <si>
    <t xml:space="preserve">OBUTE </t>
  </si>
  <si>
    <t>Precious</t>
  </si>
  <si>
    <t>Ehi</t>
  </si>
  <si>
    <t>2,Adonai Clse,Old Karu Rd, Box 299, Mararaba,  (Karu Ward) (FCT:90001) Nasarawa Nigeria</t>
  </si>
  <si>
    <t>Bingham University Karu</t>
  </si>
  <si>
    <t>93981354WACP360989237</t>
  </si>
  <si>
    <t>eberechukwuchukwu4@gmail.com</t>
  </si>
  <si>
    <t>eberechukwu</t>
  </si>
  <si>
    <t>e</t>
  </si>
  <si>
    <t>16 Asadu street, thinker&amp;#039;s corner Enugu</t>
  </si>
  <si>
    <t>University of Nigeria Teaching Hospital, Ituku-Ozalla, Enugu</t>
  </si>
  <si>
    <t>08037672588</t>
  </si>
  <si>
    <t>205841355WACP863923231</t>
  </si>
  <si>
    <t>ukobaobatavwe@gmail.com</t>
  </si>
  <si>
    <t>UKOBA</t>
  </si>
  <si>
    <t>obatavwe</t>
  </si>
  <si>
    <t>..</t>
  </si>
  <si>
    <t>NO 34 REDEMPTION ROAD, PIPELINE, RUMUOKWURUSI, RIVERS STATE, NIGERIA</t>
  </si>
  <si>
    <t>DELTA STATE UNIVERSITY TEACHING HOSPITAL</t>
  </si>
  <si>
    <t>08032785281</t>
  </si>
  <si>
    <t>216201356WACP747563393</t>
  </si>
  <si>
    <t>emisdo44@gmail.com</t>
  </si>
  <si>
    <t>UDOMA</t>
  </si>
  <si>
    <t xml:space="preserve">Emmanuel </t>
  </si>
  <si>
    <t>Isidore</t>
  </si>
  <si>
    <t xml:space="preserve">Palmgroove close by RCCG, Abak, Akwa Ibom State, Nigeria </t>
  </si>
  <si>
    <t xml:space="preserve">University of Uyo </t>
  </si>
  <si>
    <t>08106247031</t>
  </si>
  <si>
    <t>219591357WACP290022899</t>
  </si>
  <si>
    <t>joyoftheking@gmail.com</t>
  </si>
  <si>
    <t>EDOKPAYI</t>
  </si>
  <si>
    <t>JOY</t>
  </si>
  <si>
    <t>OGHOGHO</t>
  </si>
  <si>
    <t>9 Adesida close, off lukman jenmi street, agric road, Egan, Igando, Lagos</t>
  </si>
  <si>
    <t>ALIMOSHO GENERAL HOSPITAL</t>
  </si>
  <si>
    <t>08057866746</t>
  </si>
  <si>
    <t>242811358WACP819050355</t>
  </si>
  <si>
    <t>rnsiah15@gmail.com</t>
  </si>
  <si>
    <t>NSIAH</t>
  </si>
  <si>
    <t xml:space="preserve">RICHARD </t>
  </si>
  <si>
    <t>P.O Box 26</t>
  </si>
  <si>
    <t>Ejura Government Hospital</t>
  </si>
  <si>
    <t>0241893693</t>
  </si>
  <si>
    <t>243191359WACP70169568</t>
  </si>
  <si>
    <t>sharonstephen97@gmail.com</t>
  </si>
  <si>
    <t xml:space="preserve">OLAIDE-STEPHEN </t>
  </si>
  <si>
    <t xml:space="preserve">Oluwamitobi </t>
  </si>
  <si>
    <t>Plot 29 block 79 itumo Ogbonna Lekki phase 1, Lagos state.</t>
  </si>
  <si>
    <t xml:space="preserve">Babcock University </t>
  </si>
  <si>
    <t>87081360WACP787066755</t>
  </si>
  <si>
    <t>ifex199307@gmail.com</t>
  </si>
  <si>
    <t>CHINURUEKPERE</t>
  </si>
  <si>
    <t>Godswill</t>
  </si>
  <si>
    <t>Dadinkowa new abuja Jos plateau state</t>
  </si>
  <si>
    <t>08132238274</t>
  </si>
  <si>
    <t>243241361WACP719181964</t>
  </si>
  <si>
    <t>imeldacordelia24@gmail.com</t>
  </si>
  <si>
    <t>ISIDIENU</t>
  </si>
  <si>
    <t>Cordelia</t>
  </si>
  <si>
    <t>Otito</t>
  </si>
  <si>
    <t>Road 27 Ngozika hosing Estate Awka</t>
  </si>
  <si>
    <t>Nnamdi Azikiwe university</t>
  </si>
  <si>
    <t>09068759566</t>
  </si>
  <si>
    <t>242881362WACP794140363</t>
  </si>
  <si>
    <t>fiateideandrew@gmail.com</t>
  </si>
  <si>
    <t>FIATEIDE</t>
  </si>
  <si>
    <t>ayibaebi</t>
  </si>
  <si>
    <t>andrew</t>
  </si>
  <si>
    <t>3, BIOWEI STREET, KPANSIA II, YENAGOA, BAYELSA STATE</t>
  </si>
  <si>
    <t>Federal Medical center, Yenagoa</t>
  </si>
  <si>
    <t>10181363WACP874246707</t>
  </si>
  <si>
    <t>osemwekhagoodness6@gmail.com</t>
  </si>
  <si>
    <t>OSEMWEKHA</t>
  </si>
  <si>
    <t>Goodness</t>
  </si>
  <si>
    <t>Umamwosa</t>
  </si>
  <si>
    <t>Road 15, Flat 1 Myrtle Building, NAF Harmony Estate, GU Ake Road Port Harcourt, Rivers State.</t>
  </si>
  <si>
    <t>09023750395</t>
  </si>
  <si>
    <t>243911364WACP490636126</t>
  </si>
  <si>
    <t>doctordavisizekor@gmail.com</t>
  </si>
  <si>
    <t xml:space="preserve">IZEKOR </t>
  </si>
  <si>
    <t xml:space="preserve">eghomwanre </t>
  </si>
  <si>
    <t>davis</t>
  </si>
  <si>
    <t>UNIVERSITY OF CALABAR TEACHING HOSPITAL</t>
  </si>
  <si>
    <t>51971365WACP592154424</t>
  </si>
  <si>
    <t>damilolaasalu.ad@gmail.com</t>
  </si>
  <si>
    <t>ASALU</t>
  </si>
  <si>
    <t>damilola</t>
  </si>
  <si>
    <t>esther</t>
  </si>
  <si>
    <t xml:space="preserve">Irrua Specialist Teaching Hospital, Irrua, Edo State </t>
  </si>
  <si>
    <t>08106328263</t>
  </si>
  <si>
    <t>192831366WACP215255467</t>
  </si>
  <si>
    <t>akintiloakintomide@gmail.com</t>
  </si>
  <si>
    <t>AKINTILO</t>
  </si>
  <si>
    <t>Akintomide</t>
  </si>
  <si>
    <t>Adeola</t>
  </si>
  <si>
    <t>25 matadi street wuse zone 3</t>
  </si>
  <si>
    <t>asokoro general hospital</t>
  </si>
  <si>
    <t>07036293391</t>
  </si>
  <si>
    <t>243081367WACP321905692</t>
  </si>
  <si>
    <t>ubongnwawo@gmail.com</t>
  </si>
  <si>
    <t>DOKUBO-WIZZDOM</t>
  </si>
  <si>
    <t>Ubong</t>
  </si>
  <si>
    <t>No 5 Idowu Emma Street New Ilasan Road Ikate-Lekki</t>
  </si>
  <si>
    <t>Igbinedion University Okada</t>
  </si>
  <si>
    <t>09069119045</t>
  </si>
  <si>
    <t>243661368WACP249214311</t>
  </si>
  <si>
    <t>princeetu29@gmail.com</t>
  </si>
  <si>
    <t>ETU</t>
  </si>
  <si>
    <t>Prince</t>
  </si>
  <si>
    <t>Plot 2 block XVII Ogun state housing corporation estate ajebo road abeokuta Ogun state</t>
  </si>
  <si>
    <t>Crescent university clinic</t>
  </si>
  <si>
    <t>07046572481</t>
  </si>
  <si>
    <t>241551369WACP980204603</t>
  </si>
  <si>
    <t>orjidonatus83@yahoo.com</t>
  </si>
  <si>
    <t xml:space="preserve"> Onyeka</t>
  </si>
  <si>
    <t>Orji</t>
  </si>
  <si>
    <t>Donatus</t>
  </si>
  <si>
    <t>83131370WACP849274765</t>
  </si>
  <si>
    <t>lucyimoru04@gmail.com</t>
  </si>
  <si>
    <t>INAKU</t>
  </si>
  <si>
    <t>LUCY</t>
  </si>
  <si>
    <t>ABOSEDE</t>
  </si>
  <si>
    <t>PLOT 14, BLOCK G, SATELLITE TOWN, CALABAR</t>
  </si>
  <si>
    <t>08038282356</t>
  </si>
  <si>
    <t>244021371WACP631842910</t>
  </si>
  <si>
    <t>Inappropriate application form was submitted. All attempts to reach this applicant by phone over several days failed. She has not responded to the email sent to her.</t>
  </si>
  <si>
    <t>udemsifymart@gmail.com</t>
  </si>
  <si>
    <t>EMENIKE</t>
  </si>
  <si>
    <t>ifeoma</t>
  </si>
  <si>
    <t>martina</t>
  </si>
  <si>
    <t>No. 2 Hill View Estate Ibagwa Nike, Enugu</t>
  </si>
  <si>
    <t>University of Nigeria, Enugu Campus</t>
  </si>
  <si>
    <t>07038803300</t>
  </si>
  <si>
    <t>213281372WACP306813204</t>
  </si>
  <si>
    <t>myeva94@gmail.com</t>
  </si>
  <si>
    <t xml:space="preserve">GYAMAA-YEBOAH </t>
  </si>
  <si>
    <t>Eva</t>
  </si>
  <si>
    <t>Post Office Box 517, Estate Experimental School</t>
  </si>
  <si>
    <t xml:space="preserve">St. James Clinic, Abesim,Ghana </t>
  </si>
  <si>
    <t>0552358163/0506899302</t>
  </si>
  <si>
    <t>GHWACP278548757</t>
  </si>
  <si>
    <t>docasu2013@hotmail.com</t>
  </si>
  <si>
    <t>USMAN</t>
  </si>
  <si>
    <t>Abdurrahman</t>
  </si>
  <si>
    <t>Federal Teaching Hospital Katsina</t>
  </si>
  <si>
    <t>07031969991</t>
  </si>
  <si>
    <t>225331375WACP14712727</t>
  </si>
  <si>
    <t>olunladeotobiloba@gmail.com</t>
  </si>
  <si>
    <t>OLUNLADE</t>
  </si>
  <si>
    <t>Oluwatobiloba</t>
  </si>
  <si>
    <t>Villa Clara, Temidire Estate, Osogbo. Osun State</t>
  </si>
  <si>
    <t>UNIOSUN Teaching Hospital. Osogbo</t>
  </si>
  <si>
    <t>93261376WACP109546885</t>
  </si>
  <si>
    <t>00070503000h@gmail.com</t>
  </si>
  <si>
    <t>Hamza</t>
  </si>
  <si>
    <t>NO 16B CLAPPERTON ROAD SOKOTO</t>
  </si>
  <si>
    <t>USMANU DANFODIYO UNIVERSITY TEACHING HOSPITAL ( UDUTH ) SOKOTO</t>
  </si>
  <si>
    <t>53361377WACP364777440</t>
  </si>
  <si>
    <t>drjessy26@gmail.com</t>
  </si>
  <si>
    <t>OKOLUE</t>
  </si>
  <si>
    <t>Grace Jessica</t>
  </si>
  <si>
    <t>Late Mr. Clement Okolue&amp;#039;s Compound, Awuda, Nnobi, Anambra State</t>
  </si>
  <si>
    <t>08066474080</t>
  </si>
  <si>
    <t>243951378WACP242256716</t>
  </si>
  <si>
    <t>danquah0543540829@gmail.com</t>
  </si>
  <si>
    <t xml:space="preserve">DANQUAH </t>
  </si>
  <si>
    <t>Edmond</t>
  </si>
  <si>
    <t>Siaw</t>
  </si>
  <si>
    <t>0543540829</t>
  </si>
  <si>
    <t>UGMC, Accra</t>
  </si>
  <si>
    <t>0246001842</t>
  </si>
  <si>
    <t>243821379WACP108523352</t>
  </si>
  <si>
    <t>adaobiokeke86@gmail.com</t>
  </si>
  <si>
    <t>UGOH</t>
  </si>
  <si>
    <t>Adaobi</t>
  </si>
  <si>
    <t>Stellamaris</t>
  </si>
  <si>
    <t>Plot 1632 opp Sir White junction, Works layout, Amakohia jurisdiction, Owerri.</t>
  </si>
  <si>
    <t>Federal Medical Centre Owerri</t>
  </si>
  <si>
    <t>108471380WACP123462104</t>
  </si>
  <si>
    <t>oreoluwa.fuwape@yahoo.com</t>
  </si>
  <si>
    <t>FUWAPE</t>
  </si>
  <si>
    <t>Oreoluwa</t>
  </si>
  <si>
    <t>20, Prince Ogunmuda Elemoro street,</t>
  </si>
  <si>
    <t>Babcock University, Ilishan-Remo, Ogun State, Nigeria</t>
  </si>
  <si>
    <t>07051734684</t>
  </si>
  <si>
    <t>241911381WACP806078488</t>
  </si>
  <si>
    <t>somadinagodsfavour1@gmail.com</t>
  </si>
  <si>
    <t>UDE</t>
  </si>
  <si>
    <t>Somadina</t>
  </si>
  <si>
    <t>Godsfavour</t>
  </si>
  <si>
    <t>7 Corporation Boulevard Trans Ekulu Enugu</t>
  </si>
  <si>
    <t>University of Nigeria Nsukka</t>
  </si>
  <si>
    <t>08054514526</t>
  </si>
  <si>
    <t>239171382WACP530356003</t>
  </si>
  <si>
    <t>williamkamara89@gmail.com</t>
  </si>
  <si>
    <t>KAMARA</t>
  </si>
  <si>
    <t>William</t>
  </si>
  <si>
    <t>Hastings Air Field</t>
  </si>
  <si>
    <t>College of Medicine and Allied Health Sciences (COMAHS) University of Sierra Leone.</t>
  </si>
  <si>
    <t>243441383WACP505706510</t>
  </si>
  <si>
    <t>cakpoke@gmail.com</t>
  </si>
  <si>
    <t>AKPOKE</t>
  </si>
  <si>
    <t>Chukwu</t>
  </si>
  <si>
    <t>Aja</t>
  </si>
  <si>
    <t xml:space="preserve">Fidelis Oka Compound, Obama village, Abakaliki, Ebonyi State </t>
  </si>
  <si>
    <t>Alex-Ekwueme Federal University Teaching Hospital, Abakaliki, Ebonyi State, Nigeria</t>
  </si>
  <si>
    <t>187741384WACP658480419</t>
  </si>
  <si>
    <t>ann.onda@yahoo.com</t>
  </si>
  <si>
    <t>Ikpe</t>
  </si>
  <si>
    <t>Ann</t>
  </si>
  <si>
    <t>Itoro</t>
  </si>
  <si>
    <t>7 Ekong Uko Street, Eket, Akwa Ibom State</t>
  </si>
  <si>
    <t>University of Uyo Teaching Hospital, Uyo, Akwa Ibom State.</t>
  </si>
  <si>
    <t>08069267921</t>
  </si>
  <si>
    <t>183561385WACP594695303</t>
  </si>
  <si>
    <t>sumayyasalisu15@gmail.com</t>
  </si>
  <si>
    <t>Sumayya</t>
  </si>
  <si>
    <t>Khamisu</t>
  </si>
  <si>
    <t>Kano State</t>
  </si>
  <si>
    <t>08144888471</t>
  </si>
  <si>
    <t>242301386WACP278406663</t>
  </si>
  <si>
    <t>aarondanjuma1987@gmail.com</t>
  </si>
  <si>
    <t>Danjuma</t>
  </si>
  <si>
    <t>Shekwonuzayi</t>
  </si>
  <si>
    <t>Aaron</t>
  </si>
  <si>
    <t>Gwagwalada, Abuja</t>
  </si>
  <si>
    <t>07031852150</t>
  </si>
  <si>
    <t>243471387WACP406099642</t>
  </si>
  <si>
    <t>olanmairoha@yahoo.com</t>
  </si>
  <si>
    <t>IROHA</t>
  </si>
  <si>
    <t>Olanma</t>
  </si>
  <si>
    <t>Okorie</t>
  </si>
  <si>
    <t>3a oduduwa way</t>
  </si>
  <si>
    <t>08130327355</t>
  </si>
  <si>
    <t>243691388WACP458095857</t>
  </si>
  <si>
    <t>glabar@ymail.com</t>
  </si>
  <si>
    <t>MADI</t>
  </si>
  <si>
    <t>Nghina</t>
  </si>
  <si>
    <t>No. 1 Victor Pam Avenue, Shehe Rayfield, Jos</t>
  </si>
  <si>
    <t>40901389WACP578482263</t>
  </si>
  <si>
    <t>abdulsarumi@gmail.com</t>
  </si>
  <si>
    <t xml:space="preserve">SARUMI </t>
  </si>
  <si>
    <t xml:space="preserve">Abdulkareem </t>
  </si>
  <si>
    <t xml:space="preserve">Babatunde </t>
  </si>
  <si>
    <t xml:space="preserve">FLAT 3 GIDAN YARIMA MILGOMA OPP ABUTH-SHIKA </t>
  </si>
  <si>
    <t xml:space="preserve">AHMADU BELLO UNIVERSITY TEACHING HOSPITAL ZARIA </t>
  </si>
  <si>
    <t>08035464853</t>
  </si>
  <si>
    <t>212431390WACP922147581</t>
  </si>
  <si>
    <t>spinkybrown@gmail.com</t>
  </si>
  <si>
    <t>AKPUGHE</t>
  </si>
  <si>
    <t>Harriet</t>
  </si>
  <si>
    <t>Voke</t>
  </si>
  <si>
    <t>3 prince audu close oku layout orugwhorun, udu delta state</t>
  </si>
  <si>
    <t>delta state university teaching hospital oghara</t>
  </si>
  <si>
    <t>07032482265</t>
  </si>
  <si>
    <t>2711391WACP416814437</t>
  </si>
  <si>
    <t>wnenrit@yahoo.com</t>
  </si>
  <si>
    <t xml:space="preserve">WAMBUTDA </t>
  </si>
  <si>
    <t xml:space="preserve">Nenrit </t>
  </si>
  <si>
    <t xml:space="preserve">Lokrit </t>
  </si>
  <si>
    <t>JOS UNIVERSITY TEACHING HOSPITAL, JUTH</t>
  </si>
  <si>
    <t>40121392WACP812444108</t>
  </si>
  <si>
    <t>chinweubafrancis@yahoo.com</t>
  </si>
  <si>
    <t>CHINWEUBA</t>
  </si>
  <si>
    <t>Uzochukwu</t>
  </si>
  <si>
    <t>Federal Capital Territory.</t>
  </si>
  <si>
    <t>28791393WACP743104083</t>
  </si>
  <si>
    <t>yauusman031@gmail.com</t>
  </si>
  <si>
    <t>Yau</t>
  </si>
  <si>
    <t>Mairuwa Faskari LGA, Katsina state Nigeria</t>
  </si>
  <si>
    <t xml:space="preserve">University of Maiduguri College Of Medical Sciences </t>
  </si>
  <si>
    <t>07066551650</t>
  </si>
  <si>
    <t>223591394WACP619743944</t>
  </si>
  <si>
    <t>aishaaibrahim17@gmail.com</t>
  </si>
  <si>
    <t>Sharada Phase II, Kano</t>
  </si>
  <si>
    <t>Aminu Kano Teaching Hospital</t>
  </si>
  <si>
    <t>243321395WACP447276573</t>
  </si>
  <si>
    <t>aseeyah33@gmail.com</t>
  </si>
  <si>
    <t>YUNUS</t>
  </si>
  <si>
    <t>Bauchi</t>
  </si>
  <si>
    <t>ATBUTH</t>
  </si>
  <si>
    <t>08066602192</t>
  </si>
  <si>
    <t>244051396WACP661457463</t>
  </si>
  <si>
    <t>oduroalexa@gmail.com</t>
  </si>
  <si>
    <t>Jill</t>
  </si>
  <si>
    <t>Alexa</t>
  </si>
  <si>
    <t>P.O. Box Tl 700, Tamale</t>
  </si>
  <si>
    <t>0206582599</t>
  </si>
  <si>
    <t>GHWACP19986397</t>
  </si>
  <si>
    <t>ifykriss@yahoo.co.uk</t>
  </si>
  <si>
    <t>Number 142 Okota road opposite Access bank, Isolo-Oshodi, Lagos</t>
  </si>
  <si>
    <t>Igbinedion University Okada, Edo state</t>
  </si>
  <si>
    <t>08050718248</t>
  </si>
  <si>
    <t>230631398WACP969508116</t>
  </si>
  <si>
    <t>augustineodanye1@yahoo.com</t>
  </si>
  <si>
    <t>ODANYE</t>
  </si>
  <si>
    <t>Augustine</t>
  </si>
  <si>
    <t>Leke</t>
  </si>
  <si>
    <t>No 12 bamgbopa street, abule ijesha, Yaba, Lagos</t>
  </si>
  <si>
    <t>Lagos University Teaching Hospital and UNIMEDTHC, ONDO.</t>
  </si>
  <si>
    <t>162621399WACP881292981</t>
  </si>
  <si>
    <t>karimahsaleh014@gmail.com</t>
  </si>
  <si>
    <t>SALEH</t>
  </si>
  <si>
    <t>Karimah</t>
  </si>
  <si>
    <t xml:space="preserve">Abdulhamid </t>
  </si>
  <si>
    <t>Chikaji Sabon Layi Zaria, Kaduna.</t>
  </si>
  <si>
    <t>Islamic University in Uganda</t>
  </si>
  <si>
    <t>08138021008</t>
  </si>
  <si>
    <t>GHWACP527565601</t>
  </si>
  <si>
    <t>owens4smile@gmail.com</t>
  </si>
  <si>
    <t>OSADOLOR</t>
  </si>
  <si>
    <t>owens</t>
  </si>
  <si>
    <t>osarenoma</t>
  </si>
  <si>
    <t>8,osarenmwinda st behind school of health technology off dumez road</t>
  </si>
  <si>
    <t>edo specialist hospital benin</t>
  </si>
  <si>
    <t>08138872603</t>
  </si>
  <si>
    <t>232911401WACP958604084</t>
  </si>
  <si>
    <t>mskalgo230798@gmail.com</t>
  </si>
  <si>
    <t>SANI</t>
  </si>
  <si>
    <t>Kalgo</t>
  </si>
  <si>
    <t>Usman danfodio university teaching hospital sokoto</t>
  </si>
  <si>
    <t>08138748284</t>
  </si>
  <si>
    <t>187951402WACP909767771</t>
  </si>
  <si>
    <t>blessingchituru@ymail.com</t>
  </si>
  <si>
    <t>Chituru</t>
  </si>
  <si>
    <t>08148190556</t>
  </si>
  <si>
    <t>180721403WACP796872925</t>
  </si>
  <si>
    <t>vic4laughter@yahoo.com</t>
  </si>
  <si>
    <t>OMOLOLA</t>
  </si>
  <si>
    <t>No 14 street, Ajasa command White House bus stop Lagos state.</t>
  </si>
  <si>
    <t>University of ilorin</t>
  </si>
  <si>
    <t>08034261557</t>
  </si>
  <si>
    <t>99921404WACP306278159</t>
  </si>
  <si>
    <t>joynimzing2080@gmail.com</t>
  </si>
  <si>
    <t xml:space="preserve">AYUBA </t>
  </si>
  <si>
    <t>Ringle</t>
  </si>
  <si>
    <t xml:space="preserve">Jos University Teaching Hospital </t>
  </si>
  <si>
    <t>13431405WACP549297573</t>
  </si>
  <si>
    <t>fobtoyinj8@gmail.com</t>
  </si>
  <si>
    <t xml:space="preserve">FAGBOHUN </t>
  </si>
  <si>
    <t xml:space="preserve">Oluwatoyin </t>
  </si>
  <si>
    <t>Bosede</t>
  </si>
  <si>
    <t>P.o.box 637, Garki, Abuja, Nigeria</t>
  </si>
  <si>
    <t>Bowen University Iwo</t>
  </si>
  <si>
    <t>08165768853</t>
  </si>
  <si>
    <t>108041406WACP388627704</t>
  </si>
  <si>
    <t>Duration of training is 21 months. Not qualified to take the exam until after 24 completed months of training.</t>
  </si>
  <si>
    <t>osaivbieiyamu@gmail.com</t>
  </si>
  <si>
    <t>IKHUIWU</t>
  </si>
  <si>
    <t>Osaivbie</t>
  </si>
  <si>
    <t>Iriagbonse</t>
  </si>
  <si>
    <t>14, Fokutu Avenue, Ajao Estate, Anthony Village, Lagos</t>
  </si>
  <si>
    <t>08074119576</t>
  </si>
  <si>
    <t>224561407WACP393690481</t>
  </si>
  <si>
    <t>Registration as a trainee is less than 12 months.</t>
  </si>
  <si>
    <t>tafeedah92@gmail.com</t>
  </si>
  <si>
    <t>TAFIDA</t>
  </si>
  <si>
    <t>Kabiru</t>
  </si>
  <si>
    <t>Tatari Ali Quarters Azare</t>
  </si>
  <si>
    <t>Federal University Of Health Sciences Teaching Hospital, Azare.</t>
  </si>
  <si>
    <t>07065840877</t>
  </si>
  <si>
    <t>213981408WACP533112052</t>
  </si>
  <si>
    <t>oluwatobiezeT@gmail.com</t>
  </si>
  <si>
    <t xml:space="preserve">JOHN-ELENDU </t>
  </si>
  <si>
    <t>Tochukwu</t>
  </si>
  <si>
    <t>Oluwatobi</t>
  </si>
  <si>
    <t>49, Ogunmuyiwa Street off Baruwa Busstop, Ijesha Surulere, Lagos, Nigeria.</t>
  </si>
  <si>
    <t xml:space="preserve">University of Lagos </t>
  </si>
  <si>
    <t>08188364807</t>
  </si>
  <si>
    <t>193491409WACP58187078</t>
  </si>
  <si>
    <t>genevieveoforkansii@gmail.com</t>
  </si>
  <si>
    <t xml:space="preserve">OFORKANSI </t>
  </si>
  <si>
    <t>Genevieve</t>
  </si>
  <si>
    <t xml:space="preserve">NO 4 ASOGWA CLOSE,  NEAR OUR SAVIOUR ANG CHURCH ONEDAY BUS STOP AGBANI RD AWKUNANAW ENUGU </t>
  </si>
  <si>
    <t xml:space="preserve">UNIVERSITY OF NIGERIA TEACHING HOSPITAL ITUKU OZALLA ENUGU </t>
  </si>
  <si>
    <t>08030956210</t>
  </si>
  <si>
    <t>119901410WACP114329394</t>
  </si>
  <si>
    <t>nou258197278@noun.edu.ng</t>
  </si>
  <si>
    <t>OKOLIE</t>
  </si>
  <si>
    <t>No 10,sir nod Okoli crescent oduke, Asaba</t>
  </si>
  <si>
    <t>244211411WACP878245074</t>
  </si>
  <si>
    <t>afelyndaa@gmail.com</t>
  </si>
  <si>
    <t>ATSEN</t>
  </si>
  <si>
    <t>lynda</t>
  </si>
  <si>
    <t>afe</t>
  </si>
  <si>
    <t xml:space="preserve">University of Abuja Teaching Hospital Gwagwalada </t>
  </si>
  <si>
    <t>University of Abuja Teaching Hospital Gwagwalada</t>
  </si>
  <si>
    <t>08068131469</t>
  </si>
  <si>
    <t>60621412WACP717839593</t>
  </si>
  <si>
    <t>ummisufi@yahoo.com</t>
  </si>
  <si>
    <t>Rabi Sufi</t>
  </si>
  <si>
    <t>Number 20 korau roadNasarawa GRA Kano</t>
  </si>
  <si>
    <t>Aminu Kano Teaching Hospital Kano</t>
  </si>
  <si>
    <t>9711413WACP813937148</t>
  </si>
  <si>
    <t>onyinyechi.anoke@gmail.com</t>
  </si>
  <si>
    <t>ANOKE</t>
  </si>
  <si>
    <t>Anatomical Pathology Department, University of Benin Teaching Hospital</t>
  </si>
  <si>
    <t>University of Benin Teaching Hospital</t>
  </si>
  <si>
    <t>08102679428</t>
  </si>
  <si>
    <t>180201414WACP352174463</t>
  </si>
  <si>
    <t>trumpgoddu@gmail.com</t>
  </si>
  <si>
    <t>Godwin</t>
  </si>
  <si>
    <t xml:space="preserve">ANIGBOGU </t>
  </si>
  <si>
    <t>Ogbobe</t>
  </si>
  <si>
    <t>Department of Community Medicine, Alex Ekwueme Federal Teaching Hospital, Abakaliki</t>
  </si>
  <si>
    <t>96981415WACP596910936</t>
  </si>
  <si>
    <t>nimsascophd13@gmail.com</t>
  </si>
  <si>
    <t>77121416WACP286356414</t>
  </si>
  <si>
    <t>adeyemicapella@yahoo.com</t>
  </si>
  <si>
    <t>Adeyemi</t>
  </si>
  <si>
    <t>Oladayo</t>
  </si>
  <si>
    <t xml:space="preserve">Block 1A, Mercy Court , Redemption city , Ogun state </t>
  </si>
  <si>
    <t>Redeemers Health Centre</t>
  </si>
  <si>
    <t>08038423853</t>
  </si>
  <si>
    <t>187111417WACP41860387</t>
  </si>
  <si>
    <t>emma@yoaent.com</t>
  </si>
  <si>
    <t>AMANKWAA</t>
  </si>
  <si>
    <t>Wiredu</t>
  </si>
  <si>
    <t>0557909518</t>
  </si>
  <si>
    <t xml:space="preserve">GHS - Achimota Hospital </t>
  </si>
  <si>
    <t>GHWACP645792218</t>
  </si>
  <si>
    <t>fridemma1@gmail.com</t>
  </si>
  <si>
    <t>ALOBU</t>
  </si>
  <si>
    <t xml:space="preserve">Friday </t>
  </si>
  <si>
    <t xml:space="preserve">Iteshi </t>
  </si>
  <si>
    <t>ENUGU STATE UNIVERSITY UNIVERSITY TEACHING PARKLANE</t>
  </si>
  <si>
    <t>85741419WACP689528475</t>
  </si>
  <si>
    <t>Adewalevictoria.o@gmail.com</t>
  </si>
  <si>
    <t>AYOOLA</t>
  </si>
  <si>
    <t>Oluwayemisi</t>
  </si>
  <si>
    <t>Estate 15, Redeemption camp, Pakuro, Ogun State</t>
  </si>
  <si>
    <t>Bowen University Teaching Hospital</t>
  </si>
  <si>
    <t>08134025126</t>
  </si>
  <si>
    <t>241501420WACP11054876</t>
  </si>
  <si>
    <t>Okorouchenna8@yahoo.com</t>
  </si>
  <si>
    <t>OKORO</t>
  </si>
  <si>
    <t>Uchenna</t>
  </si>
  <si>
    <t>Alexander</t>
  </si>
  <si>
    <t>45 Umuimo road aba</t>
  </si>
  <si>
    <t>08037900957</t>
  </si>
  <si>
    <t>237731421WACP497352447</t>
  </si>
  <si>
    <t>adebolakasopefoluwa57@gmail.com</t>
  </si>
  <si>
    <t>BOLARINWA</t>
  </si>
  <si>
    <t>Adebola</t>
  </si>
  <si>
    <t>Kasopefoluwa</t>
  </si>
  <si>
    <t>14, Currency Close, Oluyole Extension, Ibadan</t>
  </si>
  <si>
    <t>07064235351</t>
  </si>
  <si>
    <t>241451422WACP372669595</t>
  </si>
  <si>
    <t>abaatsem@yahoo.com</t>
  </si>
  <si>
    <t xml:space="preserve">ATSEM </t>
  </si>
  <si>
    <t xml:space="preserve">Nana Aba </t>
  </si>
  <si>
    <t xml:space="preserve">Not Applicable </t>
  </si>
  <si>
    <t>P. O. BOX LG 1102 , LEGON , ACCRA , GHANA</t>
  </si>
  <si>
    <t xml:space="preserve">KORLE BU TEACHING HOSPITAL </t>
  </si>
  <si>
    <t>GHWACP879294157</t>
  </si>
  <si>
    <t>olaphemmy11@yahoo.com</t>
  </si>
  <si>
    <t>AINA</t>
  </si>
  <si>
    <t>oluwafemi</t>
  </si>
  <si>
    <t>adedayo</t>
  </si>
  <si>
    <t>UNIOSUN  TEACHING HOSPITAL OSOGBO.</t>
  </si>
  <si>
    <t>UNIOSUN TEACHING HOSPITAL</t>
  </si>
  <si>
    <t>52831424WACP843710629</t>
  </si>
  <si>
    <t>yomifola7@gmail.com</t>
  </si>
  <si>
    <t>FOLA-ADIO</t>
  </si>
  <si>
    <t>Sheriff</t>
  </si>
  <si>
    <t>abayomi</t>
  </si>
  <si>
    <t>07076021367</t>
  </si>
  <si>
    <t>Sobi Specialist Hospital</t>
  </si>
  <si>
    <t>243711425WACP161052663</t>
  </si>
  <si>
    <t>elversh105@gmail.com</t>
  </si>
  <si>
    <t>IKPAMBESE</t>
  </si>
  <si>
    <t>Vershima</t>
  </si>
  <si>
    <t>Federal Medical Center Makurdi</t>
  </si>
  <si>
    <t>08066905353</t>
  </si>
  <si>
    <t>185261426WACP706814753</t>
  </si>
  <si>
    <t>drjamesdgreat@gmail.com</t>
  </si>
  <si>
    <t>GRIKPA</t>
  </si>
  <si>
    <t>Ebimiyen</t>
  </si>
  <si>
    <t>Engr. John Ekpe&amp;#039;s compound, Jude Omorigho Street Ugbeyiyi, Sapele Delta state, Nigeria</t>
  </si>
  <si>
    <t>Delta state University Teaching Hospital Oghara, Delta state, Nigeria</t>
  </si>
  <si>
    <t>07036566141</t>
  </si>
  <si>
    <t>241531427WACP53810413</t>
  </si>
  <si>
    <t>paul.msugh@gmail.com</t>
  </si>
  <si>
    <t>ASOR</t>
  </si>
  <si>
    <t>Msugh</t>
  </si>
  <si>
    <t xml:space="preserve">Benue State University Teaching Hospital KM 3 Gboko Road Makurdi </t>
  </si>
  <si>
    <t>08034031643</t>
  </si>
  <si>
    <t>39651428WACP699140449</t>
  </si>
  <si>
    <t>naadjeley@ymail.com</t>
  </si>
  <si>
    <t xml:space="preserve">ADJETEY </t>
  </si>
  <si>
    <t>Naomi</t>
  </si>
  <si>
    <t xml:space="preserve">Dianne Naa Adjeley </t>
  </si>
  <si>
    <t>KATH(CHILD HEALTH DIRECTORATE), P.O. BOX 1934, KUMASI, GHANA</t>
  </si>
  <si>
    <t>GHWACP480200981</t>
  </si>
  <si>
    <t>richealobodo@gmail.com</t>
  </si>
  <si>
    <t xml:space="preserve">OBODO </t>
  </si>
  <si>
    <t xml:space="preserve">Celestina </t>
  </si>
  <si>
    <t>chisom</t>
  </si>
  <si>
    <t xml:space="preserve">ENUGU STATE UNIVERSITY TEACHING HOSPITAL PARKLANE </t>
  </si>
  <si>
    <t>ENUGU STATE UNIVERSITY TEACHING HOSPITAL PARKLANE</t>
  </si>
  <si>
    <t>08030913903</t>
  </si>
  <si>
    <t>111331430WACP922152771</t>
  </si>
  <si>
    <t>goodnessdibeh@gmail.com</t>
  </si>
  <si>
    <t>IBEH</t>
  </si>
  <si>
    <t>Daberechi</t>
  </si>
  <si>
    <t>Ndiakwu Otolo Nnewi Anambra State</t>
  </si>
  <si>
    <t>08149023923</t>
  </si>
  <si>
    <t>241351431WACP468858025</t>
  </si>
  <si>
    <t>nafisat.isah.ahmad@gmail.com</t>
  </si>
  <si>
    <t>AHMAD</t>
  </si>
  <si>
    <t>Nafisat</t>
  </si>
  <si>
    <t>Isah</t>
  </si>
  <si>
    <t>Plot 11/13 Ahmadu chanchangi road kinkinau GRA,kaduna</t>
  </si>
  <si>
    <t>Nile university Khartoum</t>
  </si>
  <si>
    <t>08061458733</t>
  </si>
  <si>
    <t>244061432WACP784950299</t>
  </si>
  <si>
    <t>linaanthony45@gmail.com</t>
  </si>
  <si>
    <t>ARIRI</t>
  </si>
  <si>
    <t>Ugochi</t>
  </si>
  <si>
    <t>Petrolina</t>
  </si>
  <si>
    <t>Umuagu umuguma Owerri</t>
  </si>
  <si>
    <t>08060483369</t>
  </si>
  <si>
    <t>217251433WACP621601770</t>
  </si>
  <si>
    <t>nuvity2013@gmail.com</t>
  </si>
  <si>
    <t xml:space="preserve">OKUPA-OYOBERE </t>
  </si>
  <si>
    <t xml:space="preserve">Oghenesiuvwe </t>
  </si>
  <si>
    <t>Nuvie</t>
  </si>
  <si>
    <t xml:space="preserve">Oyobere close James Amafade street Along NPA express way Ekpan </t>
  </si>
  <si>
    <t>Delta state university teaching hospital, Oghara</t>
  </si>
  <si>
    <t>08134972198</t>
  </si>
  <si>
    <t>212481435WACP161115009</t>
  </si>
  <si>
    <t>zulaihatusarki@gmail.com</t>
  </si>
  <si>
    <t xml:space="preserve">SULAIMAN </t>
  </si>
  <si>
    <t xml:space="preserve">Zaliha </t>
  </si>
  <si>
    <t>Sarki</t>
  </si>
  <si>
    <t>777 housing estate</t>
  </si>
  <si>
    <t xml:space="preserve">El-razi university </t>
  </si>
  <si>
    <t>07063930084</t>
  </si>
  <si>
    <t>228491436WACP917638516</t>
  </si>
  <si>
    <t>yakakazanna@gmail.com</t>
  </si>
  <si>
    <t>ZANNAH</t>
  </si>
  <si>
    <t>YAKAKA</t>
  </si>
  <si>
    <t>House 24, 21 Road, Second Avenue, Gwarinpa</t>
  </si>
  <si>
    <t>Private Hospital (LESHA HOSPITAL)</t>
  </si>
  <si>
    <t>08065265756</t>
  </si>
  <si>
    <t>244281437WACP872653258</t>
  </si>
  <si>
    <t>templeetete@yahoo.com</t>
  </si>
  <si>
    <t>Temple</t>
  </si>
  <si>
    <t>Bassey</t>
  </si>
  <si>
    <t>Etete</t>
  </si>
  <si>
    <t>08036316645</t>
  </si>
  <si>
    <t>106041438WACP612759116</t>
  </si>
  <si>
    <t>oseiyaw1994@yahoo.com</t>
  </si>
  <si>
    <t>FREDUA-ANTOH</t>
  </si>
  <si>
    <t>Barima</t>
  </si>
  <si>
    <t>Osei Yaw</t>
  </si>
  <si>
    <t>C/O Prof. Mrs. Ernestina Fredua-Antoh, B.I.R.D-K.N.U.S.T, Kumasi</t>
  </si>
  <si>
    <t>0542312998</t>
  </si>
  <si>
    <t>GHWACP375494968</t>
  </si>
  <si>
    <t>dareaderemianu@gmail.com</t>
  </si>
  <si>
    <t>DARE</t>
  </si>
  <si>
    <t>aderemi</t>
  </si>
  <si>
    <t>aanuoluwapo</t>
  </si>
  <si>
    <t xml:space="preserve">Federal medical centre Owo, Ondo state </t>
  </si>
  <si>
    <t xml:space="preserve">Federal medical centre Owo, Ondo State </t>
  </si>
  <si>
    <t>07062166675</t>
  </si>
  <si>
    <t>185801440WACP610495202</t>
  </si>
  <si>
    <t>colonellegacy35@gmail.com</t>
  </si>
  <si>
    <t>OKEREKE</t>
  </si>
  <si>
    <t>Henry</t>
  </si>
  <si>
    <t>Chimnonso</t>
  </si>
  <si>
    <t>Department of community medicine, University of Nigeria Teaching Hospital(Old site), Enugu</t>
  </si>
  <si>
    <t>41071441WACP285314965</t>
  </si>
  <si>
    <t>Aishabashirfarfaru687@gmail.com</t>
  </si>
  <si>
    <t>BASHIR</t>
  </si>
  <si>
    <t>Farfaru</t>
  </si>
  <si>
    <t xml:space="preserve">Malali. Katsina </t>
  </si>
  <si>
    <t xml:space="preserve">Federal teaching Hospital Katsina. </t>
  </si>
  <si>
    <t>08060828029</t>
  </si>
  <si>
    <t>180371442WACP438170038</t>
  </si>
  <si>
    <t>hauwahassan278@gmail.com</t>
  </si>
  <si>
    <t>HASSAN</t>
  </si>
  <si>
    <t>hauwa</t>
  </si>
  <si>
    <t>NO 30 UMAR ADAMU STREET</t>
  </si>
  <si>
    <t>SHENYANG MEDICAL COLLEGE</t>
  </si>
  <si>
    <t>09048425070</t>
  </si>
  <si>
    <t>226171443WACP645692294</t>
  </si>
  <si>
    <t>vincentogidi100@gmail.com</t>
  </si>
  <si>
    <t>OGIDI</t>
  </si>
  <si>
    <t>Vincent</t>
  </si>
  <si>
    <t>Oodo</t>
  </si>
  <si>
    <t>One man village by world gate junction mararaba, nasarawa state</t>
  </si>
  <si>
    <t>Federal medical centre keffi, Nasarawa state</t>
  </si>
  <si>
    <t>110421444WACP688191057</t>
  </si>
  <si>
    <t>khadeejerhahmad@yahoo.com</t>
  </si>
  <si>
    <t>Khadija</t>
  </si>
  <si>
    <t>No15 Sabon masallaci street zaria road kano</t>
  </si>
  <si>
    <t>09036437750</t>
  </si>
  <si>
    <t>244311445WACP302201449</t>
  </si>
  <si>
    <t>oluwandedada@yahoo.com</t>
  </si>
  <si>
    <t>DADA</t>
  </si>
  <si>
    <t>Oluwande</t>
  </si>
  <si>
    <t>36911446WACP126828774</t>
  </si>
  <si>
    <t>ibrahimayuba51@gmail.com</t>
  </si>
  <si>
    <t>AYUBA</t>
  </si>
  <si>
    <t>C/O FEDERAL TEACHING HOSPITAL, KATSINA</t>
  </si>
  <si>
    <t>08034037884</t>
  </si>
  <si>
    <t>60431447WACP777211720</t>
  </si>
  <si>
    <t>emilia_nkem@yahoo.com</t>
  </si>
  <si>
    <t>ALLOH</t>
  </si>
  <si>
    <t>EMILIA</t>
  </si>
  <si>
    <t>NKEMDILIM</t>
  </si>
  <si>
    <t>LAGOS UNIVERSITY TEACHING HOSPITAL, IDI-ARABA,LAGOS</t>
  </si>
  <si>
    <t>07034577054</t>
  </si>
  <si>
    <t>113181448WACP400239727</t>
  </si>
  <si>
    <t>aishamaidubu@gmail.com</t>
  </si>
  <si>
    <t>No 6 Ibiyeye Road Doctors quarters Kaduna</t>
  </si>
  <si>
    <t xml:space="preserve">Nile University </t>
  </si>
  <si>
    <t>08146041658</t>
  </si>
  <si>
    <t>201911449WACP99982291</t>
  </si>
  <si>
    <t>olamideabiodun047@gmail.com</t>
  </si>
  <si>
    <t>ABIODUN</t>
  </si>
  <si>
    <t>Olamide</t>
  </si>
  <si>
    <t>5/11 ONIFADE STREET, OKEBADAN ESTATE, AKOBO. IBADAN. OYO STATE.</t>
  </si>
  <si>
    <t>OOUTH</t>
  </si>
  <si>
    <t>07016264897</t>
  </si>
  <si>
    <t>243111450WACP151630064</t>
  </si>
  <si>
    <t>dridris061@gmail.com</t>
  </si>
  <si>
    <t>IDRIS</t>
  </si>
  <si>
    <t>Emir`s Palace Zaria, Kaduna State Nigeria</t>
  </si>
  <si>
    <t>18731452WACP798303848</t>
  </si>
  <si>
    <t>oladunni.egejuru@gmail.com</t>
  </si>
  <si>
    <t xml:space="preserve">OKODUGHA </t>
  </si>
  <si>
    <t xml:space="preserve">Oladunni </t>
  </si>
  <si>
    <t>Nkiruka</t>
  </si>
  <si>
    <t>20a tobak okunoren street, omole phase 2</t>
  </si>
  <si>
    <t xml:space="preserve">Lagos University Teaching Hospital idi-araba </t>
  </si>
  <si>
    <t>08138613457</t>
  </si>
  <si>
    <t>53941453WACP477408983</t>
  </si>
  <si>
    <t>arinzenonso@yahoo.com</t>
  </si>
  <si>
    <t xml:space="preserve">UMEANAEDOBE </t>
  </si>
  <si>
    <t>nonso</t>
  </si>
  <si>
    <t>No 47A KURA ROAD WEST OF MINES JOS PLATEAU STATE NIGERIA</t>
  </si>
  <si>
    <t>Bingham University Karu Nasarawa State</t>
  </si>
  <si>
    <t>64531454WACP163094013</t>
  </si>
  <si>
    <t>ruthasq@gmail.com</t>
  </si>
  <si>
    <t>ASHONG-QUARTEY</t>
  </si>
  <si>
    <t>Holy family hosp ,box 36 techiman</t>
  </si>
  <si>
    <t>Holy family hospital</t>
  </si>
  <si>
    <t>0543128993</t>
  </si>
  <si>
    <t>GHWACP337871163</t>
  </si>
  <si>
    <t>chimaiheanyi156@yahoo.com</t>
  </si>
  <si>
    <t xml:space="preserve">OPARAJI </t>
  </si>
  <si>
    <t>chima</t>
  </si>
  <si>
    <t>iheanyi</t>
  </si>
  <si>
    <t>FEDERAL MEDICAL CENTRE, OWERRI</t>
  </si>
  <si>
    <t>08123349125</t>
  </si>
  <si>
    <t>66821456WACP922458875</t>
  </si>
  <si>
    <t>ellaboye87@gmail.com</t>
  </si>
  <si>
    <t>BOYE</t>
  </si>
  <si>
    <t>Emmanuella</t>
  </si>
  <si>
    <t>Sungmanbo</t>
  </si>
  <si>
    <t>P. O Box 1934</t>
  </si>
  <si>
    <t>Komfo Anokye Teaching Hospitality</t>
  </si>
  <si>
    <t>0501347642</t>
  </si>
  <si>
    <t>GHWACP160247880</t>
  </si>
  <si>
    <t>otuharrisonsamuel@gmail.com</t>
  </si>
  <si>
    <t xml:space="preserve">SAMUEL </t>
  </si>
  <si>
    <t>Harrison</t>
  </si>
  <si>
    <t>Dr</t>
  </si>
  <si>
    <t>Asokoro District Hospital,11 JULIUS NYERERE CRESCENT,  76 Kafe District, Asokoro 900103, Abuja</t>
  </si>
  <si>
    <t>Asokoro District Hospital FCTA Abuja Nigeria</t>
  </si>
  <si>
    <t>08068232655</t>
  </si>
  <si>
    <t>4231458WACP127494383</t>
  </si>
  <si>
    <t>audomfon@gmail.com</t>
  </si>
  <si>
    <t>VICTOR</t>
  </si>
  <si>
    <t>Aniedi</t>
  </si>
  <si>
    <t>Federal University Teaching Hospital, Owerri, Imo State</t>
  </si>
  <si>
    <t>07038091609/07011372801</t>
  </si>
  <si>
    <t>64971459WACP236799190</t>
  </si>
  <si>
    <t>akoitam@gmail.com</t>
  </si>
  <si>
    <t>ITAM</t>
  </si>
  <si>
    <t>Ako</t>
  </si>
  <si>
    <t>Hogan</t>
  </si>
  <si>
    <t>University Of Calabar Teaching Hospital Calabar.Cross River State</t>
  </si>
  <si>
    <t>38501460WACP941334387</t>
  </si>
  <si>
    <t>ijionah@gmail.com</t>
  </si>
  <si>
    <t>IJI</t>
  </si>
  <si>
    <t>Onah</t>
  </si>
  <si>
    <t xml:space="preserve">Benjamin </t>
  </si>
  <si>
    <t xml:space="preserve">Obi-Agwala Ainu, Oju Local Government Area, Benue State. </t>
  </si>
  <si>
    <t xml:space="preserve">FMC MAKURDI </t>
  </si>
  <si>
    <t>32871461WACP736772383</t>
  </si>
  <si>
    <t>lukmantopsy@yahoo.com</t>
  </si>
  <si>
    <t xml:space="preserve">ABDULAZIZ </t>
  </si>
  <si>
    <t>Lukman</t>
  </si>
  <si>
    <t xml:space="preserve">Muhammad </t>
  </si>
  <si>
    <t>Barau Dikko Teaching Hospital Kaduna</t>
  </si>
  <si>
    <t>26051462WACP668758411</t>
  </si>
  <si>
    <t>Registration as subspecialist in training is less than 12 months</t>
  </si>
  <si>
    <t>drchinyereoliji@gmail.com</t>
  </si>
  <si>
    <t>OLIJI</t>
  </si>
  <si>
    <t>chinyere</t>
  </si>
  <si>
    <t>maureen</t>
  </si>
  <si>
    <t>ENUGU STATE UNIVERSITY TEACHING HOSPITAL, PARKLANE ENUGU STATE</t>
  </si>
  <si>
    <t>11161463WACP416440536</t>
  </si>
  <si>
    <t>kwabenaopoqu@gmail.com</t>
  </si>
  <si>
    <t>OPOKU-GYEBI</t>
  </si>
  <si>
    <t>Seth</t>
  </si>
  <si>
    <t>PMB 67, MADINA</t>
  </si>
  <si>
    <t>0553077387</t>
  </si>
  <si>
    <t>GHWACP345563788</t>
  </si>
  <si>
    <t>debbyluvmum@gmail.com</t>
  </si>
  <si>
    <t>EZE</t>
  </si>
  <si>
    <t>Chekwube</t>
  </si>
  <si>
    <t>16b salita street New Haven extension, Enugu state</t>
  </si>
  <si>
    <t>Jiujiang medical college</t>
  </si>
  <si>
    <t>244241465WACP658766774</t>
  </si>
  <si>
    <t>eromokomah1994@gmail.com</t>
  </si>
  <si>
    <t>EGBONG</t>
  </si>
  <si>
    <t>Glory</t>
  </si>
  <si>
    <t>Nkoro</t>
  </si>
  <si>
    <t>No 3 Amazing Grace Estate, Asari Iso, Calabar, Cross River State.</t>
  </si>
  <si>
    <t>Danylo Halysky Lviv National Medical University</t>
  </si>
  <si>
    <t>07062285040</t>
  </si>
  <si>
    <t>239921466WACP805546075</t>
  </si>
  <si>
    <t>drgambomiabdul@gmail.com</t>
  </si>
  <si>
    <t>GONI</t>
  </si>
  <si>
    <t>Gambomi</t>
  </si>
  <si>
    <t>CBDA Qtrs Maiduguri</t>
  </si>
  <si>
    <t>Yobe Specialist Hospital Damaturu</t>
  </si>
  <si>
    <t>08039453474</t>
  </si>
  <si>
    <t>240751467WACP587224152</t>
  </si>
  <si>
    <t>teadekanye@gmail.com</t>
  </si>
  <si>
    <t>ONI</t>
  </si>
  <si>
    <t>Taiwo</t>
  </si>
  <si>
    <t xml:space="preserve">Ebunoluwa </t>
  </si>
  <si>
    <t>08062193774</t>
  </si>
  <si>
    <t>41441468WACP295732835</t>
  </si>
  <si>
    <t>amankwaatiaevans@gmail.com</t>
  </si>
  <si>
    <t>AMANKWAATIA</t>
  </si>
  <si>
    <t>Evans</t>
  </si>
  <si>
    <t>C/o Rev. Kwaku Amoateng, P. O. Box 11344, Adum-Kumasi</t>
  </si>
  <si>
    <t>0552945252</t>
  </si>
  <si>
    <t>GHWACP24360469</t>
  </si>
  <si>
    <t>olafunkeabolaji@yahoo.com</t>
  </si>
  <si>
    <t>ABOLAJI</t>
  </si>
  <si>
    <t>Idiat</t>
  </si>
  <si>
    <t>Olafunke</t>
  </si>
  <si>
    <t>21 IJERO ROAD EBUTE METTA LAGOS</t>
  </si>
  <si>
    <t>GENERAL HOSPITAL LAGOS</t>
  </si>
  <si>
    <t>08035834387</t>
  </si>
  <si>
    <t>12131470WACP768484201</t>
  </si>
  <si>
    <t>nabilasanisaleh@gmail.com</t>
  </si>
  <si>
    <t>Nabila</t>
  </si>
  <si>
    <t>T/G Shanu Farm center, Tarauni LGA, Kano</t>
  </si>
  <si>
    <t>AKTH</t>
  </si>
  <si>
    <t>09031231815</t>
  </si>
  <si>
    <t>241661471WACP610611696</t>
  </si>
  <si>
    <t>Livingstoneayerite@gmail.com</t>
  </si>
  <si>
    <t>AYERITE</t>
  </si>
  <si>
    <t>Livingstone</t>
  </si>
  <si>
    <t>Gelegukuma</t>
  </si>
  <si>
    <t>Federal Medical Centre, Yenagoa</t>
  </si>
  <si>
    <t>08037726532</t>
  </si>
  <si>
    <t>195551472WACP673630773</t>
  </si>
  <si>
    <t>mcakhigbe@yahoo.com</t>
  </si>
  <si>
    <t>AKHIGBE</t>
  </si>
  <si>
    <t>ThankGod</t>
  </si>
  <si>
    <t>7, OKHALE STREET BEHIND GEOKAD HOTEL, IRRUA, EDO STATE</t>
  </si>
  <si>
    <t>AMBROSE ALLI UNIVERSITY EKPOMA</t>
  </si>
  <si>
    <t>07061066655</t>
  </si>
  <si>
    <t>72701473WACP619827831</t>
  </si>
  <si>
    <t>benzcollections@gmail.com</t>
  </si>
  <si>
    <t>OGBU</t>
  </si>
  <si>
    <t>OLISAEMEKA</t>
  </si>
  <si>
    <t>Department of Community Medicine UNTH Ituku Ozalla, Enugu</t>
  </si>
  <si>
    <t>University of Nigeria Teaching Hospital UNTH Ituku Ozalla, Enugu</t>
  </si>
  <si>
    <t>07033751510</t>
  </si>
  <si>
    <t>244431474WACP624331855</t>
  </si>
  <si>
    <t>ahmedamina6463@gmail.com</t>
  </si>
  <si>
    <t xml:space="preserve">Ahmed </t>
  </si>
  <si>
    <t>Ladidi</t>
  </si>
  <si>
    <t xml:space="preserve">E23A Ramat Road, Ung. Rimi, Kaduna </t>
  </si>
  <si>
    <t>Institute of Traditional and Non Traditional Medicine, Dnipropetrovsk Ukraine</t>
  </si>
  <si>
    <t>196481475WACP959253029</t>
  </si>
  <si>
    <t>dr.adeleyebabarinsa@gmail.com</t>
  </si>
  <si>
    <t xml:space="preserve">BABARINSA </t>
  </si>
  <si>
    <t xml:space="preserve">Adeleye </t>
  </si>
  <si>
    <t xml:space="preserve">Olugbade </t>
  </si>
  <si>
    <t xml:space="preserve">Baptist Medical Centre Saki Oyo State </t>
  </si>
  <si>
    <t xml:space="preserve">Baptist Medical Centre, P.M.B 43, Ajegunle, Saki, Oyo State </t>
  </si>
  <si>
    <t>08139554785</t>
  </si>
  <si>
    <t>214801476WACP599424001</t>
  </si>
  <si>
    <t>abdulxarewa@gmail.com</t>
  </si>
  <si>
    <t>ZAREWA</t>
  </si>
  <si>
    <t>Gali</t>
  </si>
  <si>
    <t>NUMBER 978 NAIBAWA TSAKIYA KANO STATE NIGERIA</t>
  </si>
  <si>
    <t>SHENYENG MEDICAL COLLEGE CHINA</t>
  </si>
  <si>
    <t>08065940000</t>
  </si>
  <si>
    <t>241391477WACP65768392</t>
  </si>
  <si>
    <t>zirazainab@gmail.com</t>
  </si>
  <si>
    <t>ZIRA</t>
  </si>
  <si>
    <t>No 6, Thomas Sankara Street, Asokoro, Abuja</t>
  </si>
  <si>
    <t>Semmelweis University</t>
  </si>
  <si>
    <t>244191478WACP573259412</t>
  </si>
  <si>
    <t>safsings@gmail.com</t>
  </si>
  <si>
    <t>SINGHATEH</t>
  </si>
  <si>
    <t>Safiatou</t>
  </si>
  <si>
    <t>Barkisu</t>
  </si>
  <si>
    <t>Paradise Estate, Old Yundum, The Gambia</t>
  </si>
  <si>
    <t xml:space="preserve">BAFROW MEDICAL CENTER </t>
  </si>
  <si>
    <t>189071479WACP92819780</t>
  </si>
  <si>
    <t>olaoti18@gmail.com</t>
  </si>
  <si>
    <t xml:space="preserve">OGUNDARE </t>
  </si>
  <si>
    <t xml:space="preserve">Olaoti </t>
  </si>
  <si>
    <t>Oyeyemi</t>
  </si>
  <si>
    <t xml:space="preserve">Obafemi Awolowo University Teaching Hospital Complex, Ile-Ife, Osun State, Nigeria. </t>
  </si>
  <si>
    <t>73751480WACP277119915</t>
  </si>
  <si>
    <t>excelafagha@gmail.com</t>
  </si>
  <si>
    <t xml:space="preserve">AFAGHA </t>
  </si>
  <si>
    <t xml:space="preserve">22 FEDERAL ROAD BENIN CITY </t>
  </si>
  <si>
    <t>FEDERAL NEUROPSYCHIATRIC HOSPITAL BENIN CITY</t>
  </si>
  <si>
    <t>07013151736</t>
  </si>
  <si>
    <t>193971481WACP544199768</t>
  </si>
  <si>
    <t>mosesnunoo63@gmail.com</t>
  </si>
  <si>
    <t>NUNOO</t>
  </si>
  <si>
    <t>MOSES</t>
  </si>
  <si>
    <t>AKWAH</t>
  </si>
  <si>
    <t>11 Anyaa Market Street</t>
  </si>
  <si>
    <t>Mortuary and Funerals Facilities Agency, Ministry Of Health</t>
  </si>
  <si>
    <t>GHWACP588025973</t>
  </si>
  <si>
    <t>glomakay@gmail.com</t>
  </si>
  <si>
    <t xml:space="preserve">AGBENYEGAH </t>
  </si>
  <si>
    <t xml:space="preserve">Gloria </t>
  </si>
  <si>
    <t>Makafui</t>
  </si>
  <si>
    <t xml:space="preserve">KATH box 1934 Adum Kumasi </t>
  </si>
  <si>
    <t>0551304596</t>
  </si>
  <si>
    <t>GHWACP678587992</t>
  </si>
  <si>
    <t>dearar467@gmail.com</t>
  </si>
  <si>
    <t>AWUDU-RAHMAN</t>
  </si>
  <si>
    <t>Rashid</t>
  </si>
  <si>
    <t>GM-022-9231</t>
  </si>
  <si>
    <t>Korle Bu Teaching Hospital Accra - Ghana</t>
  </si>
  <si>
    <t>+233 207275247</t>
  </si>
  <si>
    <t>GHWACP867915305</t>
  </si>
  <si>
    <t>amaakomaa96@gmail.com</t>
  </si>
  <si>
    <t>Akomaa</t>
  </si>
  <si>
    <t>Hse No 58 William T Okain St, Tantra Hill - Accra</t>
  </si>
  <si>
    <t>0263596335</t>
  </si>
  <si>
    <t>GHWACP170469467</t>
  </si>
  <si>
    <t>lolasimbobab@gmail.com</t>
  </si>
  <si>
    <t>BABALOLA</t>
  </si>
  <si>
    <t>Olasimbo</t>
  </si>
  <si>
    <t>Abosede</t>
  </si>
  <si>
    <t>08065485730</t>
  </si>
  <si>
    <t>191831486WACP630217196</t>
  </si>
  <si>
    <t>shetizie92@yahoo.com</t>
  </si>
  <si>
    <t>OGUNBUSOLA</t>
  </si>
  <si>
    <t xml:space="preserve">Tolulope </t>
  </si>
  <si>
    <t xml:space="preserve">No 2, usman O jibrin street, guzape, Abuja. </t>
  </si>
  <si>
    <t>Nisa premier hospital, alex ekuweme way, Jabi, Abuja.</t>
  </si>
  <si>
    <t>08135082465</t>
  </si>
  <si>
    <t>109731487WACP250657553</t>
  </si>
  <si>
    <t>mubarakobilowo1@gmail.com</t>
  </si>
  <si>
    <t>OBILOWO</t>
  </si>
  <si>
    <t>Mubarak</t>
  </si>
  <si>
    <t>Gbolahan</t>
  </si>
  <si>
    <t>No 18 Safana road, Sardauna Estate, Katsina, Katsina state</t>
  </si>
  <si>
    <t>Edo University Iyamho College of Medical Sciences</t>
  </si>
  <si>
    <t>08160746218</t>
  </si>
  <si>
    <t>240421488WACP424340546</t>
  </si>
  <si>
    <t>talk2laks@gmail.com</t>
  </si>
  <si>
    <t xml:space="preserve">ABDULRAHAMAN </t>
  </si>
  <si>
    <t>Olalekan</t>
  </si>
  <si>
    <t>Abdulrauf</t>
  </si>
  <si>
    <t>No 10 Basin road ilorin</t>
  </si>
  <si>
    <t>Crimea Federal University, Russia</t>
  </si>
  <si>
    <t>08164498003</t>
  </si>
  <si>
    <t>243381489WACP231504169</t>
  </si>
  <si>
    <t>Bellicosefine@gmail.com</t>
  </si>
  <si>
    <t>OGBONNA</t>
  </si>
  <si>
    <t>okechukwu</t>
  </si>
  <si>
    <t>emmanuel</t>
  </si>
  <si>
    <t>Block A4, Legacy Estate, Presco Junction, Abakaliki, Ebonyi state</t>
  </si>
  <si>
    <t>Alex Ekwueme federal teaching hospital, Abakaliki</t>
  </si>
  <si>
    <t>08034608276</t>
  </si>
  <si>
    <t>94311490WACP190069469</t>
  </si>
  <si>
    <t>rabiisyaka@gmail.com</t>
  </si>
  <si>
    <t>ISIAKA</t>
  </si>
  <si>
    <t>rabi</t>
  </si>
  <si>
    <t>28521491WACP246114716</t>
  </si>
  <si>
    <t>seunolasope@gmail.com</t>
  </si>
  <si>
    <t xml:space="preserve">Akinsola </t>
  </si>
  <si>
    <t xml:space="preserve">Oluwaseun </t>
  </si>
  <si>
    <t xml:space="preserve">Oriyomi </t>
  </si>
  <si>
    <t>No 9 Sanusi street, Somolu.Onipanu .Lagos</t>
  </si>
  <si>
    <t>Igbinedion  University  Okada, Edo state.Nigeria</t>
  </si>
  <si>
    <t>08099239251</t>
  </si>
  <si>
    <t>194851492WACP716403450</t>
  </si>
  <si>
    <t>asaretolulope@gmail.com</t>
  </si>
  <si>
    <t>ASARE</t>
  </si>
  <si>
    <t>Tolulope</t>
  </si>
  <si>
    <t xml:space="preserve">5 Otunba Taiwo close Imoru off Ijebu ode. Ogun state Nigeria </t>
  </si>
  <si>
    <t>Olabisi Onabanjo University Teaching Hospital, Sagamu, Ogun state, Nigeria</t>
  </si>
  <si>
    <t>40911493WACP643479796</t>
  </si>
  <si>
    <t>docsallyisa@gmail.com</t>
  </si>
  <si>
    <t>SULEIMAN</t>
  </si>
  <si>
    <t xml:space="preserve">Saliha </t>
  </si>
  <si>
    <t xml:space="preserve">Yahaya </t>
  </si>
  <si>
    <t xml:space="preserve">Plot 140 dansokoto street katsina road kano state </t>
  </si>
  <si>
    <t xml:space="preserve">Batterjee medical college </t>
  </si>
  <si>
    <t>08083461990</t>
  </si>
  <si>
    <t>190751494WACP5964504</t>
  </si>
  <si>
    <t>uhgarba@yahoo.com</t>
  </si>
  <si>
    <t>Usman</t>
  </si>
  <si>
    <t>Hussaini</t>
  </si>
  <si>
    <t>AMINU KANO TEACHING HOSPITAL</t>
  </si>
  <si>
    <t>64101495WACP826892541</t>
  </si>
  <si>
    <t>temiloluwaale@gmail.com</t>
  </si>
  <si>
    <t>ODUKOYA</t>
  </si>
  <si>
    <t>Temiloluwa</t>
  </si>
  <si>
    <t>Oluwafisayo</t>
  </si>
  <si>
    <t>9A, Ike asoguwa close, Anthony.</t>
  </si>
  <si>
    <t>Lagos University Teaching Hospital, Idi-Araba, Lagos State.</t>
  </si>
  <si>
    <t>116541496WACP700689554</t>
  </si>
  <si>
    <t>eustaceobi3@gmail.com</t>
  </si>
  <si>
    <t>Eustace</t>
  </si>
  <si>
    <t>Chukwuneche</t>
  </si>
  <si>
    <t xml:space="preserve">Ogbonna Onovo Police Estate, Ozalla Enugu State </t>
  </si>
  <si>
    <t>University of Nigeria Teaching Hospital UNTH, Ituku-Ozalla Enugu</t>
  </si>
  <si>
    <t>08067777166</t>
  </si>
  <si>
    <t>224601497WACP156889631</t>
  </si>
  <si>
    <t>fsawaneh@gmail.com</t>
  </si>
  <si>
    <t>SAWANEH</t>
  </si>
  <si>
    <t>FATOUMATA</t>
  </si>
  <si>
    <t>Sukuta, Western region</t>
  </si>
  <si>
    <t>188831498WACP850587737</t>
  </si>
  <si>
    <t>amawuanthony2@gmail.com</t>
  </si>
  <si>
    <t>AMAWU</t>
  </si>
  <si>
    <t>Anthony</t>
  </si>
  <si>
    <t>Uyimulam</t>
  </si>
  <si>
    <t>University of Calabar Teaching Hospital (UCTH), Calabar, Cross River State.</t>
  </si>
  <si>
    <t>+234 (0) 8122660994</t>
  </si>
  <si>
    <t>200231499WACP257321596</t>
  </si>
  <si>
    <t>nwachi.eo1989@gmail.com</t>
  </si>
  <si>
    <t>NWACHI</t>
  </si>
  <si>
    <t>Ogbonnia</t>
  </si>
  <si>
    <t>Federal Medical Centre, Jabi-Airport Road, Abuja</t>
  </si>
  <si>
    <t>08035464076</t>
  </si>
  <si>
    <t>192971500WACP48083779</t>
  </si>
  <si>
    <t>isiyakufauziyya@gmail.com</t>
  </si>
  <si>
    <t>ISIYAKU</t>
  </si>
  <si>
    <t>Fauziyya</t>
  </si>
  <si>
    <t>Tijjani</t>
  </si>
  <si>
    <t>No 249 limancin kona Zaria</t>
  </si>
  <si>
    <t>Ahmadu Bello University teaching hospital</t>
  </si>
  <si>
    <t>08131016721</t>
  </si>
  <si>
    <t>244041501WACP959492161</t>
  </si>
  <si>
    <t>Udomarcel62@gmail.com</t>
  </si>
  <si>
    <t>Ekikere</t>
  </si>
  <si>
    <t>Marcel</t>
  </si>
  <si>
    <t>16 udousoro lane uyo</t>
  </si>
  <si>
    <t>University of uyo teaching hospital</t>
  </si>
  <si>
    <t>07039484703</t>
  </si>
  <si>
    <t>23181502WACP594062021</t>
  </si>
  <si>
    <t>aibomxie@yahoo.com</t>
  </si>
  <si>
    <t>DOUGLAS</t>
  </si>
  <si>
    <t>Boma</t>
  </si>
  <si>
    <t>Ibiba</t>
  </si>
  <si>
    <t>RIVERS STATE UNIVERSITY TEACHING HOSPITAL</t>
  </si>
  <si>
    <t>08162919425</t>
  </si>
  <si>
    <t>18921503WACP872279579</t>
  </si>
  <si>
    <t>Rabeesani05@gmail.com</t>
  </si>
  <si>
    <t>Rabiat</t>
  </si>
  <si>
    <t>No 46, Kashim Ibrahim Road, Unguwan Rimi, Kaduna</t>
  </si>
  <si>
    <t>Federal Medical Centre Jabi, Abuja</t>
  </si>
  <si>
    <t>08063399585</t>
  </si>
  <si>
    <t>186261504WACP437931826</t>
  </si>
  <si>
    <t>pakoatart@gmail.com</t>
  </si>
  <si>
    <t>ARTHUR</t>
  </si>
  <si>
    <t>Papa</t>
  </si>
  <si>
    <t>Kojo</t>
  </si>
  <si>
    <t>P.O. Box KS 100, Kasoa</t>
  </si>
  <si>
    <t>Kasoa Polyclinic</t>
  </si>
  <si>
    <t>0546412036</t>
  </si>
  <si>
    <t>GHWACP931568298</t>
  </si>
  <si>
    <t>adaezeobijuru53@gmail.com</t>
  </si>
  <si>
    <t>JOHNNY-OBIJURU</t>
  </si>
  <si>
    <t>No.36 Gado Nasko road kubwa Abuja</t>
  </si>
  <si>
    <t>Madonna university Elele Rivers state</t>
  </si>
  <si>
    <t>07064866779</t>
  </si>
  <si>
    <t>244111506WACP183031843</t>
  </si>
  <si>
    <t>adetoyesebadejo@gmail.com</t>
  </si>
  <si>
    <t>adetoyese</t>
  </si>
  <si>
    <t>opeoluwa</t>
  </si>
  <si>
    <t>6A Ola Adebiyi street, peace estate,  sholuyi gbagada Lagos</t>
  </si>
  <si>
    <t>General Hospital Lagos</t>
  </si>
  <si>
    <t>08035743904</t>
  </si>
  <si>
    <t>107291507WACP884636744</t>
  </si>
  <si>
    <t>dennisituah@gmail.com</t>
  </si>
  <si>
    <t>ITUA</t>
  </si>
  <si>
    <t>Dennis</t>
  </si>
  <si>
    <t>Ehizode</t>
  </si>
  <si>
    <t>30 Oluwaga Avenue Ipaja Lagos</t>
  </si>
  <si>
    <t>Bingham University Teaching Hospital</t>
  </si>
  <si>
    <t>08104668593</t>
  </si>
  <si>
    <t>243671508WACP968545583</t>
  </si>
  <si>
    <t>eonodjefemue@yahoo.com</t>
  </si>
  <si>
    <t>ONODJEFEMUE</t>
  </si>
  <si>
    <t>EFETURI</t>
  </si>
  <si>
    <t>NIL</t>
  </si>
  <si>
    <t>UNIVERSITY OF PORT-HARCOURT TEACHING HOSPITAL, PORT-HARCOURT</t>
  </si>
  <si>
    <t>08038970790</t>
  </si>
  <si>
    <t>84691509WACP335949648</t>
  </si>
  <si>
    <t>adenikeoluwakemi40@yahoo.com</t>
  </si>
  <si>
    <t xml:space="preserve">Oluwakemi </t>
  </si>
  <si>
    <t xml:space="preserve">OLADIMEJI </t>
  </si>
  <si>
    <t>Adenike</t>
  </si>
  <si>
    <t xml:space="preserve">Lautech  Teaching  Hospital  Osogbo </t>
  </si>
  <si>
    <t>59851510WACP616624511</t>
  </si>
  <si>
    <t>hardmanvicky01@gmail.com</t>
  </si>
  <si>
    <t>ADELEYE</t>
  </si>
  <si>
    <t>Mayowa</t>
  </si>
  <si>
    <t>33 Akin Akeju Street, Okeila, Ado - Ekiti</t>
  </si>
  <si>
    <t>190741511WACP571094991</t>
  </si>
  <si>
    <t>kolason2010@gmail.com</t>
  </si>
  <si>
    <t>SALAMI</t>
  </si>
  <si>
    <t>Kolawole</t>
  </si>
  <si>
    <t>No 1, okontokon street,  Ette, Ikot-Abasi LGA, Akwa Ibom State</t>
  </si>
  <si>
    <t>University of Uyo Teaching Hospital</t>
  </si>
  <si>
    <t>08069566832</t>
  </si>
  <si>
    <t>244471512WACP336045572</t>
  </si>
  <si>
    <t>rityx.cn@gmail.com</t>
  </si>
  <si>
    <t>NNAEMEKA</t>
  </si>
  <si>
    <t xml:space="preserve">Charity </t>
  </si>
  <si>
    <t>Osuokam</t>
  </si>
  <si>
    <t xml:space="preserve">University of Port Harcourt Teaching Hospital </t>
  </si>
  <si>
    <t>25001513WACP734599976</t>
  </si>
  <si>
    <t>joy.akang1@gmail.com</t>
  </si>
  <si>
    <t>AKANG</t>
  </si>
  <si>
    <t>Imaobong</t>
  </si>
  <si>
    <t>No 19 Aroro Yerokun, Arulogun Road Ibadan</t>
  </si>
  <si>
    <t>08136189177</t>
  </si>
  <si>
    <t>243991514WACP125899399</t>
  </si>
  <si>
    <t>favouradesanya77@gmail.com</t>
  </si>
  <si>
    <t xml:space="preserve">ADESANYA </t>
  </si>
  <si>
    <t>Adebimpe</t>
  </si>
  <si>
    <t>No 1, Faith &amp;amp; Favour Street, Lalu Community, Off Ayepe Road, Sagamu</t>
  </si>
  <si>
    <t xml:space="preserve">OOUTH </t>
  </si>
  <si>
    <t>07069459381</t>
  </si>
  <si>
    <t>53661515WACP375777540</t>
  </si>
  <si>
    <t>goteh72@gmail.com</t>
  </si>
  <si>
    <t xml:space="preserve">MBEE </t>
  </si>
  <si>
    <t xml:space="preserve">GOTEH </t>
  </si>
  <si>
    <t>42 Alcon rd portharcourt</t>
  </si>
  <si>
    <t>Rsuth</t>
  </si>
  <si>
    <t>07033424290</t>
  </si>
  <si>
    <t>244071516WACP784469040</t>
  </si>
  <si>
    <t>adebayoadedamola0@gmail.com</t>
  </si>
  <si>
    <t>ADEBAYO</t>
  </si>
  <si>
    <t>Adedamola</t>
  </si>
  <si>
    <t>Behind Mallam Tope Furniture, Osogbo, Osun state</t>
  </si>
  <si>
    <t>Ladoke Akintola University of Technology, Ogbomoso, Oyo State.</t>
  </si>
  <si>
    <t>08161513337</t>
  </si>
  <si>
    <t>241841517WACP692725824</t>
  </si>
  <si>
    <t>nnaburich@gmail.com</t>
  </si>
  <si>
    <t>NNABU</t>
  </si>
  <si>
    <t>Richard</t>
  </si>
  <si>
    <t>Chukwuka</t>
  </si>
  <si>
    <t>Department of Community Medicine</t>
  </si>
  <si>
    <t>Alex Ekwueme Federal Teaching Hospital Abakaliki</t>
  </si>
  <si>
    <t>198801518WACP111302546</t>
  </si>
  <si>
    <t>valfabbeck@yahoo.com</t>
  </si>
  <si>
    <t xml:space="preserve">KOGBARA </t>
  </si>
  <si>
    <t>Valentine</t>
  </si>
  <si>
    <t>Bulabari</t>
  </si>
  <si>
    <t>Rivers State University Teaching Hospital, Port Harcourt.</t>
  </si>
  <si>
    <t>08037485025</t>
  </si>
  <si>
    <t>76021519WACP828864995</t>
  </si>
  <si>
    <t>anngeorgeokwuchukwu@gmail.com</t>
  </si>
  <si>
    <t>Okwuchukwu</t>
  </si>
  <si>
    <t xml:space="preserve">NO 2 BARRISTER AKAKA STREET OFF SHINGE ROAD LAFIA NASARAWA STATE </t>
  </si>
  <si>
    <t>DALHATU ARAF SPECIALIST HOSPITAL, LAFIA, NASARAWA STATE</t>
  </si>
  <si>
    <t>08032293372</t>
  </si>
  <si>
    <t>12231520WACP227781842</t>
  </si>
  <si>
    <t>ladesther@gmail.com</t>
  </si>
  <si>
    <t>ISMAILA</t>
  </si>
  <si>
    <t>Department of Community Medicine, Jos University Teaching Hospital P.M.B 2076, Jos Plateau State</t>
  </si>
  <si>
    <t>Jos University Teaching Hospital</t>
  </si>
  <si>
    <t>31121521WACP416478029</t>
  </si>
  <si>
    <t>abayomikabeer@gmail.com</t>
  </si>
  <si>
    <t>ABAYOMI</t>
  </si>
  <si>
    <t>Abdul-kabeer</t>
  </si>
  <si>
    <t>Oladimeji</t>
  </si>
  <si>
    <t>No:26 Omo-owo Area off Irra Offa kwara State Nigeria West Africa.</t>
  </si>
  <si>
    <t>University Of Ilorin Teaching Hospital</t>
  </si>
  <si>
    <t>08103303744</t>
  </si>
  <si>
    <t>244011522WACP509205638</t>
  </si>
  <si>
    <t>mongunoalamin@gmail.com</t>
  </si>
  <si>
    <t xml:space="preserve">MONGUNO </t>
  </si>
  <si>
    <t xml:space="preserve">Alamin </t>
  </si>
  <si>
    <t xml:space="preserve">Tijjani </t>
  </si>
  <si>
    <t xml:space="preserve">House no:2 Imam Malik Islamic center way,Maiduguri Borno State. </t>
  </si>
  <si>
    <t>08030570418</t>
  </si>
  <si>
    <t>204971523WACP420826332</t>
  </si>
  <si>
    <t>idongforchrist@yahoo.com</t>
  </si>
  <si>
    <t xml:space="preserve">UNANAM </t>
  </si>
  <si>
    <t xml:space="preserve">Idongesit </t>
  </si>
  <si>
    <t xml:space="preserve">Aniefiok </t>
  </si>
  <si>
    <t xml:space="preserve">Owo, Ondo state </t>
  </si>
  <si>
    <t>08182492448</t>
  </si>
  <si>
    <t>212771524WACP288678113</t>
  </si>
  <si>
    <t>igonomarth@gmail.com</t>
  </si>
  <si>
    <t>ONOJA</t>
  </si>
  <si>
    <t>Martha</t>
  </si>
  <si>
    <t>DEPARTMENT OF COMMUNITY MEDICINE JOS UNIVERSITY TEACHING HOSPITAL,PMB 2076,JOS</t>
  </si>
  <si>
    <t>JOS UNIVERSITY TEACHING HOSPITAL</t>
  </si>
  <si>
    <t>60441525WACP510529474</t>
  </si>
  <si>
    <t>bathosky49@gmail.com</t>
  </si>
  <si>
    <t>Bartholomew</t>
  </si>
  <si>
    <t>Nwankwo</t>
  </si>
  <si>
    <t>Chinedu</t>
  </si>
  <si>
    <t>NO. 79 WTC ESTATE, ENUGU STATE</t>
  </si>
  <si>
    <t>ESUT TEACHING HOSPITAL PARKLANE, ENUGU</t>
  </si>
  <si>
    <t>82221526WACP240229880</t>
  </si>
  <si>
    <t>nwatuangela@gmail.com</t>
  </si>
  <si>
    <t>chiebonam</t>
  </si>
  <si>
    <t>veronica</t>
  </si>
  <si>
    <t>511 B close ,house 9 festac town lagos state</t>
  </si>
  <si>
    <t>Enugu state university of science and techonology</t>
  </si>
  <si>
    <t>08135775480</t>
  </si>
  <si>
    <t>240911527WACP388071044</t>
  </si>
  <si>
    <t>ekeneogborogu@gmail.com</t>
  </si>
  <si>
    <t>OGBOROGU</t>
  </si>
  <si>
    <t>ekene</t>
  </si>
  <si>
    <t>leo</t>
  </si>
  <si>
    <t>Federal University Teaching Hospital, Owerri</t>
  </si>
  <si>
    <t>104731528WACP153252899</t>
  </si>
  <si>
    <t>hallarn@gmail.com</t>
  </si>
  <si>
    <t xml:space="preserve">YUSUF </t>
  </si>
  <si>
    <t xml:space="preserve">Abdullazeez </t>
  </si>
  <si>
    <t>Km8 hadejia Rd dansarai Gezawa LGA, Kano.</t>
  </si>
  <si>
    <t>43021529WACP84952457</t>
  </si>
  <si>
    <t>tumtumalachi@gmail.com</t>
  </si>
  <si>
    <t>ALACHI</t>
  </si>
  <si>
    <t>Geraldine</t>
  </si>
  <si>
    <t>Etumelo</t>
  </si>
  <si>
    <t>13b rcc quarters green roof estate, transekulu, Enugu</t>
  </si>
  <si>
    <t>Benue state university, Makurdi, Benue state</t>
  </si>
  <si>
    <t>09056521074</t>
  </si>
  <si>
    <t>243421530WACP667984051</t>
  </si>
  <si>
    <t>veragodfrey.vg@gmail.com</t>
  </si>
  <si>
    <t>Vera</t>
  </si>
  <si>
    <t>Omonivie</t>
  </si>
  <si>
    <t>MOQ 39, MYHOUNG MILITARY BARRACKS, YABA LAGOS</t>
  </si>
  <si>
    <t>Lagos state university teaching hospital Ikeja, Lagos</t>
  </si>
  <si>
    <t>08051995403</t>
  </si>
  <si>
    <t>184571531WACP516237837</t>
  </si>
  <si>
    <t>nasirfatima1806@yahoo.com</t>
  </si>
  <si>
    <t>Nasir</t>
  </si>
  <si>
    <t xml:space="preserve">No 6, Ibrahim Ali close, zone D 2nd gate, Apo Legislative Quaters </t>
  </si>
  <si>
    <t>Federal Medical Centre, Jabi, Abuja.</t>
  </si>
  <si>
    <t>110441532WACP208078753</t>
  </si>
  <si>
    <t>idrissa.momoh@gmail.com</t>
  </si>
  <si>
    <t>KONDORVOH</t>
  </si>
  <si>
    <t>Idrissa</t>
  </si>
  <si>
    <t>Momoh</t>
  </si>
  <si>
    <t>5 Main Motor road Gloucester Village</t>
  </si>
  <si>
    <t>Ola During Children Hospital</t>
  </si>
  <si>
    <t>079412532</t>
  </si>
  <si>
    <t>244441533WACP553043771</t>
  </si>
  <si>
    <t>alfadaali@yahoo.co.uk</t>
  </si>
  <si>
    <t>Adam</t>
  </si>
  <si>
    <t>110, Sheikh Sheriff Ibrahim Saleh Street, Gwange 1 Ward, Maiduguri, Borno State</t>
  </si>
  <si>
    <t>Aminu Kano Teaching Hospital, Kano, Nigeria</t>
  </si>
  <si>
    <t>08031334845</t>
  </si>
  <si>
    <t>218731534WACP946650144</t>
  </si>
  <si>
    <t>Koweikayla14@gmail.com</t>
  </si>
  <si>
    <t>KOWEI</t>
  </si>
  <si>
    <t>tamara-miyentei</t>
  </si>
  <si>
    <t>93b 2nd west of textile mill road, Benin city,Edo state</t>
  </si>
  <si>
    <t>Igbinedion university okada</t>
  </si>
  <si>
    <t>07033044191</t>
  </si>
  <si>
    <t>243841535WACP277397631</t>
  </si>
  <si>
    <t>ndmario111@gmail.com</t>
  </si>
  <si>
    <t xml:space="preserve">OSUJI </t>
  </si>
  <si>
    <t xml:space="preserve">nnamdi </t>
  </si>
  <si>
    <t xml:space="preserve">thaddeus </t>
  </si>
  <si>
    <t xml:space="preserve">ECWA HOSPITAL EGBE </t>
  </si>
  <si>
    <t xml:space="preserve">ECWA HOSPITAL EGBE KOGI STATE </t>
  </si>
  <si>
    <t>08032734137</t>
  </si>
  <si>
    <t>66641536WACP980461285</t>
  </si>
  <si>
    <t>zeebello1@gmail.com</t>
  </si>
  <si>
    <t>Plot 233, M.I.M Bawa Street , Farawa layout II, Kumbotso LGA. Kano state</t>
  </si>
  <si>
    <t xml:space="preserve">Aminu Kano Teaching Hospital </t>
  </si>
  <si>
    <t>110121537WACP512900713</t>
  </si>
  <si>
    <t>hegenesis25@gmail.com</t>
  </si>
  <si>
    <t>HEZEKIAH</t>
  </si>
  <si>
    <t>Genesis</t>
  </si>
  <si>
    <t>Bagadaza Quarters, Gombe State, Nigeria</t>
  </si>
  <si>
    <t>Gombe State University</t>
  </si>
  <si>
    <t>07040608200</t>
  </si>
  <si>
    <t>244651538WACP265746224</t>
  </si>
  <si>
    <t>malams96@gmail.com</t>
  </si>
  <si>
    <t>ABDULMALIK</t>
  </si>
  <si>
    <t>Abdulrahim</t>
  </si>
  <si>
    <t>No 62Ummarun Dallaje Cresent Batagarawa Lowcost, Katsina</t>
  </si>
  <si>
    <t xml:space="preserve">Federal Teaching Hospital Katsina </t>
  </si>
  <si>
    <t>202731539WACP757338610</t>
  </si>
  <si>
    <t>24petej@gmail.com</t>
  </si>
  <si>
    <t>Wisman</t>
  </si>
  <si>
    <t>60 kissy bye pass</t>
  </si>
  <si>
    <t>Ola during children&amp;#039;s hospital</t>
  </si>
  <si>
    <t>078-658218</t>
  </si>
  <si>
    <t>244571540WACP142312274</t>
  </si>
  <si>
    <t>hamzamansaray12@gmail.com</t>
  </si>
  <si>
    <t>MANSARAY</t>
  </si>
  <si>
    <t>91 Cemetery Road, Orugu, Freetown</t>
  </si>
  <si>
    <t>Ola During Children&amp;#039;s Hospital</t>
  </si>
  <si>
    <t>244461541WACP579233601</t>
  </si>
  <si>
    <t>rahimkamara137@gmail.com</t>
  </si>
  <si>
    <t>Rahim</t>
  </si>
  <si>
    <t>12 Kargbo Drive, Metchem, Freetown.</t>
  </si>
  <si>
    <t>244131542WACP276379020</t>
  </si>
  <si>
    <t>yusifusahidbangura81@gmail.com</t>
  </si>
  <si>
    <t>Bangura</t>
  </si>
  <si>
    <t>Yusifu</t>
  </si>
  <si>
    <t>Sahid</t>
  </si>
  <si>
    <t>Jui, Freetown</t>
  </si>
  <si>
    <t>Ola During Children&amp;#039;s Hospital (ODCH)</t>
  </si>
  <si>
    <t>244561543WACP152428173</t>
  </si>
  <si>
    <t>danielkarimvandi@gmail.com</t>
  </si>
  <si>
    <t>VANDI</t>
  </si>
  <si>
    <t>Daniel</t>
  </si>
  <si>
    <t>Karim</t>
  </si>
  <si>
    <t>4-Lamin Drive, Off cemetery road, Adonkia - Freetown</t>
  </si>
  <si>
    <t>244671544WACP133268677</t>
  </si>
  <si>
    <t>yemi.amuda@yahoo.com</t>
  </si>
  <si>
    <t>AMUDA</t>
  </si>
  <si>
    <t>Akeem</t>
  </si>
  <si>
    <t>Obafemi Awolowo University Teaching Hospitals Complex (OAUTHC), Ile-Ife, Osun State</t>
  </si>
  <si>
    <t>08035539324</t>
  </si>
  <si>
    <t>48591545WACP50986892</t>
  </si>
  <si>
    <t>cherryosigwe@gmail.com</t>
  </si>
  <si>
    <t>OSIGWE</t>
  </si>
  <si>
    <t>Adannaya</t>
  </si>
  <si>
    <t>Cherry</t>
  </si>
  <si>
    <t>Federal Neuropsychiatric Hospital Benin</t>
  </si>
  <si>
    <t>08036465851</t>
  </si>
  <si>
    <t>244091546WACP23365349</t>
  </si>
  <si>
    <t>sjadjare@gmail.com</t>
  </si>
  <si>
    <t>AGYARE</t>
  </si>
  <si>
    <t>Simeon</t>
  </si>
  <si>
    <t>Jude</t>
  </si>
  <si>
    <t>ECG BOX 521 Accra Ghana</t>
  </si>
  <si>
    <t>0596318873</t>
  </si>
  <si>
    <t>GHWACP633028656</t>
  </si>
  <si>
    <t>batuly273@gmail.com</t>
  </si>
  <si>
    <t>Fatmata</t>
  </si>
  <si>
    <t>Batuly</t>
  </si>
  <si>
    <t>8 lower Patton st</t>
  </si>
  <si>
    <t>University of Sierra Leone teaching hospital complex</t>
  </si>
  <si>
    <t>244631548WACP978024273</t>
  </si>
  <si>
    <t>giftedhand3994@gmail.com</t>
  </si>
  <si>
    <t>IBEKA</t>
  </si>
  <si>
    <t>Marvellous</t>
  </si>
  <si>
    <t>PH Alpha2 Secretariat Tourist Beach</t>
  </si>
  <si>
    <t>07050791786</t>
  </si>
  <si>
    <t>236091549WACP274941522</t>
  </si>
  <si>
    <t>dchoosen88@gmail.com</t>
  </si>
  <si>
    <t xml:space="preserve">ABDUR-RAHEEM </t>
  </si>
  <si>
    <t xml:space="preserve">Mukhtar </t>
  </si>
  <si>
    <t xml:space="preserve">Oluwatosin </t>
  </si>
  <si>
    <t xml:space="preserve">Federal Teaching Hospital Katsina,Katsina,Nigeria </t>
  </si>
  <si>
    <t>94541550WACP739405359</t>
  </si>
  <si>
    <t>snipcee@gmail.com</t>
  </si>
  <si>
    <t>Ogecha</t>
  </si>
  <si>
    <t>Idoko</t>
  </si>
  <si>
    <t xml:space="preserve">University of Abuja Teaching Hospital,Abuja. </t>
  </si>
  <si>
    <t>07038266940</t>
  </si>
  <si>
    <t>60961551WACP367240528</t>
  </si>
  <si>
    <t>fatimazara56@gmail.com</t>
  </si>
  <si>
    <t>EL-RUFAI</t>
  </si>
  <si>
    <t>Jewel shelter estate jahi ahmedu bello way abuja</t>
  </si>
  <si>
    <t>Trust charitos hospital abuja</t>
  </si>
  <si>
    <t>08165655528</t>
  </si>
  <si>
    <t>241851552WACP557041472</t>
  </si>
  <si>
    <t>zahraxuxu@gmail.com</t>
  </si>
  <si>
    <t>HABIB</t>
  </si>
  <si>
    <t>zahra</t>
  </si>
  <si>
    <t>NO. 233 A MEDILE QUARTERS KANO</t>
  </si>
  <si>
    <t>08034886433</t>
  </si>
  <si>
    <t>207671553WACP803437035</t>
  </si>
  <si>
    <t>maryamtinuola2015@gmail.com</t>
  </si>
  <si>
    <t>Abdulkadri</t>
  </si>
  <si>
    <t>FEDERAL MEDICAL CENTRE, BIDA</t>
  </si>
  <si>
    <t>27471554WACP94403500</t>
  </si>
  <si>
    <t>suleimanalhajiusman@gmail.com</t>
  </si>
  <si>
    <t>Suleiman</t>
  </si>
  <si>
    <t>No 2 Machina road, Federal Medical Center Nguru, Yobe State</t>
  </si>
  <si>
    <t>Federal Medical Center Nguru</t>
  </si>
  <si>
    <t>08069597785</t>
  </si>
  <si>
    <t>243411555WACP280398161</t>
  </si>
  <si>
    <t>muhammedsippideentarawally@gmail.com</t>
  </si>
  <si>
    <t>DEEN-TARAWALLY</t>
  </si>
  <si>
    <t>Muhammed</t>
  </si>
  <si>
    <t>Sippi</t>
  </si>
  <si>
    <t>30a Old railway line Tengbeh town, Freetown Sierra Leone</t>
  </si>
  <si>
    <t>Ola During children Hospital, Freetown , Sierra Leone</t>
  </si>
  <si>
    <t>244661556WACP113395069</t>
  </si>
  <si>
    <t>ugwusamuelchika@yahoo.com</t>
  </si>
  <si>
    <t>samuel</t>
  </si>
  <si>
    <t>chika</t>
  </si>
  <si>
    <t xml:space="preserve">Jos university teaching hospital jos </t>
  </si>
  <si>
    <t>105471557WACP175947572</t>
  </si>
  <si>
    <t>okunolatemitope14@gmail.com</t>
  </si>
  <si>
    <t>OKUNOLA</t>
  </si>
  <si>
    <t>TEMITOPE</t>
  </si>
  <si>
    <t>LAGOS  UNIVERSITY TEACHING HOSPITAL,IDI-ARABA,LAGOS</t>
  </si>
  <si>
    <t>111261558WACP237273722</t>
  </si>
  <si>
    <t>angela.ackah@gmail.com</t>
  </si>
  <si>
    <t>ACKAH</t>
  </si>
  <si>
    <t>Angela</t>
  </si>
  <si>
    <t>P. O. BOX 100, NSAWAM</t>
  </si>
  <si>
    <t>Nsawam Government Hospital</t>
  </si>
  <si>
    <t>0247040241</t>
  </si>
  <si>
    <t>239151559WACP904487170</t>
  </si>
  <si>
    <t>brinzy55@gmail.com</t>
  </si>
  <si>
    <t xml:space="preserve">EZERIE </t>
  </si>
  <si>
    <t xml:space="preserve">Bridget </t>
  </si>
  <si>
    <t xml:space="preserve">Chinwekele </t>
  </si>
  <si>
    <t xml:space="preserve">No 90 Elijiji Road,Woji,Portharcourt </t>
  </si>
  <si>
    <t>Abia state university uturu</t>
  </si>
  <si>
    <t>08105515355</t>
  </si>
  <si>
    <t>190761560WACP359170895</t>
  </si>
  <si>
    <t>queennosa1@gmail.com</t>
  </si>
  <si>
    <t>IGBINOVIA</t>
  </si>
  <si>
    <t>Nosa</t>
  </si>
  <si>
    <t>Queen</t>
  </si>
  <si>
    <t>NO. 11 JULIUS NYERERE CRESENT, ASOKORO DISTRICT HOSPITAL</t>
  </si>
  <si>
    <t>ASOKORO DISTRICTHOSPITAL, FCT ABUJA. NIGERIA</t>
  </si>
  <si>
    <t>08034181117</t>
  </si>
  <si>
    <t>50921561WACP433429312</t>
  </si>
  <si>
    <t>aishaamuhammad2014@gmail.com</t>
  </si>
  <si>
    <t xml:space="preserve">ABDULLAHI </t>
  </si>
  <si>
    <t xml:space="preserve">Aishatu </t>
  </si>
  <si>
    <t>75181562WACP954291154</t>
  </si>
  <si>
    <t>chukwudishedrack@gmail.com</t>
  </si>
  <si>
    <t>Shedrack</t>
  </si>
  <si>
    <t>ECWA Hospital, Egbe, Kogi State</t>
  </si>
  <si>
    <t>University of Nigeria, Nsukka</t>
  </si>
  <si>
    <t>08138251573</t>
  </si>
  <si>
    <t>244691563WACP615994586</t>
  </si>
  <si>
    <t>siakpere22@gmail.com</t>
  </si>
  <si>
    <t>Onome</t>
  </si>
  <si>
    <t>Plot 696 7th Avenue along 62 road Gwarimpa estate Abuja</t>
  </si>
  <si>
    <t>Kharkiv national medical university</t>
  </si>
  <si>
    <t>09017221221</t>
  </si>
  <si>
    <t>242591564WACP951748548</t>
  </si>
  <si>
    <t>esinamzowonu25@gmail.com</t>
  </si>
  <si>
    <t>ZOWONU</t>
  </si>
  <si>
    <t>Esinam</t>
  </si>
  <si>
    <t>Yawo</t>
  </si>
  <si>
    <t>plt 1c blk a</t>
  </si>
  <si>
    <t>Atua</t>
  </si>
  <si>
    <t>0530301863/0206723883</t>
  </si>
  <si>
    <t>GHWACP179774526</t>
  </si>
  <si>
    <t>Zainabaminumusa@gmail.com</t>
  </si>
  <si>
    <t>MUSA</t>
  </si>
  <si>
    <t>Aminu</t>
  </si>
  <si>
    <t>Sharada phase 2 along santolo avenue kano</t>
  </si>
  <si>
    <t xml:space="preserve">AMINU KANO TEACHING HOSPITAL, KANO. </t>
  </si>
  <si>
    <t>08033912083</t>
  </si>
  <si>
    <t>184161566WACP974085705</t>
  </si>
  <si>
    <t>duchima84@yahoo.com</t>
  </si>
  <si>
    <t>OBE</t>
  </si>
  <si>
    <t>57, Afolabi Obe Street, Ori Oke, Ejigbo, Lagos.</t>
  </si>
  <si>
    <t>Lagos State University Teaching Hospital, Ikeja, Lagos.</t>
  </si>
  <si>
    <t>57851568WACP522631718</t>
  </si>
  <si>
    <t>nadiamaleeeq@gmail.com</t>
  </si>
  <si>
    <t>ABDULKADIR</t>
  </si>
  <si>
    <t>Nadia</t>
  </si>
  <si>
    <t>Malik</t>
  </si>
  <si>
    <t>Murtala muhammad specialist hospital</t>
  </si>
  <si>
    <t>244741569WACP272539715</t>
  </si>
  <si>
    <t>baleemma67@gmail.com</t>
  </si>
  <si>
    <t>BALE</t>
  </si>
  <si>
    <t>No 1 Akpo Street Okwagbe</t>
  </si>
  <si>
    <t>Mother and Child Specialist Hospital Owa Alero</t>
  </si>
  <si>
    <t>08161380402</t>
  </si>
  <si>
    <t>242921570WACP5848648</t>
  </si>
  <si>
    <t>harlynaabba@gmail.com</t>
  </si>
  <si>
    <t>NAABBA</t>
  </si>
  <si>
    <t>Halima</t>
  </si>
  <si>
    <t>No 10 FHA Sharada phase two</t>
  </si>
  <si>
    <t>Muhammadu Abdullahi Wase Teaching Hospital</t>
  </si>
  <si>
    <t>243831571WACP838250164</t>
  </si>
  <si>
    <t>patcyn55@yahoo.com</t>
  </si>
  <si>
    <t>Patricia</t>
  </si>
  <si>
    <t>18 Chief Nnadokoye st Ajao estate,Lagos state,Nigeria</t>
  </si>
  <si>
    <t xml:space="preserve">Lagos University Teaching Hospital, Nigeria </t>
  </si>
  <si>
    <t>198261572WACP157751075</t>
  </si>
  <si>
    <t>azorahijeoma271@gmail.com</t>
  </si>
  <si>
    <t>IHUOMA</t>
  </si>
  <si>
    <t>Nelly</t>
  </si>
  <si>
    <t>13 methodist  road world bank housing esate aba</t>
  </si>
  <si>
    <t xml:space="preserve">fmc umuahia </t>
  </si>
  <si>
    <t>07035332986</t>
  </si>
  <si>
    <t>201321573WACP551712130</t>
  </si>
  <si>
    <t>boluwatife99ogundokun@gmail.com</t>
  </si>
  <si>
    <t xml:space="preserve">SOLA-ONIYIDE </t>
  </si>
  <si>
    <t xml:space="preserve">Boluwatife </t>
  </si>
  <si>
    <t xml:space="preserve">Anuoluwapo </t>
  </si>
  <si>
    <t>Ekiti-state University Teaching Hospital,Ado-Ekiti</t>
  </si>
  <si>
    <t>66011574WACP674580100</t>
  </si>
  <si>
    <t>maimunarufai3@gmail.com</t>
  </si>
  <si>
    <t>Maimuna</t>
  </si>
  <si>
    <t>Rufa&amp;#039;1</t>
  </si>
  <si>
    <t>No. 803 Hotoro U/Gabas, nassrawa LGA, kano state</t>
  </si>
  <si>
    <t>Murtala Muhammad Specialist Hospital kano</t>
  </si>
  <si>
    <t>08064516794</t>
  </si>
  <si>
    <t>243031575WACP914912966</t>
  </si>
  <si>
    <t>shillybindewest@yahoo.com</t>
  </si>
  <si>
    <t>ELECHI</t>
  </si>
  <si>
    <t>Seun Abinde</t>
  </si>
  <si>
    <t>no 8 eguaroje dada crescent ,marcus poli estate  gwarimpa abuja</t>
  </si>
  <si>
    <t xml:space="preserve">Luhansk state medical university Ukraine </t>
  </si>
  <si>
    <t>09034236702</t>
  </si>
  <si>
    <t>5261576WACP772882342</t>
  </si>
  <si>
    <t>mrishiaku@gmail.com</t>
  </si>
  <si>
    <t>UMARU</t>
  </si>
  <si>
    <t>Ishaku</t>
  </si>
  <si>
    <t xml:space="preserve">AMINU KANO TEACHING HOSPITAL PMB 3452 ZARIA ROAD KANO </t>
  </si>
  <si>
    <t>AMINU KANO TEACHING HOSPITAL. KANO</t>
  </si>
  <si>
    <t>9441577WACP848484782</t>
  </si>
  <si>
    <t>benyinaanthony@gmail.com</t>
  </si>
  <si>
    <t>EKERETE</t>
  </si>
  <si>
    <t>benyin</t>
  </si>
  <si>
    <t>anthony</t>
  </si>
  <si>
    <t xml:space="preserve">University of Uyo Teaching Hospital </t>
  </si>
  <si>
    <t>08063509405</t>
  </si>
  <si>
    <t>13181578WACP843874636</t>
  </si>
  <si>
    <t>chimexgr44@gmail.com</t>
  </si>
  <si>
    <t>IWUOHA</t>
  </si>
  <si>
    <t>Chimereije</t>
  </si>
  <si>
    <t>Sugabsiso</t>
  </si>
  <si>
    <t>Angelic Care Hospital, No19 Ngwa Close, Off Fumilayo Ransome Kurti Street, Garki Area 3, Abuja.</t>
  </si>
  <si>
    <t>Angelic Care Hospital Abuja</t>
  </si>
  <si>
    <t>08165863205</t>
  </si>
  <si>
    <t>51691579WACP83981182</t>
  </si>
  <si>
    <t>ceesquaredeye8@gmail.com</t>
  </si>
  <si>
    <t xml:space="preserve">CHIGBU </t>
  </si>
  <si>
    <t xml:space="preserve">Charles </t>
  </si>
  <si>
    <t>1,AKINDELE STREET,NEW GARAGE GBAGADA, LAGOS STATE</t>
  </si>
  <si>
    <t xml:space="preserve">R-JOLAD HOSPITAL ,GBAGADA, LAGOS STATE. </t>
  </si>
  <si>
    <t>08039451323</t>
  </si>
  <si>
    <t>103741580WACP910993199</t>
  </si>
  <si>
    <t>jumokeugenyi@yahoo.com</t>
  </si>
  <si>
    <t>UGENYI</t>
  </si>
  <si>
    <t>Jumoke</t>
  </si>
  <si>
    <t>Sefinat</t>
  </si>
  <si>
    <t>10 Baale Street (Citadel of Praise), Igbo-Efon, Lekki, Lagos State, Nigeria</t>
  </si>
  <si>
    <t>Ladoke Akintola University of Technology</t>
  </si>
  <si>
    <t>195691581WACP404934463</t>
  </si>
  <si>
    <t>bukeeolatunji@gmail.com</t>
  </si>
  <si>
    <t>OLATUNJI</t>
  </si>
  <si>
    <t>Olubukola</t>
  </si>
  <si>
    <t>Elizabeth</t>
  </si>
  <si>
    <t>PLOT 6B PROVIDENCE ESTATE NEW OKO-OBA LAGOS</t>
  </si>
  <si>
    <t>LASUTH,IKEJA LAGOS</t>
  </si>
  <si>
    <t>08053719057</t>
  </si>
  <si>
    <t>194621582WACP674863026</t>
  </si>
  <si>
    <t>austaogo@yahoo.com</t>
  </si>
  <si>
    <t>USHIE</t>
  </si>
  <si>
    <t>Augusta</t>
  </si>
  <si>
    <t>Ericbona</t>
  </si>
  <si>
    <t>30 Gbangbala street, Ikate Elegushi, Lekki Lagos</t>
  </si>
  <si>
    <t xml:space="preserve">Lagos University Teaching Hospital </t>
  </si>
  <si>
    <t>08075391770</t>
  </si>
  <si>
    <t>242681583WACP497317398</t>
  </si>
  <si>
    <t>malikiatairu@yahoo.com</t>
  </si>
  <si>
    <t>Maliki</t>
  </si>
  <si>
    <t>Atairu</t>
  </si>
  <si>
    <t>Asipita</t>
  </si>
  <si>
    <t>FEDERAL TEACHING HOSPITAL KATSINA</t>
  </si>
  <si>
    <t>49831584WACP120270277</t>
  </si>
  <si>
    <t>aishabashir76@yahoo.com</t>
  </si>
  <si>
    <t>ALBASU</t>
  </si>
  <si>
    <t>No 12 Bompai Road, Nasarawa,  Kano state</t>
  </si>
  <si>
    <t>08082599813</t>
  </si>
  <si>
    <t>204301585WACP641167648</t>
  </si>
  <si>
    <t>shamakibabarimamtso@gmail.com</t>
  </si>
  <si>
    <t>Rimamtso</t>
  </si>
  <si>
    <t>Shamaki</t>
  </si>
  <si>
    <t>Baba</t>
  </si>
  <si>
    <t xml:space="preserve"> Abubakar Tafawa Balewa university teaching hospital ATBUTHBauchi</t>
  </si>
  <si>
    <t>14901586WACP145952157</t>
  </si>
  <si>
    <t>ceesaysuntu@gmail.com</t>
  </si>
  <si>
    <t>Ceesay</t>
  </si>
  <si>
    <t>Suntu</t>
  </si>
  <si>
    <t>25 sanchaba, junction baa street,WCR,The Gambia</t>
  </si>
  <si>
    <t>00220 2525125</t>
  </si>
  <si>
    <t>188991587WACP652671045</t>
  </si>
  <si>
    <t>theodoraashaolu@gmail.com</t>
  </si>
  <si>
    <t>ASHAOLU</t>
  </si>
  <si>
    <t>Aghorghor</t>
  </si>
  <si>
    <t>Theodora</t>
  </si>
  <si>
    <t>Plot 64B Baderinwa Alabi street, Central Lekki Phase 1, Marwa, Lekki Phase 1</t>
  </si>
  <si>
    <t>R Jolad Hospital Gbagada, Lagos state</t>
  </si>
  <si>
    <t>+234 8034071780</t>
  </si>
  <si>
    <t>57571588WACP370675490</t>
  </si>
  <si>
    <t>tunjiomooosadaje@yahoo.com</t>
  </si>
  <si>
    <t>OYEBANJI</t>
  </si>
  <si>
    <t>Tunji</t>
  </si>
  <si>
    <t>A 23 AYEGBAJU STREET YAKOOYO IPETUMODU</t>
  </si>
  <si>
    <t>OBAFEMI AWOLOWO UNIVERSITY TEACHING HOSPITAL COMPLEX ILE IFE</t>
  </si>
  <si>
    <t>08022300228</t>
  </si>
  <si>
    <t>244711589WACP257911755</t>
  </si>
  <si>
    <t>chinwendu.u.e.456@gmail.com</t>
  </si>
  <si>
    <t>No 9 Anderson Ekwe street, New road Junction. Port-harcourt</t>
  </si>
  <si>
    <t>09011985795</t>
  </si>
  <si>
    <t>242141590WACP426861647</t>
  </si>
  <si>
    <t>nkechiokoye2015@gmail.com</t>
  </si>
  <si>
    <t>Okoye</t>
  </si>
  <si>
    <t>Nkechinyere</t>
  </si>
  <si>
    <t>Cynthia</t>
  </si>
  <si>
    <t>Rivtaf golf estate , off peter-odilli road , portharcourt, Rivers state</t>
  </si>
  <si>
    <t>University of Nigeria college of Medicine</t>
  </si>
  <si>
    <t>09076727437</t>
  </si>
  <si>
    <t>244511591WACP770202491</t>
  </si>
  <si>
    <t>eyramtsinigo@gmail.com</t>
  </si>
  <si>
    <t>TSINIGO</t>
  </si>
  <si>
    <t>Eyram</t>
  </si>
  <si>
    <t>Yaa</t>
  </si>
  <si>
    <t>P.O.Box AM 200, Amasaman- Accra</t>
  </si>
  <si>
    <t>Korle bu Teaching Hospital</t>
  </si>
  <si>
    <t>+233 555 667 909</t>
  </si>
  <si>
    <t>GHWACP858086630</t>
  </si>
  <si>
    <t>bilkisu1231@gmail.com</t>
  </si>
  <si>
    <t>Dalhatu</t>
  </si>
  <si>
    <t>Block 148, Las Vegas Crescent, Karu Site Abuja</t>
  </si>
  <si>
    <t>Federal Medical Centre, Abuja</t>
  </si>
  <si>
    <t>08143503339</t>
  </si>
  <si>
    <t>192641593WACP863714723</t>
  </si>
  <si>
    <t>rashidatbello9@gmail.com</t>
  </si>
  <si>
    <t>Rashidat</t>
  </si>
  <si>
    <t>21341594WACP839166464</t>
  </si>
  <si>
    <t>amynnah1@gmail.com</t>
  </si>
  <si>
    <t>NDAMAN</t>
  </si>
  <si>
    <t>Larai</t>
  </si>
  <si>
    <t>Federal Medical Centre, Bida, Niger State</t>
  </si>
  <si>
    <t>07037759405</t>
  </si>
  <si>
    <t>63541595WACP309368661</t>
  </si>
  <si>
    <t>massat2008@yahoo.com</t>
  </si>
  <si>
    <t>Aderibigbe</t>
  </si>
  <si>
    <t>Mariam Mercy</t>
  </si>
  <si>
    <t>Oyo State Hospital Management Board, Agodi, Ibadan</t>
  </si>
  <si>
    <t>225201596WACP834383744</t>
  </si>
  <si>
    <t>aguinadr@gmail.com</t>
  </si>
  <si>
    <t>AGINA</t>
  </si>
  <si>
    <t>|Uchenna</t>
  </si>
  <si>
    <t xml:space="preserve"> Stanislaus</t>
  </si>
  <si>
    <t>NNAMDI AZIKIWE UNIVERSITY TEACHING HOSPITAL, NNEWI</t>
  </si>
  <si>
    <t>54931597WACP675556267</t>
  </si>
  <si>
    <t>lawalomotola4@gmail.com</t>
  </si>
  <si>
    <t>Omotola</t>
  </si>
  <si>
    <t>Ayodele</t>
  </si>
  <si>
    <t>House 13/14, Close 1, Mayfair Gardens, Awoyaya, ibeju-lekki, Lagos State</t>
  </si>
  <si>
    <t>University of Ibadan, Ibadan</t>
  </si>
  <si>
    <t>07061024737</t>
  </si>
  <si>
    <t>243401598WACP575300473</t>
  </si>
  <si>
    <t>eluyeraayomide@gmail.com</t>
  </si>
  <si>
    <t>ELUYERA</t>
  </si>
  <si>
    <t>Ayomide</t>
  </si>
  <si>
    <t>No.12, Ayofamuyide Street, Ile-Ife</t>
  </si>
  <si>
    <t>Medicine</t>
  </si>
  <si>
    <t>244261599WACP596813329</t>
  </si>
  <si>
    <t>olanrewajuadesina8@gmail.com</t>
  </si>
  <si>
    <t>SAHEED</t>
  </si>
  <si>
    <t>muhyideen</t>
  </si>
  <si>
    <t>olanrewaju</t>
  </si>
  <si>
    <t>bayan oando, birnin kebbi</t>
  </si>
  <si>
    <t>fmc birnin kebbi</t>
  </si>
  <si>
    <t>07038212821</t>
  </si>
  <si>
    <t>211171600WACP223376971</t>
  </si>
  <si>
    <t>afeniforograce@gmail.com</t>
  </si>
  <si>
    <t>AFENIFORO</t>
  </si>
  <si>
    <t xml:space="preserve">Olufunke </t>
  </si>
  <si>
    <t>Idowu Johnson house, oluwa lose quarters, road 7, Ile ife</t>
  </si>
  <si>
    <t xml:space="preserve">Obafemi Awolowo University Teaching Hospital complex Ile-Ife </t>
  </si>
  <si>
    <t>77921601WACP989530952</t>
  </si>
  <si>
    <t>ayecarlos@yahoo.com</t>
  </si>
  <si>
    <t>AYELEKE</t>
  </si>
  <si>
    <t>Olusola</t>
  </si>
  <si>
    <t>Ayewale</t>
  </si>
  <si>
    <t>OAUTHC ILE-IFE</t>
  </si>
  <si>
    <t>81351602WACP522694262</t>
  </si>
  <si>
    <t>johnfesco@yahoo.com</t>
  </si>
  <si>
    <t>NSOROMOTU</t>
  </si>
  <si>
    <t>Festus</t>
  </si>
  <si>
    <t>Johnbosco</t>
  </si>
  <si>
    <t>No 5 Bosoro street, Shagari estate, Ipaja, Lagos State</t>
  </si>
  <si>
    <t>R-Jolad hospital, Lagos</t>
  </si>
  <si>
    <t>08027408775</t>
  </si>
  <si>
    <t>244291603WACP582492572</t>
  </si>
  <si>
    <t>realone4life2003@gmail.com</t>
  </si>
  <si>
    <t>ADETU</t>
  </si>
  <si>
    <t>riliwan</t>
  </si>
  <si>
    <t xml:space="preserve">7, Ewudeji Ewubajo street l, GRA, Sagamu, Ogun state,Nigeria </t>
  </si>
  <si>
    <t xml:space="preserve">Babcock University Teaching Hospital </t>
  </si>
  <si>
    <t>07064399380</t>
  </si>
  <si>
    <t>43281604WACP458566942</t>
  </si>
  <si>
    <t>sanihalima66@gmail.com</t>
  </si>
  <si>
    <t xml:space="preserve">Halima </t>
  </si>
  <si>
    <t>MURTALA MUHAMMAD SPECIALIST HOSPITAL, KANO.</t>
  </si>
  <si>
    <t>8061556412, 07014804793</t>
  </si>
  <si>
    <t>60471605WACP776864679</t>
  </si>
  <si>
    <t>mohammedbashira3@gmail.com</t>
  </si>
  <si>
    <t>Basira</t>
  </si>
  <si>
    <t>P.M.B 1126, FMC, Birnin Kebbi, Kebbi State.</t>
  </si>
  <si>
    <t>FEDERAL MEDICAL CENTRE, BIRNIN KEBBI, KEBBI STATE</t>
  </si>
  <si>
    <t>08032927506</t>
  </si>
  <si>
    <t>102661606WACP522081974</t>
  </si>
  <si>
    <t>wittywithdele@gmail.com</t>
  </si>
  <si>
    <t>ADEBIYI</t>
  </si>
  <si>
    <t>Bamidele</t>
  </si>
  <si>
    <t>77 Eshilo road Ajasa command Lagos</t>
  </si>
  <si>
    <t>Orile agege general hospital</t>
  </si>
  <si>
    <t>07034777540</t>
  </si>
  <si>
    <t>243731607WACP514242014</t>
  </si>
  <si>
    <t>msgimbadr@gmail.com</t>
  </si>
  <si>
    <t>Mohammed Suleiman</t>
  </si>
  <si>
    <t>Gimba</t>
  </si>
  <si>
    <t xml:space="preserve">Federal Medical Centre, Abuja </t>
  </si>
  <si>
    <t>15591608WACP438763875</t>
  </si>
  <si>
    <t>orjihmiriam@gmail.com</t>
  </si>
  <si>
    <t>ORJI</t>
  </si>
  <si>
    <t>Miriam</t>
  </si>
  <si>
    <t>52521609WACP74396582</t>
  </si>
  <si>
    <t>mkomenugha@gmail.com</t>
  </si>
  <si>
    <t>OMENUGHA</t>
  </si>
  <si>
    <t>Kelechi</t>
  </si>
  <si>
    <t>OAUTHC ILE IFE</t>
  </si>
  <si>
    <t>08067670305</t>
  </si>
  <si>
    <t>59561610WACP531037375</t>
  </si>
  <si>
    <t>agberdonald2020@gmail.com</t>
  </si>
  <si>
    <t>AGBER</t>
  </si>
  <si>
    <t>No. 17 Ishegh Nor Street, Ankpa Quarters Makurdi.</t>
  </si>
  <si>
    <t>Benue State University Makurdi, Benue State</t>
  </si>
  <si>
    <t>08147743524</t>
  </si>
  <si>
    <t>244781611WACP530049328</t>
  </si>
  <si>
    <t>murtalau6@gmail.com</t>
  </si>
  <si>
    <t>Murtala</t>
  </si>
  <si>
    <t>Abubakar Tafawa Balewa University  Teaching Hospital, Bauchi.</t>
  </si>
  <si>
    <t>13851612WACP647042420</t>
  </si>
  <si>
    <t>christabelekeoma2017@gmail.com</t>
  </si>
  <si>
    <t>Christabel</t>
  </si>
  <si>
    <t>Ekeoma</t>
  </si>
  <si>
    <t>No 3, Mbaukwu Street, Old Airport Road, Emene</t>
  </si>
  <si>
    <t xml:space="preserve">Enugu State University College of Medicine </t>
  </si>
  <si>
    <t>08167811038</t>
  </si>
  <si>
    <t>236511613WACP486724860</t>
  </si>
  <si>
    <t>abdulkarimleemah@gmail.com</t>
  </si>
  <si>
    <t xml:space="preserve">ABDULKARIM </t>
  </si>
  <si>
    <t>Alhassan</t>
  </si>
  <si>
    <t xml:space="preserve">Federal teaching hospital, Gombe </t>
  </si>
  <si>
    <t>Federal teaching hospital, Gombe</t>
  </si>
  <si>
    <t>80821614WACP974065698</t>
  </si>
  <si>
    <t>najaibrahim@gmail.com</t>
  </si>
  <si>
    <t>JELANI</t>
  </si>
  <si>
    <t>Naja</t>
  </si>
  <si>
    <t>08138038138</t>
  </si>
  <si>
    <t>20781615WACP758071400</t>
  </si>
  <si>
    <t>mabelsamuel33@gmail.com</t>
  </si>
  <si>
    <t>Mabel</t>
  </si>
  <si>
    <t xml:space="preserve">Biyaya </t>
  </si>
  <si>
    <t>No E15 Sarkin Fada Street Ungwan Romi, Kaduna</t>
  </si>
  <si>
    <t>44 Nigerian Army Reference Hospital, Kaduna</t>
  </si>
  <si>
    <t>08031864914</t>
  </si>
  <si>
    <t>185191616WACP52092687</t>
  </si>
  <si>
    <t>abdulaimdrafeeq@gmail.com</t>
  </si>
  <si>
    <t>Abdulai</t>
  </si>
  <si>
    <t>Rafiq Arhin</t>
  </si>
  <si>
    <t>GHWACP474315444</t>
  </si>
  <si>
    <t>asoreaddah@yahoo.com</t>
  </si>
  <si>
    <t>ADDAH</t>
  </si>
  <si>
    <t>eric</t>
  </si>
  <si>
    <t>asore</t>
  </si>
  <si>
    <t>c/o alice amaara credentially unit, nhis headquaters private mail bag</t>
  </si>
  <si>
    <t>the community hospital ashongman</t>
  </si>
  <si>
    <t>0243492021</t>
  </si>
  <si>
    <t>GHWACP975928412</t>
  </si>
  <si>
    <t>ayodeleko7@gmail.com</t>
  </si>
  <si>
    <t>AYODELE</t>
  </si>
  <si>
    <t>Toluwabori</t>
  </si>
  <si>
    <t>NO 24 ASEKUNLOWO STREET, UPPER GAA-AKANBI,ILORIN, KWARA STATE</t>
  </si>
  <si>
    <t>09031866169</t>
  </si>
  <si>
    <t>244171619WACP418592529</t>
  </si>
  <si>
    <t>addaulataisha2@gmail.com</t>
  </si>
  <si>
    <t>KM 21 Assalam Farms, Gadar Tamburawa, Zaria Road, Kano</t>
  </si>
  <si>
    <t>Aminu Kano Teaching Hospital, AKTH Kano State</t>
  </si>
  <si>
    <t>08033341169</t>
  </si>
  <si>
    <t>215141620WACP987756570</t>
  </si>
  <si>
    <t>eugeneosanyibofu@gmail.com</t>
  </si>
  <si>
    <t>EUGENE</t>
  </si>
  <si>
    <t>OSANYIBOFU</t>
  </si>
  <si>
    <t>JOHN</t>
  </si>
  <si>
    <t xml:space="preserve">Ahmadu Bello university teaching hospital, Zaria </t>
  </si>
  <si>
    <t>78241621WACP701037343</t>
  </si>
  <si>
    <t>adaratee@gmail.com</t>
  </si>
  <si>
    <t>ADARA</t>
  </si>
  <si>
    <t>Motunrayo</t>
  </si>
  <si>
    <t>Oluwatofunmi</t>
  </si>
  <si>
    <t>3/6, Mustapha Street, Isal&amp;amp;#7865;-oluwo, Onikolobo</t>
  </si>
  <si>
    <t>Babcock University Teaching Hospital</t>
  </si>
  <si>
    <t>08139624958</t>
  </si>
  <si>
    <t>244641622WACP495971230</t>
  </si>
  <si>
    <t>kabiribrahimjaen@gmail.com</t>
  </si>
  <si>
    <t>IBRAHIM</t>
  </si>
  <si>
    <t>Kabir</t>
  </si>
  <si>
    <t>Jaen</t>
  </si>
  <si>
    <t>Jaen Sharada Phase III, Kano</t>
  </si>
  <si>
    <t>09038509237</t>
  </si>
  <si>
    <t>241311623WACP543846700</t>
  </si>
  <si>
    <t>ddamina18@gmail.com</t>
  </si>
  <si>
    <t>DAMINA</t>
  </si>
  <si>
    <t xml:space="preserve">Dauda </t>
  </si>
  <si>
    <t>UMTH</t>
  </si>
  <si>
    <t>64391624WACP453716886</t>
  </si>
  <si>
    <t>drdemuyiwa027@gmail.com</t>
  </si>
  <si>
    <t xml:space="preserve">ADEMUYIWA </t>
  </si>
  <si>
    <t xml:space="preserve">Adeloye </t>
  </si>
  <si>
    <t xml:space="preserve">Adeleke </t>
  </si>
  <si>
    <t>Federal Medical Centre Owo</t>
  </si>
  <si>
    <t>08108180258</t>
  </si>
  <si>
    <t>37341625WACP359427602</t>
  </si>
  <si>
    <t>amaraezeadibe017@gmail.com</t>
  </si>
  <si>
    <t>ADIBE</t>
  </si>
  <si>
    <t>Road 1 , Ngozika housing estate</t>
  </si>
  <si>
    <t>Nnamdi Azikiwe University,Awka, Anambra State</t>
  </si>
  <si>
    <t>08103576220</t>
  </si>
  <si>
    <t>243271626WACP348310237</t>
  </si>
  <si>
    <t>gsaniyashe@gmail.com</t>
  </si>
  <si>
    <t>Gidado</t>
  </si>
  <si>
    <t>Yashe</t>
  </si>
  <si>
    <t>No. 25 Danmagaji wusasa Zaria</t>
  </si>
  <si>
    <t>07066290101</t>
  </si>
  <si>
    <t>244801627WACP237644451</t>
  </si>
  <si>
    <t>abazuikechukwu@yahoo.com</t>
  </si>
  <si>
    <t>ABAZU</t>
  </si>
  <si>
    <t>sunday</t>
  </si>
  <si>
    <t>FMC OWO</t>
  </si>
  <si>
    <t>27291628WACP210098978</t>
  </si>
  <si>
    <t>zaibage16@gmail.com</t>
  </si>
  <si>
    <t>BAGE</t>
  </si>
  <si>
    <t xml:space="preserve">Safiyanu </t>
  </si>
  <si>
    <t>Block 37, B close OAU Quarters Maitama Abuja</t>
  </si>
  <si>
    <t xml:space="preserve">Federal medical center Abuja </t>
  </si>
  <si>
    <t>08144613205</t>
  </si>
  <si>
    <t>196021629WACP459599381</t>
  </si>
  <si>
    <t>drwemi88@gmail.com</t>
  </si>
  <si>
    <t xml:space="preserve">AKHIGBE </t>
  </si>
  <si>
    <t>wemimo</t>
  </si>
  <si>
    <t xml:space="preserve">Chinyere </t>
  </si>
  <si>
    <t xml:space="preserve">No 7, Okhale street, behind Annunciation Catholic college, off, Irrua -uromi road, Irrua. Edo state. </t>
  </si>
  <si>
    <t xml:space="preserve">Igbinedion University, Okada, Edo state. </t>
  </si>
  <si>
    <t>94761630WACP966452229</t>
  </si>
  <si>
    <t>halimatajokenasir@gmail.com</t>
  </si>
  <si>
    <t>NASIR</t>
  </si>
  <si>
    <t>Halimat</t>
  </si>
  <si>
    <t>Ajoke</t>
  </si>
  <si>
    <t>Alabi Street</t>
  </si>
  <si>
    <t>FNPHY</t>
  </si>
  <si>
    <t>08068325312</t>
  </si>
  <si>
    <t>232531631WACP14655458</t>
  </si>
  <si>
    <t>ibnyahya735@gmail.com</t>
  </si>
  <si>
    <t>Fanfon Shanu Azare, Bauchi State</t>
  </si>
  <si>
    <t>Federal Medical Centre Azare, Bauchi State</t>
  </si>
  <si>
    <t>07038547254</t>
  </si>
  <si>
    <t>194311632WACP660782111</t>
  </si>
  <si>
    <t>favourdaify@gmail.com</t>
  </si>
  <si>
    <t>CHIKEZIE</t>
  </si>
  <si>
    <t xml:space="preserve"> University of Port Harcourt Teaching Hospital, Port Harcourt</t>
  </si>
  <si>
    <t>07030234030</t>
  </si>
  <si>
    <t>186631633WACP870162708</t>
  </si>
  <si>
    <t>ajagbeaishatomolara@gmail.com</t>
  </si>
  <si>
    <t>AJAGBE</t>
  </si>
  <si>
    <t>Aishat</t>
  </si>
  <si>
    <t>Omolara</t>
  </si>
  <si>
    <t>D1, MUNIRAT AJAGBE STREET AYETORO ARULOGUN AREA, EDE OSUN STATE</t>
  </si>
  <si>
    <t>LADOKE AKINTOLA UNIVERSITY OF TECHNOLOGY OGBOMOSO</t>
  </si>
  <si>
    <t>08135338919</t>
  </si>
  <si>
    <t>242851634WACP148391877</t>
  </si>
  <si>
    <t>solo_oje@yahoo.com</t>
  </si>
  <si>
    <t xml:space="preserve">EVBOROKHAI </t>
  </si>
  <si>
    <t>ezra</t>
  </si>
  <si>
    <t>ojeikhoba</t>
  </si>
  <si>
    <t>Opp FMC Owo, Adekunle Ajasin layout, owo,</t>
  </si>
  <si>
    <t>Federal Medical Centre Owo, Ondo state</t>
  </si>
  <si>
    <t>08122117158</t>
  </si>
  <si>
    <t>37051635WACP757955948</t>
  </si>
  <si>
    <t>adulphusonolemhemhen@yahoo.com</t>
  </si>
  <si>
    <t>ONOLEMHEMHEN</t>
  </si>
  <si>
    <t xml:space="preserve">adulphus </t>
  </si>
  <si>
    <t>otaifoh</t>
  </si>
  <si>
    <t>13 Ebosele street , Uromi , Edo State.</t>
  </si>
  <si>
    <t xml:space="preserve">Irrua specialist teaching hospital </t>
  </si>
  <si>
    <t>07067999718</t>
  </si>
  <si>
    <t>196461636WACP930747023</t>
  </si>
  <si>
    <t>anigbogu_nneoma@yahoo.com</t>
  </si>
  <si>
    <t>ANIGBOGU</t>
  </si>
  <si>
    <t>Nneoma</t>
  </si>
  <si>
    <t>Lokogoma Abuja</t>
  </si>
  <si>
    <t>Crimea federal university Simferopol Russia</t>
  </si>
  <si>
    <t>07062820758</t>
  </si>
  <si>
    <t>244181637WACP368295162</t>
  </si>
  <si>
    <t>hadizazira@yahoo.com</t>
  </si>
  <si>
    <t xml:space="preserve">MOHAMMED  </t>
  </si>
  <si>
    <t xml:space="preserve">Hadiza </t>
  </si>
  <si>
    <t>Zira</t>
  </si>
  <si>
    <t>No 6 Thomas Sankara street, Asokoro,Abuja.</t>
  </si>
  <si>
    <t xml:space="preserve">Federal medical center Jabi, Abuja </t>
  </si>
  <si>
    <t>08069069606</t>
  </si>
  <si>
    <t>115321638WACP387138362</t>
  </si>
  <si>
    <t>zaraadam240@gmail.com</t>
  </si>
  <si>
    <t>No.46A gwammaja</t>
  </si>
  <si>
    <t>Aminu Kano teaching hospital</t>
  </si>
  <si>
    <t>07026266060</t>
  </si>
  <si>
    <t>242571639WACP848648794</t>
  </si>
  <si>
    <t>ubhayatu@gmail.com</t>
  </si>
  <si>
    <t>HAYATU</t>
  </si>
  <si>
    <t>Ummulkhair</t>
  </si>
  <si>
    <t>Bello</t>
  </si>
  <si>
    <t>08033862252</t>
  </si>
  <si>
    <t>204751640WACP459992053</t>
  </si>
  <si>
    <t>mubamohd601@gmail.com</t>
  </si>
  <si>
    <t xml:space="preserve">MOHAMMED </t>
  </si>
  <si>
    <t xml:space="preserve">Mubarak </t>
  </si>
  <si>
    <t>C/O Department of Hematology AKTH,Kano</t>
  </si>
  <si>
    <t xml:space="preserve">Aminu Kano teaching hospital </t>
  </si>
  <si>
    <t>08068697887</t>
  </si>
  <si>
    <t>200521641WACP200328580</t>
  </si>
  <si>
    <t>chidiebubemadukauwadavid@gmail.com</t>
  </si>
  <si>
    <t xml:space="preserve">UKEJIANYA </t>
  </si>
  <si>
    <t>Chidiebube</t>
  </si>
  <si>
    <t>Enyeremchi</t>
  </si>
  <si>
    <t>Bowen University Teaching Hospital, Ogbomosho, Oyo state</t>
  </si>
  <si>
    <t xml:space="preserve">Bowen University Teaching Hospital </t>
  </si>
  <si>
    <t>60191642WACP908606349</t>
  </si>
  <si>
    <t>saltoacademy123@gmail.com</t>
  </si>
  <si>
    <t>OYEKUNLE</t>
  </si>
  <si>
    <t>Rilwan</t>
  </si>
  <si>
    <t>Adegboyega</t>
  </si>
  <si>
    <t>DEPARTMENT OF MEDICINE, FEDERAL TEACHING HOSPITAL, PMB 0037, ASHAKA ROAD. GOMBE</t>
  </si>
  <si>
    <t>FEDERAL TEACHING HOSPITAL, GOMBE. NIGERIA</t>
  </si>
  <si>
    <t>07038101243</t>
  </si>
  <si>
    <t>78511643WACP528251875</t>
  </si>
  <si>
    <t>abdulrazaq.magaji@gmail.com</t>
  </si>
  <si>
    <t>MAGAJI</t>
  </si>
  <si>
    <t>Abdulrazaq</t>
  </si>
  <si>
    <t>Saulawa Road, Katsina</t>
  </si>
  <si>
    <t>General Amadi Rimi Specialist Hospital Katsina</t>
  </si>
  <si>
    <t>244611644WACP129392059</t>
  </si>
  <si>
    <t>oluwabusayoatinuke@gmail.com</t>
  </si>
  <si>
    <t>AKINBANJO</t>
  </si>
  <si>
    <t>Olanike</t>
  </si>
  <si>
    <t>11,Odosinusi street,Ago-Iwoye,Ogun State</t>
  </si>
  <si>
    <t>07035949143</t>
  </si>
  <si>
    <t>243521645WACP479548235</t>
  </si>
  <si>
    <t>yray_aso@yahoo.com</t>
  </si>
  <si>
    <t>ASORE</t>
  </si>
  <si>
    <t>oghenevwarhe</t>
  </si>
  <si>
    <t>FEDERAL medical centre asaba</t>
  </si>
  <si>
    <t>Federal medical center Asaba</t>
  </si>
  <si>
    <t>83561646WACP823914115</t>
  </si>
  <si>
    <t>Registration as subspecialist in training is 6 months, less than 12 months before application.</t>
  </si>
  <si>
    <t>vic247000@yahoo.com</t>
  </si>
  <si>
    <t>EMEKA-OGBUGO</t>
  </si>
  <si>
    <t>Chigozirim</t>
  </si>
  <si>
    <t>Federal Medical Center Yenagoa, Bayelsa State</t>
  </si>
  <si>
    <t>15871647WACP624791052</t>
  </si>
  <si>
    <t>antoinetteokafor@gmail.com</t>
  </si>
  <si>
    <t>Antuanet</t>
  </si>
  <si>
    <t>16 Ejiofor Street Abakaliki Ebonyi State Nigeria</t>
  </si>
  <si>
    <t>Madonna University College of Medicine Elele Rivers State Nigeria</t>
  </si>
  <si>
    <t>193531648WACP851260501</t>
  </si>
  <si>
    <t>ookeke292@gmail.com</t>
  </si>
  <si>
    <t>Onyinye</t>
  </si>
  <si>
    <t>Alex Ekwueme federal university teaching hospital, Abakaliki</t>
  </si>
  <si>
    <t>08167918303</t>
  </si>
  <si>
    <t>244851649WACP449530913</t>
  </si>
  <si>
    <t>alexistosan123@hotmail.com</t>
  </si>
  <si>
    <t>ARUBI</t>
  </si>
  <si>
    <t>alexis</t>
  </si>
  <si>
    <t>No 10 Oteme quarters MTN road okirighwere Sapele delta state</t>
  </si>
  <si>
    <t xml:space="preserve">Eku baptist government hospital delta state </t>
  </si>
  <si>
    <t>08139601889</t>
  </si>
  <si>
    <t>109441650WACP957662640</t>
  </si>
  <si>
    <t>ucheseneyo@gmail.com</t>
  </si>
  <si>
    <t>ENEYO</t>
  </si>
  <si>
    <t>Ucheawaji</t>
  </si>
  <si>
    <t>Silas</t>
  </si>
  <si>
    <t>4 Joe Alagoa drive, Off Peter Odili Road, Port Harcourt</t>
  </si>
  <si>
    <t>Rivers State</t>
  </si>
  <si>
    <t>09069526179</t>
  </si>
  <si>
    <t>244771651WACP285858714</t>
  </si>
  <si>
    <t>cyphronesis3@gmail.com</t>
  </si>
  <si>
    <t>UHUNMWUAGHO</t>
  </si>
  <si>
    <t>Ipewonsa</t>
  </si>
  <si>
    <t>08157954338</t>
  </si>
  <si>
    <t>212801652WACP645793317</t>
  </si>
  <si>
    <t>simonolaniyan@gmail.com</t>
  </si>
  <si>
    <t>SImon</t>
  </si>
  <si>
    <t>Opeyemi</t>
  </si>
  <si>
    <t>17, Alalukimba Street, iyana ilogbo, ota</t>
  </si>
  <si>
    <t>Lagos State University College of Medicine</t>
  </si>
  <si>
    <t>08147527490</t>
  </si>
  <si>
    <t>244331653WACP406516839</t>
  </si>
  <si>
    <t>drbatelaura@gmail.com</t>
  </si>
  <si>
    <t>Bate</t>
  </si>
  <si>
    <t>House 2, B close, road 14, Efab estate lokogoma</t>
  </si>
  <si>
    <t>Limi hospital Abuja</t>
  </si>
  <si>
    <t>08109287853</t>
  </si>
  <si>
    <t>240921654WACP752383784</t>
  </si>
  <si>
    <t>fatimahamzajsm95@gmail.com</t>
  </si>
  <si>
    <t>fatima</t>
  </si>
  <si>
    <t>GUNDUWAWA, GEZAWA LGA. KANO</t>
  </si>
  <si>
    <t>NEAREAST UNIVERSITY,CYPRUS</t>
  </si>
  <si>
    <t>241601655WACP226960938</t>
  </si>
  <si>
    <t>drssallah@gmail.com</t>
  </si>
  <si>
    <t>SALLAH</t>
  </si>
  <si>
    <t>Sainabou</t>
  </si>
  <si>
    <t>Edward Francis Small Teaching Hospital, EFSTH</t>
  </si>
  <si>
    <t>188841656WACP744979461</t>
  </si>
  <si>
    <t>drammehbk87@gmail.com</t>
  </si>
  <si>
    <t>DRAMMEH</t>
  </si>
  <si>
    <t>Lamin</t>
  </si>
  <si>
    <t>EFSTH,banjul,the Gambia</t>
  </si>
  <si>
    <t>188211657WACP874800098</t>
  </si>
  <si>
    <t>anneeffiong9539@gmail.com</t>
  </si>
  <si>
    <t>EFFIONG</t>
  </si>
  <si>
    <t>Anne</t>
  </si>
  <si>
    <t>Inyangobong</t>
  </si>
  <si>
    <t xml:space="preserve">C/o Mrs Uduak Effiong, Internal Audit Unit, UUTH, Uyo, Akwa Ibom </t>
  </si>
  <si>
    <t>University of Uyo Teaching Hospital, Uyo</t>
  </si>
  <si>
    <t>93871658WACP493051144</t>
  </si>
  <si>
    <t>drokolichibuzo@gmail.com</t>
  </si>
  <si>
    <t>OKOLI</t>
  </si>
  <si>
    <t>Beniah</t>
  </si>
  <si>
    <t>Plot 134 WTC Estate Enugu State, Nigeria</t>
  </si>
  <si>
    <t>08066390393</t>
  </si>
  <si>
    <t>238181659WACP130761908</t>
  </si>
  <si>
    <t>ax4good@gmail.com</t>
  </si>
  <si>
    <t>UZOEGBU</t>
  </si>
  <si>
    <t>ihechilurudinma</t>
  </si>
  <si>
    <t>24th school road umuahia. Abia state</t>
  </si>
  <si>
    <t>Abia state university teaching hospital. ABA abia state</t>
  </si>
  <si>
    <t>07030900657</t>
  </si>
  <si>
    <t>224011660WACP590100644</t>
  </si>
  <si>
    <t>Ghana Health Service</t>
  </si>
  <si>
    <t>teminowa1@gmail.com</t>
  </si>
  <si>
    <t>EMINOWA-JIMOH</t>
  </si>
  <si>
    <t>Tomisin</t>
  </si>
  <si>
    <t>Block H , Plot 1 and 2 (Behind sunshine garden), Oba-ile,Akure, Ondo  State.</t>
  </si>
  <si>
    <t>FMC , Owo</t>
  </si>
  <si>
    <t>08142509000</t>
  </si>
  <si>
    <t>179601662WACP969034677</t>
  </si>
  <si>
    <t>nurabu2me2@gmail.com</t>
  </si>
  <si>
    <t>Muhammad Nur</t>
  </si>
  <si>
    <t>house no f4 doctors&amp;#039; quarters maiduguri</t>
  </si>
  <si>
    <t>state specialist hospital maiduguri</t>
  </si>
  <si>
    <t>111831663WACP211406889</t>
  </si>
  <si>
    <t>ebunolafisoye@gmail.com</t>
  </si>
  <si>
    <t xml:space="preserve">OLAFISOYE </t>
  </si>
  <si>
    <t>Ebunoluwa</t>
  </si>
  <si>
    <t>Ayoyimika</t>
  </si>
  <si>
    <t>No 4 Aladesanmi avenue, Ayobo, Lagos</t>
  </si>
  <si>
    <t>Bowen University</t>
  </si>
  <si>
    <t>08159566196</t>
  </si>
  <si>
    <t>240671664WACP211878676</t>
  </si>
  <si>
    <t>jvtacheampong@gmail.com</t>
  </si>
  <si>
    <t xml:space="preserve">Jemima </t>
  </si>
  <si>
    <t>VAN-TAGOE ACHEAMPONG</t>
  </si>
  <si>
    <t xml:space="preserve">P. O. Box KN767, Kaneshie-Accra, Ghana </t>
  </si>
  <si>
    <t xml:space="preserve">Korle-Bu Teaching Hospital </t>
  </si>
  <si>
    <t>GHWACP715988282</t>
  </si>
  <si>
    <t>azomachima@gmail.com</t>
  </si>
  <si>
    <t xml:space="preserve">AZOMA </t>
  </si>
  <si>
    <t xml:space="preserve">Chima </t>
  </si>
  <si>
    <t xml:space="preserve">Akachukwu </t>
  </si>
  <si>
    <t>EKWE-AMAUZARI,ISIALA MBANO, IMO STATE</t>
  </si>
  <si>
    <t xml:space="preserve">FMC Asaba, Delta State, Nigeria </t>
  </si>
  <si>
    <t>69391666WACP546997261</t>
  </si>
  <si>
    <t>idmohd80@gmail.com</t>
  </si>
  <si>
    <t>Nurudeen</t>
  </si>
  <si>
    <t>Sesan</t>
  </si>
  <si>
    <t>Behind Royal valley estate, kulende ilorin</t>
  </si>
  <si>
    <t>FMC Abeokuta</t>
  </si>
  <si>
    <t>66861667WACP520459094</t>
  </si>
  <si>
    <t>emmanuelykb11@gmail.com</t>
  </si>
  <si>
    <t>YAKUBU</t>
  </si>
  <si>
    <t>Medical Microbiology Department, Modibbo Adama University Taching Hospital, Yola, Adamawa State</t>
  </si>
  <si>
    <t>08062915817</t>
  </si>
  <si>
    <t>35791668WACP718030571</t>
  </si>
  <si>
    <t>Arabaarthur@yahoo.com</t>
  </si>
  <si>
    <t>gifty</t>
  </si>
  <si>
    <t>araba</t>
  </si>
  <si>
    <t xml:space="preserve">Kumasi Amanfruom </t>
  </si>
  <si>
    <t>0545100541</t>
  </si>
  <si>
    <t>GHWACP229718176</t>
  </si>
  <si>
    <t>asang3187@gmail.com</t>
  </si>
  <si>
    <t>SANGLA</t>
  </si>
  <si>
    <t>38 Hill Cut Road</t>
  </si>
  <si>
    <t xml:space="preserve">Ola During Children?s Hospital </t>
  </si>
  <si>
    <t>203351670WACP697771468</t>
  </si>
  <si>
    <t>eoqua@yahoo.com</t>
  </si>
  <si>
    <t>OQUA</t>
  </si>
  <si>
    <t>Ekpo</t>
  </si>
  <si>
    <t>Flat 217 Guards Brigade Officers Transit Camp, Lungi Barracks, Abuja</t>
  </si>
  <si>
    <t>Garki Hospital Abuja</t>
  </si>
  <si>
    <t>86581671WACP667349167</t>
  </si>
  <si>
    <t>olugbengatalabi@gmail.com</t>
  </si>
  <si>
    <t>TALABI</t>
  </si>
  <si>
    <t>olugbenga</t>
  </si>
  <si>
    <t>Akinwale</t>
  </si>
  <si>
    <t>No 10 Ore Ofe Street, Ibafo Ogun State</t>
  </si>
  <si>
    <t>Ondo State University of Medical Science</t>
  </si>
  <si>
    <t>08101393661</t>
  </si>
  <si>
    <t>243531672WACP860736083</t>
  </si>
  <si>
    <t>selimatibrahim@gmail.com</t>
  </si>
  <si>
    <t>Selimat</t>
  </si>
  <si>
    <t>Light gold estate, Lugbe</t>
  </si>
  <si>
    <t>Nova medi clinic</t>
  </si>
  <si>
    <t>07036891788</t>
  </si>
  <si>
    <t>243231673WACP813793538</t>
  </si>
  <si>
    <t>fatynice2003@gmail.com</t>
  </si>
  <si>
    <t>ZANNA</t>
  </si>
  <si>
    <t>Fati</t>
  </si>
  <si>
    <t>Mala</t>
  </si>
  <si>
    <t>No. 10 Maikalwa Gayawa, Naibawa Yanlemo. Kano</t>
  </si>
  <si>
    <t>Bayero university kano</t>
  </si>
  <si>
    <t>08023936239</t>
  </si>
  <si>
    <t>240171674WACP852469232</t>
  </si>
  <si>
    <t>drmarsheda@gmail.com</t>
  </si>
  <si>
    <t xml:space="preserve">EDUOH </t>
  </si>
  <si>
    <t xml:space="preserve">Marshal </t>
  </si>
  <si>
    <t>Akara</t>
  </si>
  <si>
    <t>NO. 62 PORT HARCOURT STREET, ABAK, AKWA IBOM STATE</t>
  </si>
  <si>
    <t>UNIVERSITY OF UYO TEACHING HOSPITAL, UYO, AKWA IBOM STATE</t>
  </si>
  <si>
    <t>54151675WACP224308012</t>
  </si>
  <si>
    <t>ejikemechisom@gmail.com</t>
  </si>
  <si>
    <t>EJIKEME</t>
  </si>
  <si>
    <t>7 Nando street, Nkpor</t>
  </si>
  <si>
    <t>Nnamdi Azikiwe University Teaching Hospital,  Nnewi</t>
  </si>
  <si>
    <t>243781676WACP919122061</t>
  </si>
  <si>
    <t>Usmanabdu41@gmail.com</t>
  </si>
  <si>
    <t>!</t>
  </si>
  <si>
    <t>07081183953</t>
  </si>
  <si>
    <t>31281677WACP381967009</t>
  </si>
  <si>
    <t>alagiefjawara@yahoo.com</t>
  </si>
  <si>
    <t>JAWARA</t>
  </si>
  <si>
    <t>Alagie F</t>
  </si>
  <si>
    <t>Brikama, West Coast Region</t>
  </si>
  <si>
    <t>244761678WACP726805385</t>
  </si>
  <si>
    <t>kaladarichard@yahoo.com</t>
  </si>
  <si>
    <t>RICHARD</t>
  </si>
  <si>
    <t>Kalada</t>
  </si>
  <si>
    <t>NOT APPLICABLE</t>
  </si>
  <si>
    <t>MOOR ROAD BLOCK C FLAT 3, YABA, LAGOS.</t>
  </si>
  <si>
    <t>LAGOS STATE UNIVERSITY TEACHING HOSPITAL (LASUTH)</t>
  </si>
  <si>
    <t>09084611120</t>
  </si>
  <si>
    <t>3021679WACP414673071</t>
  </si>
  <si>
    <t>temiladeadeniyi92@gmail.com</t>
  </si>
  <si>
    <t>ADENIYI</t>
  </si>
  <si>
    <t>Temilade</t>
  </si>
  <si>
    <t>Oluwatoyosi</t>
  </si>
  <si>
    <t>4, Adeleke Adeniyi street, Ilado-Akesan, Lagos State, Nigeria</t>
  </si>
  <si>
    <t>08160120297</t>
  </si>
  <si>
    <t>240431680WACP62543920</t>
  </si>
  <si>
    <t>talk2lade@gmail.com</t>
  </si>
  <si>
    <t>OLOWU</t>
  </si>
  <si>
    <t>Omolade</t>
  </si>
  <si>
    <t>Magaret</t>
  </si>
  <si>
    <t>Bingham university teaching hospital quarters, jos</t>
  </si>
  <si>
    <t>Bihgham university teaching hospital, jos</t>
  </si>
  <si>
    <t>62511681WACP883336342</t>
  </si>
  <si>
    <t>princessromoke@gmail.com</t>
  </si>
  <si>
    <t>AFOLABI</t>
  </si>
  <si>
    <t>Ronke</t>
  </si>
  <si>
    <t>Ganiyat</t>
  </si>
  <si>
    <t>6 Line 6 OgoOluwatedo Community, Olaiya-Command area, Ede, Osun State</t>
  </si>
  <si>
    <t>Uniosun Teaching Hospital, Osogbo</t>
  </si>
  <si>
    <t>08067739642</t>
  </si>
  <si>
    <t>197691682WACP672458621</t>
  </si>
  <si>
    <t>omoyeotaigbe@gmail.com</t>
  </si>
  <si>
    <t>OTAIGBE</t>
  </si>
  <si>
    <t>Omoye</t>
  </si>
  <si>
    <t>Lauretta</t>
  </si>
  <si>
    <t>2 Idiagbon Close, Off Idiagbon Road, GRA, Phase 3, Port-Harcourt, Rivers State</t>
  </si>
  <si>
    <t>Windsor University School of Medicine</t>
  </si>
  <si>
    <t>244451683WACP843651352</t>
  </si>
  <si>
    <t>hauwaismail50@gmail.com</t>
  </si>
  <si>
    <t>SAMAILA</t>
  </si>
  <si>
    <t xml:space="preserve">No.17 House of Assembly Quarters Minna Niger State </t>
  </si>
  <si>
    <t xml:space="preserve">Nile University Of Nigeria </t>
  </si>
  <si>
    <t>09075192979</t>
  </si>
  <si>
    <t>228951684WACP109425257</t>
  </si>
  <si>
    <t>hartyboat@yahoo.com</t>
  </si>
  <si>
    <t>BOATENG</t>
  </si>
  <si>
    <t xml:space="preserve">Harriet </t>
  </si>
  <si>
    <t>Pokuaa</t>
  </si>
  <si>
    <t>P O Box FNT Kumasi</t>
  </si>
  <si>
    <t>0207540835</t>
  </si>
  <si>
    <t>GHWACP713946369</t>
  </si>
  <si>
    <t>antwiboasiakobernice973@gmail.com</t>
  </si>
  <si>
    <t>ANTWI-BOASIAKO</t>
  </si>
  <si>
    <t>Bernice</t>
  </si>
  <si>
    <t>Serwaa</t>
  </si>
  <si>
    <t>Afariwa, Off Michel Camp Road, Tema</t>
  </si>
  <si>
    <t>0573022861</t>
  </si>
  <si>
    <t>GHWACP454913930</t>
  </si>
  <si>
    <t>drganiyatrasheed@gmail.com</t>
  </si>
  <si>
    <t>Rasheed</t>
  </si>
  <si>
    <t>Folashade</t>
  </si>
  <si>
    <t>Department of Community Medicine, Aminu Kano Teaching Hospital, Kano State</t>
  </si>
  <si>
    <t>42021688WACP48025393</t>
  </si>
  <si>
    <t>adambaffa@yahoo.com</t>
  </si>
  <si>
    <t xml:space="preserve">YUNUSA </t>
  </si>
  <si>
    <t>Labaran</t>
  </si>
  <si>
    <t>NTI Staff quarters kaduna</t>
  </si>
  <si>
    <t>08145550512</t>
  </si>
  <si>
    <t>194011689WACP900529598</t>
  </si>
  <si>
    <t>haliyu1972@gmail.com</t>
  </si>
  <si>
    <t>ALIYU</t>
  </si>
  <si>
    <t>habiba</t>
  </si>
  <si>
    <t>abubakar</t>
  </si>
  <si>
    <t>House A44 Lias Estate, Life Camp, Abuja.</t>
  </si>
  <si>
    <t xml:space="preserve">Zankli medical centre </t>
  </si>
  <si>
    <t>08119331903</t>
  </si>
  <si>
    <t>215501690WACP813672613</t>
  </si>
  <si>
    <t>prejudith@gmail.com</t>
  </si>
  <si>
    <t>Judith Udeoko</t>
  </si>
  <si>
    <t>Plot 1942, Road 8, Zone E extension, Apo Resettlement, FCT</t>
  </si>
  <si>
    <t>Spartan Health Science University, Vieux Fort, Saint Lucia.</t>
  </si>
  <si>
    <t>08137400607</t>
  </si>
  <si>
    <t>244551691WACP56635955</t>
  </si>
  <si>
    <t>babaloladorcas60@gmail.com</t>
  </si>
  <si>
    <t>Dorcas</t>
  </si>
  <si>
    <t>Omi Asoro Ilesa. Osun state</t>
  </si>
  <si>
    <t>Ekiti state University</t>
  </si>
  <si>
    <t>08168977597</t>
  </si>
  <si>
    <t>244791692WACP594327330</t>
  </si>
  <si>
    <t>Isahsaidu4u@gmail.com</t>
  </si>
  <si>
    <t xml:space="preserve">Isah </t>
  </si>
  <si>
    <t xml:space="preserve">Hassan </t>
  </si>
  <si>
    <t>University of maiduguri teaching hospital Borno state</t>
  </si>
  <si>
    <t>GHWACP352147213</t>
  </si>
  <si>
    <t>blessinguba53@gmail.com</t>
  </si>
  <si>
    <t xml:space="preserve">ORIGBO </t>
  </si>
  <si>
    <t xml:space="preserve">Blessing </t>
  </si>
  <si>
    <t xml:space="preserve">Nneka </t>
  </si>
  <si>
    <t xml:space="preserve">Federal Medical Centre Asaba </t>
  </si>
  <si>
    <t>08069090912</t>
  </si>
  <si>
    <t>187851694WACP956156037</t>
  </si>
  <si>
    <t>titilade100@yahoo.com</t>
  </si>
  <si>
    <t>OMOJOWOLO</t>
  </si>
  <si>
    <t>Titilade</t>
  </si>
  <si>
    <t>Rachael</t>
  </si>
  <si>
    <t>16 Michael Adeboye Street, Silva Estate, Masbed Bus-Stop, Idimu, Lagos.</t>
  </si>
  <si>
    <t>Massey Street Children Hospital, Lagos Island</t>
  </si>
  <si>
    <t>08160180385</t>
  </si>
  <si>
    <t>220521695WACP806870857</t>
  </si>
  <si>
    <t>anuliemecheta@yahoo.com</t>
  </si>
  <si>
    <t>EMECHETA</t>
  </si>
  <si>
    <t>Anuli</t>
  </si>
  <si>
    <t>Pearl</t>
  </si>
  <si>
    <t>2 ADENIJI STREET, OGBA, IKEJA, LAGOS STATE</t>
  </si>
  <si>
    <t>LAGOS UNIVERSITY TEACHING HOSPITAL, IDI ARABA</t>
  </si>
  <si>
    <t>68021696WACP73019790</t>
  </si>
  <si>
    <t>m.brucesmith@yahoo.com</t>
  </si>
  <si>
    <t>BRUCE-SMITH</t>
  </si>
  <si>
    <t xml:space="preserve">michael </t>
  </si>
  <si>
    <t>P.O.BOX U.P 1397,KNUST, KUMASI, GHANA</t>
  </si>
  <si>
    <t>0248008819</t>
  </si>
  <si>
    <t>GHWACP510036859</t>
  </si>
  <si>
    <t>p.navaala@gmail.com</t>
  </si>
  <si>
    <t>AVAALA</t>
  </si>
  <si>
    <t>Priscilla</t>
  </si>
  <si>
    <t>Nchina</t>
  </si>
  <si>
    <t>nyamedua estates, kpone community 25</t>
  </si>
  <si>
    <t>COY Paediatric Practice</t>
  </si>
  <si>
    <t>0201129431</t>
  </si>
  <si>
    <t>GHWACP243461698</t>
  </si>
  <si>
    <t>dr.igboayaka@gmail.com</t>
  </si>
  <si>
    <t xml:space="preserve">IGBOAYAKA </t>
  </si>
  <si>
    <t xml:space="preserve">Maximillian </t>
  </si>
  <si>
    <t xml:space="preserve">Chinedu </t>
  </si>
  <si>
    <t>No. 2 Val Mbaegbu Street, Okwe, Asaba, Delta State</t>
  </si>
  <si>
    <t>Federal Medical Centre, Asaba</t>
  </si>
  <si>
    <t>206751699WACP304058876</t>
  </si>
  <si>
    <t>obioraife@gmail.com</t>
  </si>
  <si>
    <t xml:space="preserve">IFEBUNADU </t>
  </si>
  <si>
    <t>Obiora</t>
  </si>
  <si>
    <t>Nwabueze</t>
  </si>
  <si>
    <t>c/o department of peadiatrics jos university teaching hospital, (JUTH) Lamingo.</t>
  </si>
  <si>
    <t>49551700WACP552078398</t>
  </si>
  <si>
    <t>soledayofelix28@gmail.com</t>
  </si>
  <si>
    <t>OGUNSEESIN</t>
  </si>
  <si>
    <t>Soledayo</t>
  </si>
  <si>
    <t>21 Dominion Secondary School Road Ijebu-Owo</t>
  </si>
  <si>
    <t>07065574020</t>
  </si>
  <si>
    <t>6911701WACP715802363</t>
  </si>
  <si>
    <t>nyenzion32@gmail.com</t>
  </si>
  <si>
    <t xml:space="preserve">ODOFIN </t>
  </si>
  <si>
    <t xml:space="preserve">Olaniyi </t>
  </si>
  <si>
    <t>23 0ba afunbiowo housing estate off idanre Rd. Akure.</t>
  </si>
  <si>
    <t xml:space="preserve">Fmc owo, Ondo </t>
  </si>
  <si>
    <t>07068096781</t>
  </si>
  <si>
    <t>183601702WACP73006029</t>
  </si>
  <si>
    <t>nanaamagyabaa@yahoo.com</t>
  </si>
  <si>
    <t>GYABAA</t>
  </si>
  <si>
    <t>Nana Ama</t>
  </si>
  <si>
    <t>37 Jessy Anum Street, Accra</t>
  </si>
  <si>
    <t>UGMC</t>
  </si>
  <si>
    <t>0261931004</t>
  </si>
  <si>
    <t>244411703WACP761122730</t>
  </si>
  <si>
    <t>fabyjnr@gmail.com</t>
  </si>
  <si>
    <t>FRIMPONG</t>
  </si>
  <si>
    <t>Frank</t>
  </si>
  <si>
    <t>Osei</t>
  </si>
  <si>
    <t>Apt 404 Teodoro, Lajoya Court, Madina, Accra, Ghana</t>
  </si>
  <si>
    <t xml:space="preserve">Accra Psychiatric Hospital </t>
  </si>
  <si>
    <t>GHWACP110837766</t>
  </si>
  <si>
    <t>osasutf@gmail.com</t>
  </si>
  <si>
    <t>UBOGO</t>
  </si>
  <si>
    <t xml:space="preserve">Osasumwen </t>
  </si>
  <si>
    <t>OMC</t>
  </si>
  <si>
    <t>16 Church of God Mission Street Otokutu Delta State, Nigeria</t>
  </si>
  <si>
    <t>Madonna university</t>
  </si>
  <si>
    <t>63191705WACP512790937</t>
  </si>
  <si>
    <t>sunday.ajayia1@gmail.com</t>
  </si>
  <si>
    <t>Adekiya</t>
  </si>
  <si>
    <t>No. 11 Ayetutu Street Gbogi Quarters, Akure</t>
  </si>
  <si>
    <t>University of Benin, Benin City</t>
  </si>
  <si>
    <t>08072479203</t>
  </si>
  <si>
    <t>211201706WACP466292820</t>
  </si>
  <si>
    <t>agbosomadila@gmail.com</t>
  </si>
  <si>
    <t>AGBO</t>
  </si>
  <si>
    <t>Somadila</t>
  </si>
  <si>
    <t>Thelma</t>
  </si>
  <si>
    <t>Umuaniona Street Amechi Uwani Awkunanaw Enugu, Enugu State, Nigeria.</t>
  </si>
  <si>
    <t>University of Nigeria Teaching Hospital</t>
  </si>
  <si>
    <t>241651707WACP168300550</t>
  </si>
  <si>
    <t>hadizamuhammad14@gmail.com</t>
  </si>
  <si>
    <t>Hadiza</t>
  </si>
  <si>
    <t>Eneyire</t>
  </si>
  <si>
    <t>Usman Dan Fodiyo University Teaching Hospital Sokoto</t>
  </si>
  <si>
    <t>07036951228</t>
  </si>
  <si>
    <t>41081708WACP985868598</t>
  </si>
  <si>
    <t>harunafatima79@gmail.com</t>
  </si>
  <si>
    <t>No. 4A Ynusa Ysuf Raod Malali New Extention, Kaduna</t>
  </si>
  <si>
    <t xml:space="preserve">44 Nigerian Army Reference Hospital, Kaduna </t>
  </si>
  <si>
    <t>71091709WACP261568544</t>
  </si>
  <si>
    <t>suosumah@gmail.com</t>
  </si>
  <si>
    <t>OSUMAH- MUSA</t>
  </si>
  <si>
    <t>Sue</t>
  </si>
  <si>
    <t>Ailebhobe</t>
  </si>
  <si>
    <t>18 Osasere street off universal road, Okhoro, Benin City</t>
  </si>
  <si>
    <t>University Of Benin Teaching Hospital, Benin City</t>
  </si>
  <si>
    <t>58081710WACP85521119</t>
  </si>
  <si>
    <t>azeezwaliyat78@gmail.com</t>
  </si>
  <si>
    <t xml:space="preserve">AZEEZ </t>
  </si>
  <si>
    <t>Funmilola</t>
  </si>
  <si>
    <t>Waliyat</t>
  </si>
  <si>
    <t xml:space="preserve">Uniosun Teaching Hospital, Osogbo </t>
  </si>
  <si>
    <t xml:space="preserve">Uniosun Teaching Hospital Osogbo </t>
  </si>
  <si>
    <t>08054645274</t>
  </si>
  <si>
    <t>196201711WACP87109091</t>
  </si>
  <si>
    <t>sdontohmd@outlook.com</t>
  </si>
  <si>
    <t>ARKO-DONTOH</t>
  </si>
  <si>
    <t>Stephanie</t>
  </si>
  <si>
    <t>Tema Community 11</t>
  </si>
  <si>
    <t>Coy Paediatric Practice</t>
  </si>
  <si>
    <t>0266595185</t>
  </si>
  <si>
    <t>GHWACP587328307</t>
  </si>
  <si>
    <t>nengicares@gmail.com</t>
  </si>
  <si>
    <t>ANTHONY</t>
  </si>
  <si>
    <t>Nengi</t>
  </si>
  <si>
    <t>Ayeba-emi</t>
  </si>
  <si>
    <t>Port Harcourt, Rivers State</t>
  </si>
  <si>
    <t>Rivers State University</t>
  </si>
  <si>
    <t>08033360417</t>
  </si>
  <si>
    <t>244841713WACP150068228</t>
  </si>
  <si>
    <t>docasho@yahoo.com</t>
  </si>
  <si>
    <t>ASHUBIARO</t>
  </si>
  <si>
    <t>Babatunde</t>
  </si>
  <si>
    <t>Oswald Madeki road, Lantoro Abeokuta</t>
  </si>
  <si>
    <t>Sacred Heart Hospital</t>
  </si>
  <si>
    <t>09057739017</t>
  </si>
  <si>
    <t>37951714WACP64477961</t>
  </si>
  <si>
    <t>drdavidinfo1986@gmail.com</t>
  </si>
  <si>
    <t>EJEMBI</t>
  </si>
  <si>
    <t>Enemona</t>
  </si>
  <si>
    <t>Plot 2 benode avenue off Patrick yakowa way</t>
  </si>
  <si>
    <t>Phiclass hospital</t>
  </si>
  <si>
    <t>07039642875</t>
  </si>
  <si>
    <t>242761715WACP867310727</t>
  </si>
  <si>
    <t>marybaio24@yahoo.com</t>
  </si>
  <si>
    <t>BAIO</t>
  </si>
  <si>
    <t>mary</t>
  </si>
  <si>
    <t>magenda</t>
  </si>
  <si>
    <t>3 Dzamfi Lane,Dansoman keefit, Accra,Ghana</t>
  </si>
  <si>
    <t xml:space="preserve">Korlebu Teaching Hospital </t>
  </si>
  <si>
    <t>23278827235/233556988676</t>
  </si>
  <si>
    <t>GHWACP84208766</t>
  </si>
  <si>
    <t>uzoigwee70@gmail.com</t>
  </si>
  <si>
    <t>UZOIGWE</t>
  </si>
  <si>
    <t>23 OSUSU ROAD ABA</t>
  </si>
  <si>
    <t>FEDERAL MEDICAL CENTRE UMUAHIA</t>
  </si>
  <si>
    <t>08167954638</t>
  </si>
  <si>
    <t>245001717WACP5275412</t>
  </si>
  <si>
    <t>tordueiortyer@gmail.com</t>
  </si>
  <si>
    <t>IORTYER</t>
  </si>
  <si>
    <t>Tordue</t>
  </si>
  <si>
    <t>Icon solicitors apartment, luis agev street, Makurdi</t>
  </si>
  <si>
    <t>Benue State University Teaching Hospital</t>
  </si>
  <si>
    <t>08166671687</t>
  </si>
  <si>
    <t>245011718WACP407750055</t>
  </si>
  <si>
    <t>udo.cosmas007@gmail.com</t>
  </si>
  <si>
    <t>ETEBONG</t>
  </si>
  <si>
    <t>COSMAS</t>
  </si>
  <si>
    <t>No.15 Rimi road U/Rimi Kaduna</t>
  </si>
  <si>
    <t>08069234169</t>
  </si>
  <si>
    <t>244121719WACP809824856</t>
  </si>
  <si>
    <t>tariebi321@gmail.com</t>
  </si>
  <si>
    <t>ALA</t>
  </si>
  <si>
    <t>Tariebi</t>
  </si>
  <si>
    <t>Cornelius</t>
  </si>
  <si>
    <t>Federal Medical Centre, Yenagoa.</t>
  </si>
  <si>
    <t>26251720WACP765690212</t>
  </si>
  <si>
    <t>mhafsatiya@ymail.com</t>
  </si>
  <si>
    <t>MIJINYAWA</t>
  </si>
  <si>
    <t>Iya</t>
  </si>
  <si>
    <t>House No 46, Brains and Hammers Estate Apo 3, Apo-Gudu, Abuja, Nigeria.</t>
  </si>
  <si>
    <t>Federal medical centre, Abuja.</t>
  </si>
  <si>
    <t>08143035236</t>
  </si>
  <si>
    <t>115621721WACP748035593</t>
  </si>
  <si>
    <t>aliyuzakariya088@gmail.com</t>
  </si>
  <si>
    <t xml:space="preserve">zakariya </t>
  </si>
  <si>
    <t xml:space="preserve">DEPARTMENT OF COMMUNITY MEDICINE, AMINU KANO TEACHING HOSPITAL KANO, NIGERIA </t>
  </si>
  <si>
    <t>Aminu Kano Teaching Hospital kano Nigeria</t>
  </si>
  <si>
    <t>204781722WACP81559019</t>
  </si>
  <si>
    <t>summiegumbi@yahoo.com</t>
  </si>
  <si>
    <t>GUMBI</t>
  </si>
  <si>
    <t>Summaiyah</t>
  </si>
  <si>
    <t>NO 38 DALA ROAD, OFF OHINOYI  ROAD, UNGUWAN RIMI,  KADUNA NORTH, KADUNA STATE.</t>
  </si>
  <si>
    <t>6371723WACP219794004</t>
  </si>
  <si>
    <t>iemezue@gmail.com</t>
  </si>
  <si>
    <t>EMEZUE</t>
  </si>
  <si>
    <t>Ameh Ogboni House 2, Works and housing Gwarimpa,Abuja, Nigeria</t>
  </si>
  <si>
    <t>Uzhhorod National University, Ukraine</t>
  </si>
  <si>
    <t>09136816508</t>
  </si>
  <si>
    <t>244521724WACP337573362</t>
  </si>
  <si>
    <t>zbjibrin@gmail.com</t>
  </si>
  <si>
    <t>JIBRIN</t>
  </si>
  <si>
    <t>Bauchi, Nigeria</t>
  </si>
  <si>
    <t>Abubakar Tafawa Balewa University Teaching Hospital Bauchi, Bauchi State Nigeria</t>
  </si>
  <si>
    <t>186211725WACP542627582</t>
  </si>
  <si>
    <t>demolaj14@gmail.com</t>
  </si>
  <si>
    <t xml:space="preserve">OLAJUYIN </t>
  </si>
  <si>
    <t xml:space="preserve">Ademola </t>
  </si>
  <si>
    <t>Busayo</t>
  </si>
  <si>
    <t>08069369378</t>
  </si>
  <si>
    <t>64241726WACP63424742</t>
  </si>
  <si>
    <t>rosefornah93@gmail.com</t>
  </si>
  <si>
    <t>FORNAH</t>
  </si>
  <si>
    <t>Rosaline</t>
  </si>
  <si>
    <t>58 Reservation View, Upper Allen Town. Freetown</t>
  </si>
  <si>
    <t>Ministry Of Health, Sierra Leone</t>
  </si>
  <si>
    <t>244681727WACP839494083</t>
  </si>
  <si>
    <t>sadeeqibrahim7002@gmail.com</t>
  </si>
  <si>
    <t>NUHU</t>
  </si>
  <si>
    <t>House No 61, Nasarawa Ward, Behind Old Local Government Secretariat, Damaturu, Yobe State, Nigeria.</t>
  </si>
  <si>
    <t>Ahmadu Bello University, Zaria, Kaduna State, Nigeria.</t>
  </si>
  <si>
    <t>08064951377</t>
  </si>
  <si>
    <t>240091728WACP593783798</t>
  </si>
  <si>
    <t>kromansonstella1@gmail.com</t>
  </si>
  <si>
    <t>KROMANSON-COLLIER</t>
  </si>
  <si>
    <t>Stella</t>
  </si>
  <si>
    <t>6 Mary Lane, Off Circular road, Freetown</t>
  </si>
  <si>
    <t>Bo Government Hospital</t>
  </si>
  <si>
    <t>243751729WACP17072421</t>
  </si>
  <si>
    <t>odughanefionayi@gmail.com</t>
  </si>
  <si>
    <t xml:space="preserve">EFIONAYI </t>
  </si>
  <si>
    <t>odughan</t>
  </si>
  <si>
    <t xml:space="preserve">No 4 adolor lane off first east circular road Benin city Edo state </t>
  </si>
  <si>
    <t>Irrua Specialist Teaching hospital, Irrua, Edo state, Nigeria.</t>
  </si>
  <si>
    <t>08134037056</t>
  </si>
  <si>
    <t>201711730WACP693772559</t>
  </si>
  <si>
    <t>prucey84@gmail.com</t>
  </si>
  <si>
    <t>AKOGWU</t>
  </si>
  <si>
    <t>Prudence</t>
  </si>
  <si>
    <t>Kosisochukwu</t>
  </si>
  <si>
    <t>10 edibe edibe street calabar</t>
  </si>
  <si>
    <t>university of calabar teaching hospital</t>
  </si>
  <si>
    <t>08102711318</t>
  </si>
  <si>
    <t>243681731WACP372339588</t>
  </si>
  <si>
    <t>saimatee1@gmail.com</t>
  </si>
  <si>
    <t>Saima</t>
  </si>
  <si>
    <t xml:space="preserve">Zaiyanu </t>
  </si>
  <si>
    <t>Usmanu Danfodio University teaching hospital sokoto</t>
  </si>
  <si>
    <t>Usmanu Danfodiyo University Teaching Hospital, Sokoto state</t>
  </si>
  <si>
    <t>74031732WACP422156938</t>
  </si>
  <si>
    <t>olamideolasinde@yahoo.com</t>
  </si>
  <si>
    <t>OLASINDE</t>
  </si>
  <si>
    <t>Hassan</t>
  </si>
  <si>
    <t>Department of Community Medicine, College of Medicine, ABU Samaru, Zaria</t>
  </si>
  <si>
    <t>97221733WACP990660418</t>
  </si>
  <si>
    <t>asmauhamzah@yahoo.com</t>
  </si>
  <si>
    <t xml:space="preserve">HAMZAH-SAYI </t>
  </si>
  <si>
    <t xml:space="preserve">Asmau </t>
  </si>
  <si>
    <t>O.</t>
  </si>
  <si>
    <t>158,Alimi road,Alore, Ilorin, Kwara State.</t>
  </si>
  <si>
    <t xml:space="preserve">University of Ilorin Teaching Hospital </t>
  </si>
  <si>
    <t>63801734WACP531770030</t>
  </si>
  <si>
    <t>Priscillaagboola45@yahoo.com</t>
  </si>
  <si>
    <t>Oluwabunmi</t>
  </si>
  <si>
    <t>No 19 pipeline road Akpajo, Eleme, Rivers State, Nigeria</t>
  </si>
  <si>
    <t>Afe Babalola University, Ado Ekiti</t>
  </si>
  <si>
    <t>244601735WACP727678777</t>
  </si>
  <si>
    <t>estherulasi15@gmail.com</t>
  </si>
  <si>
    <t>ULASI</t>
  </si>
  <si>
    <t>Chioma</t>
  </si>
  <si>
    <t>100, lagos street Ebutte metta mainland Lagos State</t>
  </si>
  <si>
    <t>07031426481</t>
  </si>
  <si>
    <t>245081736WACP232219100</t>
  </si>
  <si>
    <t>oyinoluwaoyedele29@gmail.com</t>
  </si>
  <si>
    <t>OYEDELE</t>
  </si>
  <si>
    <t>Oyinoluwakanmi</t>
  </si>
  <si>
    <t xml:space="preserve">Durodoluwa </t>
  </si>
  <si>
    <t>Oyinoluwaoyedele29@gmail.com</t>
  </si>
  <si>
    <t xml:space="preserve">Bingham university </t>
  </si>
  <si>
    <t>08030631266</t>
  </si>
  <si>
    <t>236731737WACP220636491</t>
  </si>
  <si>
    <t>dankwaat@gmail.com</t>
  </si>
  <si>
    <t>TETTEH</t>
  </si>
  <si>
    <t>Dankwaa</t>
  </si>
  <si>
    <t>Department of Child Health, Korle Bu Teaching Hospital, Korle Bu, Accra, Ghana</t>
  </si>
  <si>
    <t>GHWACP980108921</t>
  </si>
  <si>
    <t>suttithomas@gmail.com</t>
  </si>
  <si>
    <t>Msughter</t>
  </si>
  <si>
    <t>A52T angwan jarawa faringada jos, plateau state</t>
  </si>
  <si>
    <t>Benue State University</t>
  </si>
  <si>
    <t>245101739WACP728411391</t>
  </si>
  <si>
    <t>abdallah.kulo01@gmail.com</t>
  </si>
  <si>
    <t>KULO</t>
  </si>
  <si>
    <t>Abdallah</t>
  </si>
  <si>
    <t>Auwalu</t>
  </si>
  <si>
    <t>09074925747</t>
  </si>
  <si>
    <t>231971740WACP698974177</t>
  </si>
  <si>
    <t>amadisolomonelizabeth@gmail.com</t>
  </si>
  <si>
    <t xml:space="preserve">AMADI-SOLOMON </t>
  </si>
  <si>
    <t xml:space="preserve">NO 8 ADA EDE STREET , SHELL LOCATION ROAD PORT HARCOURT </t>
  </si>
  <si>
    <t xml:space="preserve">Rivers state university teaching hospital </t>
  </si>
  <si>
    <t>08130716577</t>
  </si>
  <si>
    <t>233411741WACP20785748</t>
  </si>
  <si>
    <t>leoclaiiredsassii1@outlook.com</t>
  </si>
  <si>
    <t>WORLU</t>
  </si>
  <si>
    <t>Chiyememma</t>
  </si>
  <si>
    <t>Claire</t>
  </si>
  <si>
    <t>Office of the Director, Centre for Conflict and Gender Studies, University of Port Harcourt, Choba, Port Harcourt, Nigeria</t>
  </si>
  <si>
    <t>Babcock University Teaching Hospital, Ilisan-Remo, Ogun State</t>
  </si>
  <si>
    <t>08165011653</t>
  </si>
  <si>
    <t>99961742WACP80660514</t>
  </si>
  <si>
    <t>ahmedisa955@gmail.com</t>
  </si>
  <si>
    <t>Yaro</t>
  </si>
  <si>
    <t>New Bra Bra Housing Estate Damaturu</t>
  </si>
  <si>
    <t>08065356666</t>
  </si>
  <si>
    <t>244891743WACP257367493</t>
  </si>
  <si>
    <t>halimasadiyarufai@gmail.com</t>
  </si>
  <si>
    <t>B1 Abdulkarim Adisa Estate Gudu, Abuja</t>
  </si>
  <si>
    <t xml:space="preserve">Istanbul Altinbas University </t>
  </si>
  <si>
    <t>08149988319</t>
  </si>
  <si>
    <t>222861744WACP670396325</t>
  </si>
  <si>
    <t>upmaduwuba@gmail.com</t>
  </si>
  <si>
    <t xml:space="preserve">MADUWUBA </t>
  </si>
  <si>
    <t>Uchechi</t>
  </si>
  <si>
    <t>Plot 656 TransNkisi  Layout Onitsha,Anambra State</t>
  </si>
  <si>
    <t>186431745WACP334200187</t>
  </si>
  <si>
    <t>egbejimikokobo@gmail.com</t>
  </si>
  <si>
    <t>DAMBO</t>
  </si>
  <si>
    <t>Kokobo</t>
  </si>
  <si>
    <t>Divine</t>
  </si>
  <si>
    <t>Ayakiri Estate, Ogboloma, Gbarain, Yenagoa, Bayelsa State.</t>
  </si>
  <si>
    <t xml:space="preserve">Niger Delta University Teaching Hospital </t>
  </si>
  <si>
    <t>236331746WACP239999370</t>
  </si>
  <si>
    <t>mavistalata7@gmail.com</t>
  </si>
  <si>
    <t>AYIMBIRE</t>
  </si>
  <si>
    <t>Mavis</t>
  </si>
  <si>
    <t>Ayinpogbila</t>
  </si>
  <si>
    <t>box 1934</t>
  </si>
  <si>
    <t xml:space="preserve">komfo anokye teaching hosital </t>
  </si>
  <si>
    <t>0540835653</t>
  </si>
  <si>
    <t>GHWACP317540523</t>
  </si>
  <si>
    <t>amenkarieka@gmail.com</t>
  </si>
  <si>
    <t xml:space="preserve">UGBAKA </t>
  </si>
  <si>
    <t>Amen</t>
  </si>
  <si>
    <t>Kari</t>
  </si>
  <si>
    <t>45 Bishiri Road Obudu Cross River State</t>
  </si>
  <si>
    <t>Afe Babalola University Ado-Ekiti, Ekiti state</t>
  </si>
  <si>
    <t>07067191924</t>
  </si>
  <si>
    <t>236061748WACP336757626</t>
  </si>
  <si>
    <t>estherolutola@gmail.com</t>
  </si>
  <si>
    <t>OLUTOLA</t>
  </si>
  <si>
    <t>Omowunmi</t>
  </si>
  <si>
    <t>104, Itire road, Obele, Surulere, Lagos state</t>
  </si>
  <si>
    <t>08161527373</t>
  </si>
  <si>
    <t>98801749WACP902927147</t>
  </si>
  <si>
    <t>fatsumayusufmuazu@gmail.com</t>
  </si>
  <si>
    <t>MUAZU</t>
  </si>
  <si>
    <t>Fatsuma</t>
  </si>
  <si>
    <t>No14 Tangale street off Damboa Road</t>
  </si>
  <si>
    <t>08062177867</t>
  </si>
  <si>
    <t>241031750WACP369849872</t>
  </si>
  <si>
    <t>stephnieortese@gmail.com</t>
  </si>
  <si>
    <t>AYATSE</t>
  </si>
  <si>
    <t>Doofan</t>
  </si>
  <si>
    <t>Ortese</t>
  </si>
  <si>
    <t>Benue State University Teaching Hospital, Makurdi</t>
  </si>
  <si>
    <t>49441751WACP696696561</t>
  </si>
  <si>
    <t>d.goomiee@gmail.com</t>
  </si>
  <si>
    <t>Sulaiman</t>
  </si>
  <si>
    <t>No 592 Jushi zaria</t>
  </si>
  <si>
    <t>Shenyang medical college</t>
  </si>
  <si>
    <t>07069115809</t>
  </si>
  <si>
    <t>244421752WACP769132535</t>
  </si>
  <si>
    <t>obograce5@gmail.com</t>
  </si>
  <si>
    <t>OBO</t>
  </si>
  <si>
    <t>Ekpenyong</t>
  </si>
  <si>
    <t>4 Ikot Effiom Eyamba New Layout, 8 miles, Calabar</t>
  </si>
  <si>
    <t>University of Calabar Teaching Hospital</t>
  </si>
  <si>
    <t>08136630232</t>
  </si>
  <si>
    <t>245151753WACP194417568</t>
  </si>
  <si>
    <t>onyegirichukwuebukaudo@gmail.com</t>
  </si>
  <si>
    <t>ONYEGIRI</t>
  </si>
  <si>
    <t>Chukwuebuka</t>
  </si>
  <si>
    <t>Udo</t>
  </si>
  <si>
    <t>Plot 1707 Mabushi Abuja</t>
  </si>
  <si>
    <t>Federal Medical Centre Jabi Abuja</t>
  </si>
  <si>
    <t>08058523115</t>
  </si>
  <si>
    <t>218401754WACP73257657</t>
  </si>
  <si>
    <t>mary.amoako505@gmail.com</t>
  </si>
  <si>
    <t>AMOAKO</t>
  </si>
  <si>
    <t>Mary</t>
  </si>
  <si>
    <t>Chantan - Abotre , Achimota</t>
  </si>
  <si>
    <t>241161755WACP372238944</t>
  </si>
  <si>
    <t>ogochukwufavour2013@yahoo.com</t>
  </si>
  <si>
    <t>OKONKWO</t>
  </si>
  <si>
    <t>Ogochukwu</t>
  </si>
  <si>
    <t>Favour Maryanne</t>
  </si>
  <si>
    <t>House 42 Vision Court Estate, Lokogoma, Abuja</t>
  </si>
  <si>
    <t>08032329090</t>
  </si>
  <si>
    <t>83691756WACP552515416</t>
  </si>
  <si>
    <t>orerome.owhiri@gmail.com</t>
  </si>
  <si>
    <t>OWHIRI</t>
  </si>
  <si>
    <t>Orerome</t>
  </si>
  <si>
    <t>1 Festac Street Federal Housing Estate Trans Ekulu Enugu</t>
  </si>
  <si>
    <t>Federal Neuropsychiatric Hospital Enugu, Enugu State</t>
  </si>
  <si>
    <t>08037057440</t>
  </si>
  <si>
    <t>241001758WACP530230068</t>
  </si>
  <si>
    <t>Jacinth344@gmail.com</t>
  </si>
  <si>
    <t>KODJI</t>
  </si>
  <si>
    <t>Jacob</t>
  </si>
  <si>
    <t>Narteh</t>
  </si>
  <si>
    <t>Box 16, Tamale, TTH</t>
  </si>
  <si>
    <t xml:space="preserve">Tamale Teaching Hospital </t>
  </si>
  <si>
    <t>GHWACP603149689</t>
  </si>
  <si>
    <t>shay.adenusi@gmail.com</t>
  </si>
  <si>
    <t>ADENUSI</t>
  </si>
  <si>
    <t>SHALOM</t>
  </si>
  <si>
    <t>ANU-OLUWAPO</t>
  </si>
  <si>
    <t>15akintijani street magodo</t>
  </si>
  <si>
    <t>Federal neuropsychiatric hospital yaba lagos</t>
  </si>
  <si>
    <t>07010643170</t>
  </si>
  <si>
    <t>243791760WACP508852522</t>
  </si>
  <si>
    <t>graceanajuba@gmail.com</t>
  </si>
  <si>
    <t>ANAJUBA</t>
  </si>
  <si>
    <t>5 Creek lane New world city, Ugbuwangue Delta state</t>
  </si>
  <si>
    <t>University of Nigeria</t>
  </si>
  <si>
    <t>08067609823</t>
  </si>
  <si>
    <t>224411761WACP470108283</t>
  </si>
  <si>
    <t>eseoruoghor@yahoo.com</t>
  </si>
  <si>
    <t xml:space="preserve">IMAFIDON </t>
  </si>
  <si>
    <t>Edith</t>
  </si>
  <si>
    <t>Department of paediaric fedral medical center, yenegoa</t>
  </si>
  <si>
    <t>Federal medical center Yenagoa</t>
  </si>
  <si>
    <t>08060949636</t>
  </si>
  <si>
    <t>37191762WACP713101118</t>
  </si>
  <si>
    <t>adegboyegafadumiye@yahoo.com</t>
  </si>
  <si>
    <t>FADUMIYE</t>
  </si>
  <si>
    <t>Seyi</t>
  </si>
  <si>
    <t>15, Dam Road, Egbe Ekiti, Ekiti State.</t>
  </si>
  <si>
    <t>Obafemi Awolowo University, Ile Ife.</t>
  </si>
  <si>
    <t>08063256670</t>
  </si>
  <si>
    <t>243561763WACP3264215</t>
  </si>
  <si>
    <t>obiamyc@yahoo.com</t>
  </si>
  <si>
    <t xml:space="preserve">OBIOHA </t>
  </si>
  <si>
    <t>Amaka</t>
  </si>
  <si>
    <t>Chiemelie</t>
  </si>
  <si>
    <t>Federal Medical Centre,Owerri Imo state</t>
  </si>
  <si>
    <t xml:space="preserve">Federal Medical Centre Owerri </t>
  </si>
  <si>
    <t>07032813940</t>
  </si>
  <si>
    <t>81111764WACP255737479</t>
  </si>
  <si>
    <t>obibiflash@gmail.com</t>
  </si>
  <si>
    <t>OSAYIMWEN</t>
  </si>
  <si>
    <t>Bibi</t>
  </si>
  <si>
    <t>Federal Neuropsychiatric Hospital, 8, Harvey Road, Yaba, Lagos</t>
  </si>
  <si>
    <t>Federal Neuropsychiatric hospital, Yaba Lagos</t>
  </si>
  <si>
    <t>2801766WACP613163823</t>
  </si>
  <si>
    <t>melvinanartey@gmail.com</t>
  </si>
  <si>
    <t xml:space="preserve">NARTEY </t>
  </si>
  <si>
    <t>Melvina</t>
  </si>
  <si>
    <t>c/o Dr.Melvin Nartey ,Dept of Modern Languages,KNUST-Kumasi</t>
  </si>
  <si>
    <t>Cape Coast Teaching Hospital</t>
  </si>
  <si>
    <t>0594236407</t>
  </si>
  <si>
    <t>GHWACP224079918</t>
  </si>
  <si>
    <t>akpaeverister49@gmail.com</t>
  </si>
  <si>
    <t xml:space="preserve">AKPA </t>
  </si>
  <si>
    <t>Everister</t>
  </si>
  <si>
    <t>Uloma</t>
  </si>
  <si>
    <t>Lamingo, Jos University Teaching Hospital Jos</t>
  </si>
  <si>
    <t>07032484649</t>
  </si>
  <si>
    <t>245111768WACP831305163</t>
  </si>
  <si>
    <t>mafianangozi@yahoo.com</t>
  </si>
  <si>
    <t>MAFIANA</t>
  </si>
  <si>
    <t>Ngozichukwu</t>
  </si>
  <si>
    <t>Federal Medical Centre Asaba, Delta State, Nigeria</t>
  </si>
  <si>
    <t>07039767200</t>
  </si>
  <si>
    <t>106831769WACP197447093</t>
  </si>
  <si>
    <t>parsiabby@gmail.com</t>
  </si>
  <si>
    <t>ANNAN</t>
  </si>
  <si>
    <t>Abigail</t>
  </si>
  <si>
    <t>Naa Dedei</t>
  </si>
  <si>
    <t>0544117790</t>
  </si>
  <si>
    <t>GHWACP461495284</t>
  </si>
  <si>
    <t>drpapalee@gmail.com</t>
  </si>
  <si>
    <t>OGUNLAJA</t>
  </si>
  <si>
    <t>oluwaseun</t>
  </si>
  <si>
    <t>abdulquadri</t>
  </si>
  <si>
    <t>7, williams awodein, oko-oba GRA scheme 1, agege</t>
  </si>
  <si>
    <t>massey street children hospital</t>
  </si>
  <si>
    <t>98611771WACP344883434</t>
  </si>
  <si>
    <t>dianadonkor2003@yahoo.co.uk</t>
  </si>
  <si>
    <t>DONKOR</t>
  </si>
  <si>
    <t>Diana</t>
  </si>
  <si>
    <t>Ama</t>
  </si>
  <si>
    <t xml:space="preserve">Ogbojo Polyclinic, Adenta Municipal Health Directorate, Box AF1322 ,Accra Ghana </t>
  </si>
  <si>
    <t>GHWACP531732570</t>
  </si>
  <si>
    <t>jobejim96@gmail.com</t>
  </si>
  <si>
    <t>Jobe</t>
  </si>
  <si>
    <t>Jim</t>
  </si>
  <si>
    <t>Jambur</t>
  </si>
  <si>
    <t>244531773WACP12871337</t>
  </si>
  <si>
    <t>abiwotumininu@gmail.com</t>
  </si>
  <si>
    <t>ABIWO</t>
  </si>
  <si>
    <t>Oluwatumininu</t>
  </si>
  <si>
    <t>B14,CBN Estate 2, Satellite town, Lagos state</t>
  </si>
  <si>
    <t>Lagoon Hospitals, Ikoyi, Lagos, 17B Bourdillon road</t>
  </si>
  <si>
    <t>08084239912</t>
  </si>
  <si>
    <t>245171774WACP75674067</t>
  </si>
  <si>
    <t>nimat.adeyemo@gmail.com</t>
  </si>
  <si>
    <t>nimota</t>
  </si>
  <si>
    <t>ajibike</t>
  </si>
  <si>
    <t>No 58 aiyetoro street aguda surulere.</t>
  </si>
  <si>
    <t xml:space="preserve">Lagos University teaching hospital </t>
  </si>
  <si>
    <t>8491775WACP794072244</t>
  </si>
  <si>
    <t>jisbalajo@outlook.com</t>
  </si>
  <si>
    <t>BALAJO</t>
  </si>
  <si>
    <t>Jarra</t>
  </si>
  <si>
    <t>I.S</t>
  </si>
  <si>
    <t xml:space="preserve">Edward Francis Small Teaching Hospital </t>
  </si>
  <si>
    <t>228931776WACP477918181</t>
  </si>
  <si>
    <t>oyeosasuyi2@gmail.com</t>
  </si>
  <si>
    <t>GEORGE-OSASUYI</t>
  </si>
  <si>
    <t>Oyenmwen</t>
  </si>
  <si>
    <t>Infant Jesus Street, Off Godwin Abbe, Off Sapele Road, Benin City, Edo State.</t>
  </si>
  <si>
    <t>University of Benin Teaching Hospital, Benin City</t>
  </si>
  <si>
    <t>08023322231</t>
  </si>
  <si>
    <t>226481777WACP656520204</t>
  </si>
  <si>
    <t>Registration as subspecialist/follow in training is 6 months. Less than 12 months minimum before close of application for exam</t>
  </si>
  <si>
    <t>austineokwesa@gmail.com</t>
  </si>
  <si>
    <t>OKWESA</t>
  </si>
  <si>
    <t xml:space="preserve">Augustine </t>
  </si>
  <si>
    <t xml:space="preserve">Ossai </t>
  </si>
  <si>
    <t xml:space="preserve">Delta State University Teaching Hospital Oghara </t>
  </si>
  <si>
    <t xml:space="preserve">Delta state university teaching hospital Oghara </t>
  </si>
  <si>
    <t>07033292109</t>
  </si>
  <si>
    <t>7671778WACP321294385</t>
  </si>
  <si>
    <t>petervictoria18@gmail.com</t>
  </si>
  <si>
    <t xml:space="preserve">AILENUBHI </t>
  </si>
  <si>
    <t xml:space="preserve">Victoria </t>
  </si>
  <si>
    <t>Omons</t>
  </si>
  <si>
    <t>BLOCK 9, PLOT 21 LG GRA ILESHA RD AKURE</t>
  </si>
  <si>
    <t>OBAFEMI AWOLOWO UNIVERSITY TEACHING HOSPITAL ILE-IFE</t>
  </si>
  <si>
    <t>08077522041</t>
  </si>
  <si>
    <t>81451779WACP691728639</t>
  </si>
  <si>
    <t>istifanusbintum@gmail.com</t>
  </si>
  <si>
    <t>Istifanus</t>
  </si>
  <si>
    <t xml:space="preserve">Bintum </t>
  </si>
  <si>
    <t>59801780WACP824870465</t>
  </si>
  <si>
    <t>drumarmohdh@gmail.com</t>
  </si>
  <si>
    <t>Umar</t>
  </si>
  <si>
    <t xml:space="preserve">Department of Medical Microbiology and Immunology Federal Teaching Hospital, PMB0037 Gombe </t>
  </si>
  <si>
    <t>Federal Teaching Hospital Gombe, Gombe State</t>
  </si>
  <si>
    <t>105771782WACP284623010</t>
  </si>
  <si>
    <t>terencebakare@gmail.com</t>
  </si>
  <si>
    <t>terence</t>
  </si>
  <si>
    <t>9 adesanya drive agiliti estate Lagos</t>
  </si>
  <si>
    <t>National pirogov memorial university vinitysa Ukraine</t>
  </si>
  <si>
    <t>08026088050</t>
  </si>
  <si>
    <t>242401783WACP110039971</t>
  </si>
  <si>
    <t>aishaibrahimkz@gmail.com</t>
  </si>
  <si>
    <t>Zoo Road Kano</t>
  </si>
  <si>
    <t>Hayatt University College Sudan</t>
  </si>
  <si>
    <t>07032826040</t>
  </si>
  <si>
    <t>244321784WACP31332633</t>
  </si>
  <si>
    <t>halidubu22@gmail.com</t>
  </si>
  <si>
    <t xml:space="preserve">SANI </t>
  </si>
  <si>
    <t>No. 9 Wurno Road, Badarawa Kaduna</t>
  </si>
  <si>
    <t xml:space="preserve">Ahmadu Bello University Teaching Hospital Zaria </t>
  </si>
  <si>
    <t>79241785WACP389576861</t>
  </si>
  <si>
    <t>augustapatric@gmail.com</t>
  </si>
  <si>
    <t>EZIRIM</t>
  </si>
  <si>
    <t>Chinaka</t>
  </si>
  <si>
    <t>109111786WACP145514829</t>
  </si>
  <si>
    <t>drmbowemariam@gmail.com</t>
  </si>
  <si>
    <t>JAW</t>
  </si>
  <si>
    <t>Mariam</t>
  </si>
  <si>
    <t xml:space="preserve">Brufut Gardens plot 213 , Gambia </t>
  </si>
  <si>
    <t>40511787WACP991111132</t>
  </si>
  <si>
    <t>usierej@gmail.com</t>
  </si>
  <si>
    <t>UWAKMFON</t>
  </si>
  <si>
    <t>Usiere</t>
  </si>
  <si>
    <t>Providence Multispecialty Hospital Asokoro Abuja</t>
  </si>
  <si>
    <t>08169017530</t>
  </si>
  <si>
    <t>245271788WACP205850131</t>
  </si>
  <si>
    <t>bsackey44@gmail.com</t>
  </si>
  <si>
    <t>SACKEY</t>
  </si>
  <si>
    <t>benjamin</t>
  </si>
  <si>
    <t>sakyi</t>
  </si>
  <si>
    <t>P.O.BOX 277 TECHIMAN, GHANA</t>
  </si>
  <si>
    <t>KORLE-BU TEACHING HOSPITAL</t>
  </si>
  <si>
    <t>0246555770</t>
  </si>
  <si>
    <t>GHWACP158032463</t>
  </si>
  <si>
    <t>ijusticeogba@gmail.com</t>
  </si>
  <si>
    <t>OGBA</t>
  </si>
  <si>
    <t>Justice</t>
  </si>
  <si>
    <t>Ikojo</t>
  </si>
  <si>
    <t>Asokoro District Hospital FCT Abuja</t>
  </si>
  <si>
    <t>07031050454</t>
  </si>
  <si>
    <t>245311790WACP416016232</t>
  </si>
  <si>
    <t>donspart9@gmail.com</t>
  </si>
  <si>
    <t>BENSON</t>
  </si>
  <si>
    <t xml:space="preserve">Onyema </t>
  </si>
  <si>
    <t>Springfield estate, Oke ira, Ajah, Lagos state</t>
  </si>
  <si>
    <t>07067988624</t>
  </si>
  <si>
    <t>241691791WACP681752576</t>
  </si>
  <si>
    <t>emmanuelisaac64@gmail.com</t>
  </si>
  <si>
    <t>NGWU</t>
  </si>
  <si>
    <t>isaac</t>
  </si>
  <si>
    <t>3 chief obot street calabar</t>
  </si>
  <si>
    <t>University of calabar</t>
  </si>
  <si>
    <t>07032794452</t>
  </si>
  <si>
    <t>245291792WACP920601415</t>
  </si>
  <si>
    <t>memcee2007@yahoo.com</t>
  </si>
  <si>
    <t>EKONG</t>
  </si>
  <si>
    <t>Edemanwan</t>
  </si>
  <si>
    <t xml:space="preserve">Ifiokobong </t>
  </si>
  <si>
    <t>Joshua Close, Ifa, Uyo</t>
  </si>
  <si>
    <t>91151793WACP326855640</t>
  </si>
  <si>
    <t>IDUZEBABA@GMAIL.COM</t>
  </si>
  <si>
    <t>IDUZE</t>
  </si>
  <si>
    <t>AHMADU BELLO UNIVERSITY TEACHING HOSPITAL ZARIA</t>
  </si>
  <si>
    <t>23801794WACP267924785</t>
  </si>
  <si>
    <t>talk2abeyiy@gmail.com</t>
  </si>
  <si>
    <t xml:space="preserve">UGOGOH-ENOR </t>
  </si>
  <si>
    <t xml:space="preserve">Abeyi </t>
  </si>
  <si>
    <t xml:space="preserve">Deborah </t>
  </si>
  <si>
    <t>07036457464</t>
  </si>
  <si>
    <t>213531795WACP936282925</t>
  </si>
  <si>
    <t>edwinpero@gmail.com</t>
  </si>
  <si>
    <t>Edwin</t>
  </si>
  <si>
    <t xml:space="preserve">Tunfure near reservoir, Gombe, Gombe state </t>
  </si>
  <si>
    <t>Federal Teaching Hospital Gombe, Gombe State.</t>
  </si>
  <si>
    <t>08120197276</t>
  </si>
  <si>
    <t>196101796WACP516577630</t>
  </si>
  <si>
    <t>abliegarba@yahoo.com</t>
  </si>
  <si>
    <t>abdoulie</t>
  </si>
  <si>
    <t>Brufut</t>
  </si>
  <si>
    <t>EFSTH</t>
  </si>
  <si>
    <t>002203601834</t>
  </si>
  <si>
    <t>14951797WACP773991881</t>
  </si>
  <si>
    <t>tumbad20@gmail.com</t>
  </si>
  <si>
    <t>DELIA</t>
  </si>
  <si>
    <t>Tumba</t>
  </si>
  <si>
    <t>L6 Umar crescent, Mando, Kaduna State</t>
  </si>
  <si>
    <t>ABUTH Zaria Kaduna State</t>
  </si>
  <si>
    <t>189031798WACP626644471</t>
  </si>
  <si>
    <t>Ozzdesmond@gmail.com</t>
  </si>
  <si>
    <t>OZIEGBE</t>
  </si>
  <si>
    <t>Desmond</t>
  </si>
  <si>
    <t>Obianke</t>
  </si>
  <si>
    <t>No 9 Chukwurah Ogelue street, off Okpanam road, Asaba, delta state.</t>
  </si>
  <si>
    <t>Ternopil national medical university</t>
  </si>
  <si>
    <t>07046654671</t>
  </si>
  <si>
    <t>244821799WACP804420128</t>
  </si>
  <si>
    <t>i.ogbaji@yahoo.com</t>
  </si>
  <si>
    <t>OGBAJI</t>
  </si>
  <si>
    <t>igala</t>
  </si>
  <si>
    <t>Cecilia</t>
  </si>
  <si>
    <t>Lamingo,Jos,Plateau state</t>
  </si>
  <si>
    <t>07034522378</t>
  </si>
  <si>
    <t>244341800WACP588263363</t>
  </si>
  <si>
    <t>peterajani50@gmail.com</t>
  </si>
  <si>
    <t>AJANI</t>
  </si>
  <si>
    <t>No 15 Adetayo ogunaike street off kosoko street Ojodu berger lagos state</t>
  </si>
  <si>
    <t>Obafemi Awolowo college of health science Olabisi Onabanjo University</t>
  </si>
  <si>
    <t>08060455152</t>
  </si>
  <si>
    <t>244921801WACP29056151</t>
  </si>
  <si>
    <t>seanzyjane@yahoo.com</t>
  </si>
  <si>
    <t>OVUOH</t>
  </si>
  <si>
    <t>Ifeanyichukwu</t>
  </si>
  <si>
    <t>_</t>
  </si>
  <si>
    <t xml:space="preserve">Department of pediatrics Federal Medical Centre Owerri, Orlu road, imo state </t>
  </si>
  <si>
    <t>08032956566</t>
  </si>
  <si>
    <t>168401802WACP774888821</t>
  </si>
  <si>
    <t>michaelworld007@gmail.com</t>
  </si>
  <si>
    <t>EJOH</t>
  </si>
  <si>
    <t>Nkeonye</t>
  </si>
  <si>
    <t>62, OBODOAKPU, UMUEZE, IBUSA, DELTA STATE.</t>
  </si>
  <si>
    <t>45171803WACP765682266</t>
  </si>
  <si>
    <t>idowubello65@gmail.com</t>
  </si>
  <si>
    <t>idowu</t>
  </si>
  <si>
    <t>Ezekiel</t>
  </si>
  <si>
    <t>Ekiti State University Teaching Hospital Ado Ekiti</t>
  </si>
  <si>
    <t>Ekiti State University Teaching Hospital Ado-Ekiti</t>
  </si>
  <si>
    <t>0703886956</t>
  </si>
  <si>
    <t>167881804WACP842899250</t>
  </si>
  <si>
    <t>labisola@ymail.com</t>
  </si>
  <si>
    <t>Abisola</t>
  </si>
  <si>
    <t>Federal Neuropsychiatric Hospital, 8, Harvey Road, Yaba, Lagos, Nigeria.</t>
  </si>
  <si>
    <t xml:space="preserve">Federal Neuropsychiatric Hospital, Yaba, Lagos, Nigeria. </t>
  </si>
  <si>
    <t>99911805WACP973699553</t>
  </si>
  <si>
    <t>kachollombot@yahoo.co.uk</t>
  </si>
  <si>
    <t>BOT</t>
  </si>
  <si>
    <t xml:space="preserve">Kachollom </t>
  </si>
  <si>
    <t>Gyang</t>
  </si>
  <si>
    <t>Jos university Teaching Hospital</t>
  </si>
  <si>
    <t>51201806WACP515682095</t>
  </si>
  <si>
    <t>kpedenrose206@gmail.com</t>
  </si>
  <si>
    <t>KPEDEN</t>
  </si>
  <si>
    <t>Rose</t>
  </si>
  <si>
    <t>Dawn</t>
  </si>
  <si>
    <t>No 6 tecce drive ehoro new layout estate, Elelenwo, port harcourt,rivers state</t>
  </si>
  <si>
    <t>Deda hospital</t>
  </si>
  <si>
    <t>0806 810 7091</t>
  </si>
  <si>
    <t>241371807WACP886155342</t>
  </si>
  <si>
    <t>thefemiafolayan@gmail.com</t>
  </si>
  <si>
    <t>AFOLAYAN</t>
  </si>
  <si>
    <t>Olorunfemi</t>
  </si>
  <si>
    <t>12, Emir of Ilorin Street, Kulende Phase 3 Estate, Ilorin</t>
  </si>
  <si>
    <t>University of Ilorin Teaching Hospital, Ilorin, Kwara State</t>
  </si>
  <si>
    <t>08104358752</t>
  </si>
  <si>
    <t>189321808WACP605659866</t>
  </si>
  <si>
    <t>hashimr79c@gmail.com</t>
  </si>
  <si>
    <t>HASHIM</t>
  </si>
  <si>
    <t>FEDERAL MEDICAL CENTER, GUSAU</t>
  </si>
  <si>
    <t>09039435621</t>
  </si>
  <si>
    <t>242771809WACP480223800</t>
  </si>
  <si>
    <t>sidatjoof@gmail.com</t>
  </si>
  <si>
    <t>JOOF</t>
  </si>
  <si>
    <t>Sidat</t>
  </si>
  <si>
    <t>194701810WACP720070725</t>
  </si>
  <si>
    <t>landingpabi@gmail.com</t>
  </si>
  <si>
    <t>JARJU</t>
  </si>
  <si>
    <t>Landing</t>
  </si>
  <si>
    <t>Wellingara Kombo North, West Coast Region,The Gambia</t>
  </si>
  <si>
    <t>+220 2227262</t>
  </si>
  <si>
    <t>72241811WACP571886088</t>
  </si>
  <si>
    <t>ayansinayo@gmail.com</t>
  </si>
  <si>
    <t>AYANSINA</t>
  </si>
  <si>
    <t>E36, Abiola Quarters Moniya Ibadan Oyo State</t>
  </si>
  <si>
    <t>Obafemi Awolowo University Teaching Hospital Ile-Ife</t>
  </si>
  <si>
    <t>08062970668</t>
  </si>
  <si>
    <t>236851812WACP636113908</t>
  </si>
  <si>
    <t>lordbukay@gmail.com</t>
  </si>
  <si>
    <t>JONAH</t>
  </si>
  <si>
    <t>Buka</t>
  </si>
  <si>
    <t>Bright</t>
  </si>
  <si>
    <t>Niger Delta University Wilberforce island, Bayelsa State</t>
  </si>
  <si>
    <t>245381813WACP258016811</t>
  </si>
  <si>
    <t>drboahen@yahoo.com</t>
  </si>
  <si>
    <t>ATTA-BOAHEN</t>
  </si>
  <si>
    <t>Frederick</t>
  </si>
  <si>
    <t>GZ-147-4168</t>
  </si>
  <si>
    <t>GHWACP89869351</t>
  </si>
  <si>
    <t>salmamainasara2012@gmail.com</t>
  </si>
  <si>
    <t xml:space="preserve">MUHAMMAD </t>
  </si>
  <si>
    <t>salma</t>
  </si>
  <si>
    <t>Mainasara</t>
  </si>
  <si>
    <t>No 1 Agaie road sokoto</t>
  </si>
  <si>
    <t>Uduth</t>
  </si>
  <si>
    <t>08027607461</t>
  </si>
  <si>
    <t>245231815WACP202550889</t>
  </si>
  <si>
    <t>monsuruakinola@gmail.com</t>
  </si>
  <si>
    <t>AKINOLA</t>
  </si>
  <si>
    <t>Monsuru</t>
  </si>
  <si>
    <t>Abiodun</t>
  </si>
  <si>
    <t>33,ADURAGBEMI STREET KASO BUS STOP ALAGBADO Lagos State</t>
  </si>
  <si>
    <t>LSPHCB</t>
  </si>
  <si>
    <t>08056901437</t>
  </si>
  <si>
    <t>244871816WACP83950781</t>
  </si>
  <si>
    <t>aishasuleiman1001@gmail.com</t>
  </si>
  <si>
    <t>08137847821</t>
  </si>
  <si>
    <t>161771817WACP301982484</t>
  </si>
  <si>
    <t>luvlychristian1@hotmail.com</t>
  </si>
  <si>
    <t>ACHEAMPONG</t>
  </si>
  <si>
    <t>Christiana</t>
  </si>
  <si>
    <t>Owusua</t>
  </si>
  <si>
    <t>Post Office Box TL2089, Tamale, Ghana</t>
  </si>
  <si>
    <t>Korlebu Teaching Hospital</t>
  </si>
  <si>
    <t>0547189863</t>
  </si>
  <si>
    <t>GHWACP484449708</t>
  </si>
  <si>
    <t>estherbereprebofa@gmail.com</t>
  </si>
  <si>
    <t xml:space="preserve">MARK </t>
  </si>
  <si>
    <t xml:space="preserve">Edward </t>
  </si>
  <si>
    <t>Road 6 block 54 flat 4 Okaka Housing Estate Okaka Yenagoa Bayelsa  State Nigeria</t>
  </si>
  <si>
    <t>Federal Medical Centre Yenagoa Bayelsa State</t>
  </si>
  <si>
    <t>236641819WACP342148412</t>
  </si>
  <si>
    <t>ellypontiff@gmail.com</t>
  </si>
  <si>
    <t>ELEAZER</t>
  </si>
  <si>
    <t>Godsent</t>
  </si>
  <si>
    <t>Ukaigwe Street Meneke house</t>
  </si>
  <si>
    <t>Imo State University College of Medicine</t>
  </si>
  <si>
    <t>08038405427</t>
  </si>
  <si>
    <t>245401820WACP674951003</t>
  </si>
  <si>
    <t>Pariskobe100908@gmail.com</t>
  </si>
  <si>
    <t>IYAYI OSAGIE</t>
  </si>
  <si>
    <t>Osasogie</t>
  </si>
  <si>
    <t>Road 16, House 9, Aho Estate, Ajibode .IBADAN</t>
  </si>
  <si>
    <t xml:space="preserve">University College Hospital, Ibadan </t>
  </si>
  <si>
    <t>13081821WACP671773954</t>
  </si>
  <si>
    <t>abasifrekearchibong96@gmail.com</t>
  </si>
  <si>
    <t>ARCHIBONG</t>
  </si>
  <si>
    <t>Abasi-Ifreke</t>
  </si>
  <si>
    <t>Aniefiok</t>
  </si>
  <si>
    <t>Km 1/2 New Ife Road, Ibadan</t>
  </si>
  <si>
    <t>Toun Memorial Specialist Hospital</t>
  </si>
  <si>
    <t>09036303783</t>
  </si>
  <si>
    <t>243161822WACP780471536</t>
  </si>
  <si>
    <t>kelechi.moses12@gmail.com</t>
  </si>
  <si>
    <t>IKEKWE</t>
  </si>
  <si>
    <t>KELECHI</t>
  </si>
  <si>
    <t>08038872043</t>
  </si>
  <si>
    <t>3471823WACP984968668</t>
  </si>
  <si>
    <t>bakpandakyes@gmail.com</t>
  </si>
  <si>
    <t>DAKYES</t>
  </si>
  <si>
    <t>bakpan</t>
  </si>
  <si>
    <t>Gumwesh</t>
  </si>
  <si>
    <t xml:space="preserve">No. 68 Alheri street, Good luck Jonathan Road, Jos plateau state </t>
  </si>
  <si>
    <t>Jos university Teaching hospital</t>
  </si>
  <si>
    <t>07035714160</t>
  </si>
  <si>
    <t>202751824WACP107569934</t>
  </si>
  <si>
    <t>ojuosen@gmail.com</t>
  </si>
  <si>
    <t>ADANAS</t>
  </si>
  <si>
    <t>Department of child health , University of Benin teaching hospital</t>
  </si>
  <si>
    <t>85171825WACP964500820</t>
  </si>
  <si>
    <t>pearllybrenda@gmail.com</t>
  </si>
  <si>
    <t>NNOKAM</t>
  </si>
  <si>
    <t>Brenda</t>
  </si>
  <si>
    <t>Anyakwe</t>
  </si>
  <si>
    <t>Main Lodge, Chinda Estate, UST Road, Nkpolu Oroworukwo, Port Harcourt</t>
  </si>
  <si>
    <t>Ekubaptist Hospital, Eku, Delta State</t>
  </si>
  <si>
    <t>78151826WACP873909414</t>
  </si>
  <si>
    <t>salaam.notime@gmail.com</t>
  </si>
  <si>
    <t>ABDULSALAM</t>
  </si>
  <si>
    <t>Nill</t>
  </si>
  <si>
    <t>F211 tunga low-cost minna  niger state</t>
  </si>
  <si>
    <t>Usmanu danfodio university sokoto</t>
  </si>
  <si>
    <t>114561827WACP172852219</t>
  </si>
  <si>
    <t>adegbitemf@gmail.com</t>
  </si>
  <si>
    <t xml:space="preserve">ADEGBITE </t>
  </si>
  <si>
    <t>mojisola</t>
  </si>
  <si>
    <t>florence</t>
  </si>
  <si>
    <t>Idi-aba, FMC,Abeokuta, Ogun, State.</t>
  </si>
  <si>
    <t>FMC, Abeokuta.</t>
  </si>
  <si>
    <t>159451828WACP150963659</t>
  </si>
  <si>
    <t>jshinab@gmail.com</t>
  </si>
  <si>
    <t>BABATUNDE</t>
  </si>
  <si>
    <t>JAMIU</t>
  </si>
  <si>
    <t>SHINA</t>
  </si>
  <si>
    <t>57, Atere Compound, Oke Anifowoshe, Ilorin, Kwara State</t>
  </si>
  <si>
    <t>University of Ilorin, Ilorin, Kwara State</t>
  </si>
  <si>
    <t>08136488775</t>
  </si>
  <si>
    <t>243591829WACP198093585</t>
  </si>
  <si>
    <t>ifeomadom_chima@yahoo.com</t>
  </si>
  <si>
    <t>DOM-CHIMA</t>
  </si>
  <si>
    <t>Chinyere</t>
  </si>
  <si>
    <t>FEDERAL TEACHING HOSPITAL, OWERRI</t>
  </si>
  <si>
    <t>IVANO-FRANKIVSK NATIONAL MEDICAL UNIVERSITY, UKRAINE</t>
  </si>
  <si>
    <t>08149484142</t>
  </si>
  <si>
    <t>244361830WACP319705578</t>
  </si>
  <si>
    <t>akyeapatrick@gmail.com</t>
  </si>
  <si>
    <t>AKYEA</t>
  </si>
  <si>
    <t>Patrick</t>
  </si>
  <si>
    <t>Okae</t>
  </si>
  <si>
    <t>NO.7 RIDGEWAY 4 BN UADDARA BARRACKS KUMASI</t>
  </si>
  <si>
    <t>KATH</t>
  </si>
  <si>
    <t>0549853273</t>
  </si>
  <si>
    <t>GHWACP835058463</t>
  </si>
  <si>
    <t>emeraldbee1@gmail.com</t>
  </si>
  <si>
    <t xml:space="preserve">Idris </t>
  </si>
  <si>
    <t xml:space="preserve">Road 4, house 119, Aldenco estate, Galadimawa, Abuja </t>
  </si>
  <si>
    <t xml:space="preserve">Elrazi university </t>
  </si>
  <si>
    <t>08142784394</t>
  </si>
  <si>
    <t>189951832WACP703872180</t>
  </si>
  <si>
    <t>asothaddnnamdi@gmail.com</t>
  </si>
  <si>
    <t>ASOGWA</t>
  </si>
  <si>
    <t>Thaddeus</t>
  </si>
  <si>
    <t>Nnamdi</t>
  </si>
  <si>
    <t>No 10 Ganaja Street, Lokoja, Kogi State</t>
  </si>
  <si>
    <t>University Of Nigeria, Nsukka</t>
  </si>
  <si>
    <t>07062909752</t>
  </si>
  <si>
    <t>245441833WACP426801954</t>
  </si>
  <si>
    <t>aishaadamabdullahi1@gmail.com</t>
  </si>
  <si>
    <t>09034272412</t>
  </si>
  <si>
    <t>Kano Independent Research Centre Trust</t>
  </si>
  <si>
    <t>245261834WACP644720049</t>
  </si>
  <si>
    <t>amanyidavid88@gmail.com</t>
  </si>
  <si>
    <t>AMANYI</t>
  </si>
  <si>
    <t>Ochola</t>
  </si>
  <si>
    <t>67491835WACP319059464</t>
  </si>
  <si>
    <t>harunakunnah@gmail.com</t>
  </si>
  <si>
    <t>KUNNAH</t>
  </si>
  <si>
    <t>CHRISTABEL</t>
  </si>
  <si>
    <t>NO 31 AJIJI KAZE STREET ISHONG AGWOM JOS PLATEAU STATE NIGERIA</t>
  </si>
  <si>
    <t>UNIVERSITY OF JOS</t>
  </si>
  <si>
    <t>08063081047</t>
  </si>
  <si>
    <t>98011836WACP761523021</t>
  </si>
  <si>
    <t>emintahbenyin@gmail.com</t>
  </si>
  <si>
    <t>MINTAH-BENYIN</t>
  </si>
  <si>
    <t>GPHA Clinic, P.O.Box 488, Community 2 ,Tema.</t>
  </si>
  <si>
    <t>University of Ghana Medical School</t>
  </si>
  <si>
    <t>GHWACP372870426</t>
  </si>
  <si>
    <t>lailabubakar@icloud.com</t>
  </si>
  <si>
    <t>Laila</t>
  </si>
  <si>
    <t>Omale</t>
  </si>
  <si>
    <t>Jasmine Drive, Kafe Garden Estate</t>
  </si>
  <si>
    <t>Vinnitsya National Medical University, Vinnitsya, Ukraine</t>
  </si>
  <si>
    <t>07083167611</t>
  </si>
  <si>
    <t>245331838WACP758847375</t>
  </si>
  <si>
    <t>dashilongtong@gmail.com</t>
  </si>
  <si>
    <t xml:space="preserve">NEPYIL </t>
  </si>
  <si>
    <t xml:space="preserve">Longtong </t>
  </si>
  <si>
    <t>Chinplang</t>
  </si>
  <si>
    <t>111031839WACP132521948</t>
  </si>
  <si>
    <t>justiciaamisah@gmail.com</t>
  </si>
  <si>
    <t>AMISAH</t>
  </si>
  <si>
    <t>Justicia</t>
  </si>
  <si>
    <t>Directorate of Child Health,KATH,Kumasi</t>
  </si>
  <si>
    <t>GHWACP847081146</t>
  </si>
  <si>
    <t>beninamma2@gmail.com</t>
  </si>
  <si>
    <t>BENIN</t>
  </si>
  <si>
    <t>Amma</t>
  </si>
  <si>
    <t xml:space="preserve">Sakyiwah Manu </t>
  </si>
  <si>
    <t>P O Box KD 816 Kanda Accra</t>
  </si>
  <si>
    <t xml:space="preserve">International Maritime Hospital </t>
  </si>
  <si>
    <t>GHWACP518310889</t>
  </si>
  <si>
    <t>wumps92@gmail.com</t>
  </si>
  <si>
    <t>IDDRISU</t>
  </si>
  <si>
    <t>MARIAMA</t>
  </si>
  <si>
    <t>WUMPINI</t>
  </si>
  <si>
    <t>5E GBAWE BANK QUARTERS ROAD</t>
  </si>
  <si>
    <t>0554301246</t>
  </si>
  <si>
    <t>GHWACP888149988</t>
  </si>
  <si>
    <t>kwasiyeboahkk@gmail.com</t>
  </si>
  <si>
    <t>KYEREMEH</t>
  </si>
  <si>
    <t>Bill</t>
  </si>
  <si>
    <t>Gyau</t>
  </si>
  <si>
    <t>0208739352</t>
  </si>
  <si>
    <t>GHWACP701847954</t>
  </si>
  <si>
    <t>babysaad37@gmail.com</t>
  </si>
  <si>
    <t>SAAD</t>
  </si>
  <si>
    <t>No 35c Rahma close, Tudun wada, Kaduna</t>
  </si>
  <si>
    <t>07065553573</t>
  </si>
  <si>
    <t>245201844WACP141958114</t>
  </si>
  <si>
    <t>lawizajamilu@yahoo.com</t>
  </si>
  <si>
    <t>JAMILU</t>
  </si>
  <si>
    <t>LAWIZA</t>
  </si>
  <si>
    <t>NO 24 AHMED JODA CRESCENT,KADO ESTATE ABUJA</t>
  </si>
  <si>
    <t>OCTOBER 6TH UNIVERSITY EGYPT</t>
  </si>
  <si>
    <t>08037342248</t>
  </si>
  <si>
    <t>237841845WACP718531895</t>
  </si>
  <si>
    <t>adaobidoris0@gmail.com</t>
  </si>
  <si>
    <t>ADAOBI</t>
  </si>
  <si>
    <t>OBINNA</t>
  </si>
  <si>
    <t>House 2, road 24, trans ekulu upper north, Enugu state</t>
  </si>
  <si>
    <t>Madonna university, Elele Nigeria</t>
  </si>
  <si>
    <t>08132252551</t>
  </si>
  <si>
    <t>244301846WACP205766254</t>
  </si>
  <si>
    <t>ayindulme</t>
  </si>
  <si>
    <t>dkokakan@gmail.com</t>
  </si>
  <si>
    <t>Kokakan</t>
  </si>
  <si>
    <t>Luke</t>
  </si>
  <si>
    <t>No1 Otokopiri, Imiringi. Bayelsa state</t>
  </si>
  <si>
    <t>Niger Delta University Teaching Hospital</t>
  </si>
  <si>
    <t>08163727716</t>
  </si>
  <si>
    <t>245421848WACP164640614</t>
  </si>
  <si>
    <t>adongo.kelvin@ymail.com</t>
  </si>
  <si>
    <t>Adongo</t>
  </si>
  <si>
    <t xml:space="preserve">kelvin </t>
  </si>
  <si>
    <t>GN-1110-5237  Coastal Estates, Afienya, Ningo Prampram Accra Ghana</t>
  </si>
  <si>
    <t>Ghana Armed Forces Health Services</t>
  </si>
  <si>
    <t>(233)0507096370</t>
  </si>
  <si>
    <t>GHWACP672963634</t>
  </si>
  <si>
    <t>khadijahhyusuf@icloud.com</t>
  </si>
  <si>
    <t xml:space="preserve">Khadijah </t>
  </si>
  <si>
    <t>Abba</t>
  </si>
  <si>
    <t>Tudun Wada Makarfi Nepa Road Kaduna state.</t>
  </si>
  <si>
    <t>Ahfad University for women Sudan</t>
  </si>
  <si>
    <t>09037533998</t>
  </si>
  <si>
    <t>216291850WACP90436738</t>
  </si>
  <si>
    <t>ojeleyes99@gmail.com</t>
  </si>
  <si>
    <t xml:space="preserve">OJELEYE </t>
  </si>
  <si>
    <t xml:space="preserve">Abass </t>
  </si>
  <si>
    <t xml:space="preserve">Oyewande </t>
  </si>
  <si>
    <t xml:space="preserve">No 17, Idasa street, Igbara Odo Ekiti </t>
  </si>
  <si>
    <t xml:space="preserve">Federal Medical center Owo, Ondo state </t>
  </si>
  <si>
    <t>08064899832</t>
  </si>
  <si>
    <t>209891851WACP826338754</t>
  </si>
  <si>
    <t>elouisjr@gmail.com</t>
  </si>
  <si>
    <t>NTERFUL JNR</t>
  </si>
  <si>
    <t>Louis</t>
  </si>
  <si>
    <t>34 Calabassas Ave, Airport Hills</t>
  </si>
  <si>
    <t>Accra Medical Center</t>
  </si>
  <si>
    <t>GHWACP801770835</t>
  </si>
  <si>
    <t>drtaofeekrafiu87@gmail.com</t>
  </si>
  <si>
    <t xml:space="preserve">TAOFEEK </t>
  </si>
  <si>
    <t xml:space="preserve">Rafiu </t>
  </si>
  <si>
    <t>Federal Teaching Hospital, katsina</t>
  </si>
  <si>
    <t>Federal Teaching Hospital, Katsina.</t>
  </si>
  <si>
    <t>08062827104</t>
  </si>
  <si>
    <t>37451855WACP912712021</t>
  </si>
  <si>
    <t>zenyaro@yahoo.com</t>
  </si>
  <si>
    <t>YARO</t>
  </si>
  <si>
    <t>ZENABU</t>
  </si>
  <si>
    <t>P.O. Box MP 968</t>
  </si>
  <si>
    <t>0201371070</t>
  </si>
  <si>
    <t>GHWACP234935318</t>
  </si>
  <si>
    <t>akande_emmanuel2003@yahoo.com</t>
  </si>
  <si>
    <t>AKANDE</t>
  </si>
  <si>
    <t xml:space="preserve">Oluwatimilehin </t>
  </si>
  <si>
    <t xml:space="preserve">No 14,zone c, Adekola Area, behind CAC Agbala Itura, new ife road, Ibadan </t>
  </si>
  <si>
    <t xml:space="preserve">Obafemi Awolowo University Teaching Hospital complex, ile ife, osun state </t>
  </si>
  <si>
    <t>07069662751</t>
  </si>
  <si>
    <t>62291857WACP1106057</t>
  </si>
  <si>
    <t>utibe.thompson@gmail.com</t>
  </si>
  <si>
    <t>THOMPSON</t>
  </si>
  <si>
    <t>Utibe</t>
  </si>
  <si>
    <t>Godfrey</t>
  </si>
  <si>
    <t>97 Jebs Road, Calabar South, Calabar, CRS</t>
  </si>
  <si>
    <t>238021858WACP831349496</t>
  </si>
  <si>
    <t>beejayis@yahoo.com</t>
  </si>
  <si>
    <t>INAOLAJI</t>
  </si>
  <si>
    <t>Bolaji</t>
  </si>
  <si>
    <t>Biodun</t>
  </si>
  <si>
    <t>81,Adekola Zone A1,Iyana Agbala, off New Ife Road, Ibadan,Oyo State Nigeria</t>
  </si>
  <si>
    <t>08035860376</t>
  </si>
  <si>
    <t>245361859WACP251175077</t>
  </si>
  <si>
    <t>tofy.debo@gmail.com</t>
  </si>
  <si>
    <t xml:space="preserve">ADEBOWALE </t>
  </si>
  <si>
    <t>JESUTOFUNMI</t>
  </si>
  <si>
    <t>ISEOLUWA</t>
  </si>
  <si>
    <t>10, Old Ilaro Road, Opeoluwa, Ita-oshin, Abeokuta, Nigeria</t>
  </si>
  <si>
    <t>08189493028</t>
  </si>
  <si>
    <t>239831860WACP90256069</t>
  </si>
  <si>
    <t>Registration as trainee with the college is less the 12 months.</t>
  </si>
  <si>
    <t>chibuebemchukwu17@gmail.com</t>
  </si>
  <si>
    <t>Chibuebem</t>
  </si>
  <si>
    <t>6 Gori Close Abuja</t>
  </si>
  <si>
    <t>224571861WACP690558686</t>
  </si>
  <si>
    <t>maimunaaminu8@gmail.com</t>
  </si>
  <si>
    <t>No. 1A, Justice Aloma Mukhtar Street, Anthem Estate</t>
  </si>
  <si>
    <t>University of Abuja, Abuja, Nigeria.</t>
  </si>
  <si>
    <t>217681862WACP202854419</t>
  </si>
  <si>
    <t>peacefullbuchi@yahoo.com</t>
  </si>
  <si>
    <t xml:space="preserve">OFODILE </t>
  </si>
  <si>
    <t xml:space="preserve">No1, 5th avenue, 4th dimension New heaven, Enugu </t>
  </si>
  <si>
    <t xml:space="preserve">ESUT Teaching Hospital, Parklane, Enugu </t>
  </si>
  <si>
    <t>212171863WACP185715701</t>
  </si>
  <si>
    <t>awo.ruth.longjohn@gmail.com</t>
  </si>
  <si>
    <t>LAWRENCE</t>
  </si>
  <si>
    <t>Awolanyeofori</t>
  </si>
  <si>
    <t>Plot 7, Block 11, Road 22, Federal housing estate, Woji, Portharcourt</t>
  </si>
  <si>
    <t>University of Portharcourt Teaching Hospital</t>
  </si>
  <si>
    <t>08034270390</t>
  </si>
  <si>
    <t>207361864WACP218704191</t>
  </si>
  <si>
    <t>Emieneokopi@gmail.com</t>
  </si>
  <si>
    <t>OKOPI</t>
  </si>
  <si>
    <t>comfort</t>
  </si>
  <si>
    <t>emiene</t>
  </si>
  <si>
    <t>No 2 Ngoabi lane ,Narayi highcost Kaduna</t>
  </si>
  <si>
    <t>BENUE STATE UNIVERSITY</t>
  </si>
  <si>
    <t>07062637756</t>
  </si>
  <si>
    <t>204961865WACP357500093</t>
  </si>
  <si>
    <t>asuwetimothy@gmail.com</t>
  </si>
  <si>
    <t>ASUWE</t>
  </si>
  <si>
    <t>Timothy</t>
  </si>
  <si>
    <t>Terkula</t>
  </si>
  <si>
    <t>Opp bnarda quarters off gboko road makurdi</t>
  </si>
  <si>
    <t>VN Karazin Kharkov national university Ukraine</t>
  </si>
  <si>
    <t>09049702670</t>
  </si>
  <si>
    <t>245451866WACP236444393</t>
  </si>
  <si>
    <t>ishakubaba205@gmail.com</t>
  </si>
  <si>
    <t>BABA</t>
  </si>
  <si>
    <t>Azael</t>
  </si>
  <si>
    <t>BABA&amp;#039;S RESIDENCE BEHIND ALL SAINTS COLLEGE FEDERAL LOWCOST GOMBE</t>
  </si>
  <si>
    <t>FEDERAL TEACHING HOSPITAL GOMBE STATE</t>
  </si>
  <si>
    <t>08034797487</t>
  </si>
  <si>
    <t>196551867WACP522008572</t>
  </si>
  <si>
    <t>Arisekola1_a@yahoo.com</t>
  </si>
  <si>
    <t xml:space="preserve"> SHODIYA</t>
  </si>
  <si>
    <t>Azeez</t>
  </si>
  <si>
    <t>Arisekola</t>
  </si>
  <si>
    <t>10 Tijani street, off Moricas road, Agege, Lagos state.</t>
  </si>
  <si>
    <t>Lagos State University Teaching Hospital, Ikeja, Lagos state.</t>
  </si>
  <si>
    <t>2421868WACP777516355</t>
  </si>
  <si>
    <t>samuelatsen1000@gmail.com</t>
  </si>
  <si>
    <t>Edoh</t>
  </si>
  <si>
    <t>Plateau hospital doctor&amp;#039;s quarters</t>
  </si>
  <si>
    <t>Plateau Specialist Hospital Jos.</t>
  </si>
  <si>
    <t>07031551072</t>
  </si>
  <si>
    <t>245021869WACP422985650</t>
  </si>
  <si>
    <t>kkboy@rocketmail.com</t>
  </si>
  <si>
    <t>nura</t>
  </si>
  <si>
    <t>SSQ 1, General Hospital Danmusa</t>
  </si>
  <si>
    <t>07063228808</t>
  </si>
  <si>
    <t>245431870WACP751436076</t>
  </si>
  <si>
    <t>mammansalihu@yahoo.com</t>
  </si>
  <si>
    <t xml:space="preserve">MAMMAN </t>
  </si>
  <si>
    <t xml:space="preserve">salihu </t>
  </si>
  <si>
    <t>Federal medical center, Bida</t>
  </si>
  <si>
    <t>07037728200</t>
  </si>
  <si>
    <t>200511871WACP161974195</t>
  </si>
  <si>
    <t>onotublessing5@gmail.com</t>
  </si>
  <si>
    <t>ONOTU</t>
  </si>
  <si>
    <t>Ometere</t>
  </si>
  <si>
    <t>07065552745</t>
  </si>
  <si>
    <t>245061872WACP926292810</t>
  </si>
  <si>
    <t>psomhi@gmail.com</t>
  </si>
  <si>
    <t>IKHURIONAN</t>
  </si>
  <si>
    <t>ughiemosomhi</t>
  </si>
  <si>
    <t>pamela</t>
  </si>
  <si>
    <t>1, Osarobomwen, Street, Off Upper Lawani, Benin City, Edo State, Nigeria</t>
  </si>
  <si>
    <t>university of benin teaching hospital</t>
  </si>
  <si>
    <t>83101873WACP763553712</t>
  </si>
  <si>
    <t>uyossuccess@yahoo.com</t>
  </si>
  <si>
    <t>OFOH-OGHOUNU</t>
  </si>
  <si>
    <t>Uyoyou</t>
  </si>
  <si>
    <t>9 Prince Iweanya Ogeah Avenue, Back of McDons, Okpanam Road, Asaba, Delta State.</t>
  </si>
  <si>
    <t>Asaba Specialist Hospital, Asaba, Delta State</t>
  </si>
  <si>
    <t>08068561927</t>
  </si>
  <si>
    <t>202571874WACP367969382</t>
  </si>
  <si>
    <t>chinyereabigail610@gmail.com</t>
  </si>
  <si>
    <t xml:space="preserve">ADINLOFU </t>
  </si>
  <si>
    <t xml:space="preserve">Abigail </t>
  </si>
  <si>
    <t>Madonna University</t>
  </si>
  <si>
    <t>08166989159</t>
  </si>
  <si>
    <t>196711875WACP820601184</t>
  </si>
  <si>
    <t>talk2drkon@gmail.com</t>
  </si>
  <si>
    <t>OLUA</t>
  </si>
  <si>
    <t>Kingsley</t>
  </si>
  <si>
    <t>Umunna Layout phase 2,Ubomiri,Imo State</t>
  </si>
  <si>
    <t>Federal Teaching Hospital Owerri</t>
  </si>
  <si>
    <t>08038236357</t>
  </si>
  <si>
    <t>184891876WACP259345360</t>
  </si>
  <si>
    <t>Ogundejioluyemie@gmail.com</t>
  </si>
  <si>
    <t>OGUNDEJI</t>
  </si>
  <si>
    <t>oluyemi</t>
  </si>
  <si>
    <t xml:space="preserve">Enoch </t>
  </si>
  <si>
    <t>08069153201</t>
  </si>
  <si>
    <t>87511877WACP268476120</t>
  </si>
  <si>
    <t>usmanyunusamuhd@gmail.com</t>
  </si>
  <si>
    <t>MUHD</t>
  </si>
  <si>
    <t>FUTH, Lafia, Nasarawa State</t>
  </si>
  <si>
    <t>08061256666</t>
  </si>
  <si>
    <t>245281878WACP260602117</t>
  </si>
  <si>
    <t>rabaa@live.com</t>
  </si>
  <si>
    <t>Dantata</t>
  </si>
  <si>
    <t>Adawiyya</t>
  </si>
  <si>
    <t>Mahmud Ila</t>
  </si>
  <si>
    <t>None</t>
  </si>
  <si>
    <t>08079400330</t>
  </si>
  <si>
    <t>242061879WACP208525554</t>
  </si>
  <si>
    <t>uduakusanga@yahoo.com</t>
  </si>
  <si>
    <t>USANGA</t>
  </si>
  <si>
    <t>Ime</t>
  </si>
  <si>
    <t>DEPARTMENT OF COMMUNITY MEDICINE, UNIVERSITY OF UYO TEACHING HOSPITAL, UYO</t>
  </si>
  <si>
    <t>08023462817</t>
  </si>
  <si>
    <t>213641880WACP521798581</t>
  </si>
  <si>
    <t>brownemi@yahoo.com</t>
  </si>
  <si>
    <t>ENAHOLO</t>
  </si>
  <si>
    <t>Emike</t>
  </si>
  <si>
    <t>Adela</t>
  </si>
  <si>
    <t>713 sentinel crescent durumi Abuja</t>
  </si>
  <si>
    <t>08100532428</t>
  </si>
  <si>
    <t>244201881WACP70472408</t>
  </si>
  <si>
    <t>Nuraddeenbindawa@yahoo.com</t>
  </si>
  <si>
    <t>Nuraddeen</t>
  </si>
  <si>
    <t>Bindawa</t>
  </si>
  <si>
    <t>No. 29 Mashi Crescent Kofar Marusa Lowcost, Katsina</t>
  </si>
  <si>
    <t>08036538136</t>
  </si>
  <si>
    <t>13441882WACP345040030</t>
  </si>
  <si>
    <t>stanleyidun@gmail.com</t>
  </si>
  <si>
    <t>YAIDOO</t>
  </si>
  <si>
    <t xml:space="preserve">Stanley </t>
  </si>
  <si>
    <t>Kweku</t>
  </si>
  <si>
    <t>CG-0464-1418</t>
  </si>
  <si>
    <t xml:space="preserve">Awutu Senya East Municipal Health  Directorate </t>
  </si>
  <si>
    <t>0268843906</t>
  </si>
  <si>
    <t>GHWACP522107944</t>
  </si>
  <si>
    <t>charmingjummy@yahoo.com</t>
  </si>
  <si>
    <t xml:space="preserve">OLATUNJI </t>
  </si>
  <si>
    <t xml:space="preserve">Oluwatobiloba </t>
  </si>
  <si>
    <t>Opemipo</t>
  </si>
  <si>
    <t>Odore, off Egbejila, Ilorin</t>
  </si>
  <si>
    <t xml:space="preserve">University of Ilorin teaching hospital </t>
  </si>
  <si>
    <t>08055736700</t>
  </si>
  <si>
    <t>201171885WACP319499377</t>
  </si>
  <si>
    <t>shelenc8@yahoo.com</t>
  </si>
  <si>
    <t xml:space="preserve">OGUNFOWOKAN </t>
  </si>
  <si>
    <t xml:space="preserve">BLOCK 1A OBUDU ROAD PHASE I ESTATE KUJE ROAD GWAGWALADA FCT ABUJA </t>
  </si>
  <si>
    <t xml:space="preserve">UNIVERSITY OF ABUJA TEACHING HOSPITAL ABUJANG </t>
  </si>
  <si>
    <t>07032636620</t>
  </si>
  <si>
    <t>33641886WACP97835493</t>
  </si>
  <si>
    <t>Mohammadfatimahk@yahoo.com</t>
  </si>
  <si>
    <t>26911887WACP415564311</t>
  </si>
  <si>
    <t>jkonadu@ug.edu.gh</t>
  </si>
  <si>
    <t>KONADU</t>
  </si>
  <si>
    <t>Josephyne</t>
  </si>
  <si>
    <t>Bertha</t>
  </si>
  <si>
    <t>#10 Mensa Brodi Avenue</t>
  </si>
  <si>
    <t>University Hospital, Legon</t>
  </si>
  <si>
    <t>GHWACP262024403</t>
  </si>
  <si>
    <t>wlsnamuta@yahoo.com</t>
  </si>
  <si>
    <t>AMUTA</t>
  </si>
  <si>
    <t>D15 flat 1, 24th street, Games village, Abuja.</t>
  </si>
  <si>
    <t>+234(0)7038523400</t>
  </si>
  <si>
    <t>35471889WACP504835416</t>
  </si>
  <si>
    <t>aliyukhadeeja456@gmail.com</t>
  </si>
  <si>
    <t>House 14, 21 road kado estate abuja</t>
  </si>
  <si>
    <t>Nile university of nigeria</t>
  </si>
  <si>
    <t>243501890WACP148251385</t>
  </si>
  <si>
    <t xml:space="preserve">registration as a specialist in training is less than one month. </t>
  </si>
  <si>
    <t>onolivermbam@gmail.com</t>
  </si>
  <si>
    <t>ONWE</t>
  </si>
  <si>
    <t>oliver</t>
  </si>
  <si>
    <t>mbam C.</t>
  </si>
  <si>
    <t>F1, AEFUTHA 1 RESIDENTS&amp;#039; QUARTERS</t>
  </si>
  <si>
    <t>Alex-Ekwueme Federal University Teaching Hospital Abakaliki, Ebonyi State</t>
  </si>
  <si>
    <t>08030941425</t>
  </si>
  <si>
    <t>GHWACP490845916</t>
  </si>
  <si>
    <t>rthdarrah5@gmail.com</t>
  </si>
  <si>
    <t>CLOTTEY</t>
  </si>
  <si>
    <t>Yawa</t>
  </si>
  <si>
    <t>Ashaley Botwe</t>
  </si>
  <si>
    <t>0244595110</t>
  </si>
  <si>
    <t>GHWACP603507784</t>
  </si>
  <si>
    <t>No Registration as subspecialty/fellow in training</t>
  </si>
  <si>
    <t>buraky2k@gmail.com</t>
  </si>
  <si>
    <t>BURAK</t>
  </si>
  <si>
    <t>Nathaniel Yitamson</t>
  </si>
  <si>
    <t>ADJ LABOUR ESTATE TUMFURE,  GOMBE,  GOMBE STATE</t>
  </si>
  <si>
    <t>FEDERAL TEACHING HOSPITAL, GOMBE</t>
  </si>
  <si>
    <t>1951893WACP323348277</t>
  </si>
  <si>
    <t>brightestd2k@yahoo.co.uk</t>
  </si>
  <si>
    <t>UMUFO</t>
  </si>
  <si>
    <t>Akpesiri</t>
  </si>
  <si>
    <t xml:space="preserve">Federal Medical Center, Abeokuta, Ogun State </t>
  </si>
  <si>
    <t>07036410416</t>
  </si>
  <si>
    <t>69151894WACP901414679</t>
  </si>
  <si>
    <t>firdawsesh@gmail.com</t>
  </si>
  <si>
    <t>Firdausi</t>
  </si>
  <si>
    <t>Trevean Apartments, Jahi, Abuja</t>
  </si>
  <si>
    <t>DSS Medical Centre, Abuja</t>
  </si>
  <si>
    <t>08140889088</t>
  </si>
  <si>
    <t>218831895WACP378022683</t>
  </si>
  <si>
    <t>koholdennis@gmail.com</t>
  </si>
  <si>
    <t>KOHOL</t>
  </si>
  <si>
    <t xml:space="preserve">Terhemen </t>
  </si>
  <si>
    <t>Plot 884, Gwagwalada Expansion, Kutunku 2.</t>
  </si>
  <si>
    <t>47381896WACP569867947</t>
  </si>
  <si>
    <t>amehabdul@gmail.com</t>
  </si>
  <si>
    <t>AMEH</t>
  </si>
  <si>
    <t>Abdul</t>
  </si>
  <si>
    <t xml:space="preserve"> UNIVERSITY OF ABUJA TEACHING HOSPITAL GWAGWALADA FCT</t>
  </si>
  <si>
    <t>casebookdissert</t>
  </si>
  <si>
    <t>12531897WACP268513854</t>
  </si>
  <si>
    <t>pharmacophiliac@gmail.com</t>
  </si>
  <si>
    <t>Babajide</t>
  </si>
  <si>
    <t>Oladapo</t>
  </si>
  <si>
    <t>Block 33, Shomolu Avenue, Dolphin Estate, Ikoyi, Lagos</t>
  </si>
  <si>
    <t>General Hospital, Odan, Lagos</t>
  </si>
  <si>
    <t>229671898WACP103494892</t>
  </si>
  <si>
    <t>finiuzo@gmail.com</t>
  </si>
  <si>
    <t xml:space="preserve">AKUBUEZE </t>
  </si>
  <si>
    <t>Fyne</t>
  </si>
  <si>
    <t xml:space="preserve">Department of Community Medicine, Federal Medical Centre, Owo </t>
  </si>
  <si>
    <t>Federal Medical Centre, Owo</t>
  </si>
  <si>
    <t>08032579040</t>
  </si>
  <si>
    <t>212861899WACP236934619</t>
  </si>
  <si>
    <t>ebunlomosigri@gmail.com</t>
  </si>
  <si>
    <t>IGRI</t>
  </si>
  <si>
    <t xml:space="preserve">Ebunlomo </t>
  </si>
  <si>
    <t xml:space="preserve">University of Uyo Teaching Hospital, Uyo, Akwa ibom state, P.M.B 1136, Uyo, Akwa ibom state </t>
  </si>
  <si>
    <t>University of Uyo Teaching Hospital, Uyo, Akwa ibom state, P.M.B 1136,</t>
  </si>
  <si>
    <t>69291900WACP369714797</t>
  </si>
  <si>
    <t>zuma4sumy2017@gmail.com</t>
  </si>
  <si>
    <t>Zaharadeen</t>
  </si>
  <si>
    <t>Abbas</t>
  </si>
  <si>
    <t>Federal Neuropsychiatric Hospital, PMB 1322 Baga road maiduguri</t>
  </si>
  <si>
    <t>Federal Neuropsychiatric Hospital,  Maiduguri</t>
  </si>
  <si>
    <t>08034829086</t>
  </si>
  <si>
    <t>193451901WACP416310859</t>
  </si>
  <si>
    <t>usmanolatoyekehinde@gmail.com</t>
  </si>
  <si>
    <t>OLATOYE</t>
  </si>
  <si>
    <t>kehinde</t>
  </si>
  <si>
    <t>usman</t>
  </si>
  <si>
    <t>FEDERAL TEACHING HOSPITAL, KATSINA</t>
  </si>
  <si>
    <t>07036101723</t>
  </si>
  <si>
    <t>59681902WACP961929338</t>
  </si>
  <si>
    <t>jonahsantosjoshua@gmail.com</t>
  </si>
  <si>
    <t>JOSHUA</t>
  </si>
  <si>
    <t>Jonah</t>
  </si>
  <si>
    <t>Chawai</t>
  </si>
  <si>
    <t>LOW COST NGURU YOBE STATE</t>
  </si>
  <si>
    <t>FEDERAL MEDICAL CENTRE NGURU YOBE STATE</t>
  </si>
  <si>
    <t>218781903WACP981332928</t>
  </si>
  <si>
    <t>anintamusa447@gmail.com</t>
  </si>
  <si>
    <t>Aninta</t>
  </si>
  <si>
    <t>Florence</t>
  </si>
  <si>
    <t>NO 2B YETSON SCHOOL STREET, MAHUTA KADUNA,</t>
  </si>
  <si>
    <t>Kaduna State University, Kaduna</t>
  </si>
  <si>
    <t>09076343569</t>
  </si>
  <si>
    <t>245481904WACP760334069</t>
  </si>
  <si>
    <t>oluwaseyisadeojo@yahoo.com</t>
  </si>
  <si>
    <t>OJO</t>
  </si>
  <si>
    <t>Folasade</t>
  </si>
  <si>
    <t>Department of Community Medicine, University College Hospital, Ibadan, Oyo State, Nigeria</t>
  </si>
  <si>
    <t>University College Hospital, Ibadan, Oyo State, Nigeria</t>
  </si>
  <si>
    <t>08056160878</t>
  </si>
  <si>
    <t>106531905WACP359334467</t>
  </si>
  <si>
    <t>chritomil@yahoo.com</t>
  </si>
  <si>
    <t>JONES</t>
  </si>
  <si>
    <t>Christine Mildred</t>
  </si>
  <si>
    <t>22A Green Lane , Freetown</t>
  </si>
  <si>
    <t>Ministry of Health</t>
  </si>
  <si>
    <t>245241906WACP334122223</t>
  </si>
  <si>
    <t>chumamaduka@yahoo.com</t>
  </si>
  <si>
    <t>MADUKA</t>
  </si>
  <si>
    <t>dept of medicineNAUTH NNEWIAnambra state</t>
  </si>
  <si>
    <t>Nnamdi azikiwe university teaching hospital Nnewi</t>
  </si>
  <si>
    <t>08037433621</t>
  </si>
  <si>
    <t>8631907WACP964971204</t>
  </si>
  <si>
    <t>gloriajoseph058@gmail.com</t>
  </si>
  <si>
    <t xml:space="preserve">ENEJO </t>
  </si>
  <si>
    <t xml:space="preserve">University of Abuja teaching hospital, Gwagwalada Abuja </t>
  </si>
  <si>
    <t>93251908WACP944911059</t>
  </si>
  <si>
    <t>onyekachukwuka102@gmail.com</t>
  </si>
  <si>
    <t>AKWUOBI</t>
  </si>
  <si>
    <t>Onyeka</t>
  </si>
  <si>
    <t>Andrew</t>
  </si>
  <si>
    <t>Udobi Avenue iruozobia village Ikenga-Umueri</t>
  </si>
  <si>
    <t>Chukwuemeka Odumegwu Ojukwu University Teaching Hospital Awka</t>
  </si>
  <si>
    <t>07036381079</t>
  </si>
  <si>
    <t>223541909WACP252379290</t>
  </si>
  <si>
    <t>bilyaminuusman@gmail.com</t>
  </si>
  <si>
    <t>Bilyaminu</t>
  </si>
  <si>
    <t>Grema</t>
  </si>
  <si>
    <t>Fori, Maiduguri Borno State</t>
  </si>
  <si>
    <t>100621910WACP778890349</t>
  </si>
  <si>
    <t>origbolazarus@gmail.com</t>
  </si>
  <si>
    <t>ORIGBO</t>
  </si>
  <si>
    <t xml:space="preserve">Lazarus </t>
  </si>
  <si>
    <t>Chinaemerem</t>
  </si>
  <si>
    <t>Federal Medical Centre,Asaba,  Delta State</t>
  </si>
  <si>
    <t>FMC Asaba</t>
  </si>
  <si>
    <t>07030251955</t>
  </si>
  <si>
    <t>37921911WACP493507285</t>
  </si>
  <si>
    <t>ogilialoysuis@gmail.com</t>
  </si>
  <si>
    <t>OGILI</t>
  </si>
  <si>
    <t>Aloysius</t>
  </si>
  <si>
    <t>Ebubechukwu</t>
  </si>
  <si>
    <t>87B Olonode street,Alagomeji,Yaba,Lagos</t>
  </si>
  <si>
    <t>Regis &amp;amp; Reina hospital</t>
  </si>
  <si>
    <t>09124740856</t>
  </si>
  <si>
    <t>242391913WACP163936057</t>
  </si>
  <si>
    <t>medkan09@gmail.com</t>
  </si>
  <si>
    <t>KANNEH</t>
  </si>
  <si>
    <t>Mohamed</t>
  </si>
  <si>
    <t>Osman</t>
  </si>
  <si>
    <t>1 Hill Cot Road Junction Wilberforce, Freetown Sierra Leone</t>
  </si>
  <si>
    <t>Ola During Children&amp;#039;s Hospital Freetown</t>
  </si>
  <si>
    <t>244811914WACP20784458</t>
  </si>
  <si>
    <t>drawolesisl@gmail.com</t>
  </si>
  <si>
    <t>AWOLESI</t>
  </si>
  <si>
    <t>samsideen</t>
  </si>
  <si>
    <t>lekan</t>
  </si>
  <si>
    <t>General Hospital (Odan), Lagos</t>
  </si>
  <si>
    <t>102461915WACP196420818</t>
  </si>
  <si>
    <t>idoakpan@yahoo.com</t>
  </si>
  <si>
    <t>AKPAN</t>
  </si>
  <si>
    <t>Ido</t>
  </si>
  <si>
    <t>Community Medicine Department, UPTH, Port Harcourt</t>
  </si>
  <si>
    <t>83031916WACP427881600</t>
  </si>
  <si>
    <t>Chigozieokoroafo@gmail.com</t>
  </si>
  <si>
    <t>OKOROAFO</t>
  </si>
  <si>
    <t>Chigozie</t>
  </si>
  <si>
    <t>Stanley</t>
  </si>
  <si>
    <t>7 George Echebelem ave</t>
  </si>
  <si>
    <t>08166290538</t>
  </si>
  <si>
    <t>242231917WACP927519554</t>
  </si>
  <si>
    <t>lokeyawest@yahoo.com</t>
  </si>
  <si>
    <t>ARTHUR-KENNEDY</t>
  </si>
  <si>
    <t>NICU, Department of Child Health</t>
  </si>
  <si>
    <t>GHWACP358984719</t>
  </si>
  <si>
    <t>ekechiamadi@yahoo.com</t>
  </si>
  <si>
    <t>Ekechi</t>
  </si>
  <si>
    <t>5/13 Chief Johnson Amadi street formerly Igbodo</t>
  </si>
  <si>
    <t>08032790394</t>
  </si>
  <si>
    <t>7271919WACP578759926</t>
  </si>
  <si>
    <t>preciouspromise4ever@gmail.com</t>
  </si>
  <si>
    <t>UBOM</t>
  </si>
  <si>
    <t>Enwongo</t>
  </si>
  <si>
    <t>POBOX549</t>
  </si>
  <si>
    <t>Bingham University Teaching Hospital, Jos</t>
  </si>
  <si>
    <t>08148182522</t>
  </si>
  <si>
    <t>101701920WACP928205125</t>
  </si>
  <si>
    <t>emmalite789@yahoo.com</t>
  </si>
  <si>
    <t>ADIASANI</t>
  </si>
  <si>
    <t>KODZO ELIKEM</t>
  </si>
  <si>
    <t>0245049364</t>
  </si>
  <si>
    <t>37 Military Hospital</t>
  </si>
  <si>
    <t>0201478662</t>
  </si>
  <si>
    <t>231771921WACP658799592</t>
  </si>
  <si>
    <t>falmatabukaraliyu20@gmail.com</t>
  </si>
  <si>
    <t>BUKAR</t>
  </si>
  <si>
    <t>Falmata</t>
  </si>
  <si>
    <t>DOCTORS QUARTER&amp;#039;S BULUMKUTU MAIDUGURI</t>
  </si>
  <si>
    <t xml:space="preserve">UNIVERSITY OF MAIDUGURI TEACHING HOSPITAL </t>
  </si>
  <si>
    <t>08062351426</t>
  </si>
  <si>
    <t>228761922WACP963327982</t>
  </si>
  <si>
    <t>jovitaokpor@yahoo.com</t>
  </si>
  <si>
    <t>OKPOR</t>
  </si>
  <si>
    <t>Jovita</t>
  </si>
  <si>
    <t>Oluchukwu</t>
  </si>
  <si>
    <t>FEDERAL UNIVERSITY TEACHING HOSPITAL OWERRI</t>
  </si>
  <si>
    <t>216781923WACP221829196</t>
  </si>
  <si>
    <t>Form C signed in 2019 is not acceptable. Revision and ethics certificates of 2011 are expired. This candidate is advised to attend the next update and ethics courses before the next exams and fill a fresh form C.</t>
  </si>
  <si>
    <t>Jaazykane@yahoo.co.uk</t>
  </si>
  <si>
    <t>UFFIAH</t>
  </si>
  <si>
    <t>okpan</t>
  </si>
  <si>
    <t>Kanu</t>
  </si>
  <si>
    <t>15 eke Effiong nta street. Calabar. Cross river .</t>
  </si>
  <si>
    <t>18691924WACP283756618</t>
  </si>
  <si>
    <t>allisonochigbo@gmail.com</t>
  </si>
  <si>
    <t>Ogbodo</t>
  </si>
  <si>
    <t xml:space="preserve">Allison </t>
  </si>
  <si>
    <t xml:space="preserve">Ogwa </t>
  </si>
  <si>
    <t>No 15 Royal Palm Villa Sangotedo Lagos</t>
  </si>
  <si>
    <t>University of Jos, Plateau State</t>
  </si>
  <si>
    <t>67111925WACP214674078</t>
  </si>
  <si>
    <t>chivic886@gmail.com</t>
  </si>
  <si>
    <t xml:space="preserve">EZENWATA </t>
  </si>
  <si>
    <t>No. 2 oluwatosin Street Adams Estate, Ikotun Egbe, Lagos State</t>
  </si>
  <si>
    <t>Nnamdi Azikiwe University Awka</t>
  </si>
  <si>
    <t>08038947772</t>
  </si>
  <si>
    <t>244961926WACP405729486</t>
  </si>
  <si>
    <t>eleojo4u89@gmail.com</t>
  </si>
  <si>
    <t>AGBADI</t>
  </si>
  <si>
    <t>Eleojo</t>
  </si>
  <si>
    <t>51921927WACP48220707</t>
  </si>
  <si>
    <t>pamelakorubo@gmail.com</t>
  </si>
  <si>
    <t>KORUBO</t>
  </si>
  <si>
    <t xml:space="preserve">Sarah </t>
  </si>
  <si>
    <t>Soibi</t>
  </si>
  <si>
    <t>No 21 Ohiamini Street, off Olu Obasanjo road, GRA phase III Port Harcourt Nigeria</t>
  </si>
  <si>
    <t>07032911609</t>
  </si>
  <si>
    <t>57341928WACP589007128</t>
  </si>
  <si>
    <t>chidimmaokochi@gmail.com</t>
  </si>
  <si>
    <t xml:space="preserve">OKOCHI </t>
  </si>
  <si>
    <t xml:space="preserve">CHIDIMMA </t>
  </si>
  <si>
    <t>PEDIATRICS DEPARTMENT, ESUT TEACHING HOSPITAL PARKLANE ENUGU.</t>
  </si>
  <si>
    <t>ENUGU STATE UNIVERSITY OF SCIENCE AND TECHNOLOGY</t>
  </si>
  <si>
    <t>112151929WACP342973548</t>
  </si>
  <si>
    <t>dladyempire@gmail.com</t>
  </si>
  <si>
    <t>ANDOH WILLIAMS</t>
  </si>
  <si>
    <t>Lady Eunice</t>
  </si>
  <si>
    <t>Cocoa Street Tseaddo</t>
  </si>
  <si>
    <t>Lekma Hospital</t>
  </si>
  <si>
    <t>0544104684</t>
  </si>
  <si>
    <t>GHWACP245561930</t>
  </si>
  <si>
    <t>alexmary219@gmail.com</t>
  </si>
  <si>
    <t>ALEX</t>
  </si>
  <si>
    <t>Edwina</t>
  </si>
  <si>
    <t>Idahosa</t>
  </si>
  <si>
    <t>No. 2 Mariam Pam drive, Rayfield, Jos</t>
  </si>
  <si>
    <t>College of Health Sciences, Bingham University</t>
  </si>
  <si>
    <t>07034805714</t>
  </si>
  <si>
    <t>245581931WACP629669244</t>
  </si>
  <si>
    <t>peteraruwa@gmail.com</t>
  </si>
  <si>
    <t>Aruwa</t>
  </si>
  <si>
    <t>Abdulrasaq</t>
  </si>
  <si>
    <t>Kilometer 46, Lagos-Ibadan Expressway Redemption Camp</t>
  </si>
  <si>
    <t>Redeemer&amp;#039;s Medical Centre</t>
  </si>
  <si>
    <t>09067008473</t>
  </si>
  <si>
    <t>243391932WACP885744586</t>
  </si>
  <si>
    <t>egheidusuyi@yahoo.com</t>
  </si>
  <si>
    <t>EGHE</t>
  </si>
  <si>
    <t>ASIMEGBE</t>
  </si>
  <si>
    <t xml:space="preserve">  </t>
  </si>
  <si>
    <t>08023312618</t>
  </si>
  <si>
    <t>32181933WACP78278633</t>
  </si>
  <si>
    <t>ukwuaniprecious@gmail.com</t>
  </si>
  <si>
    <t>UKWUANI</t>
  </si>
  <si>
    <t>Oluchi</t>
  </si>
  <si>
    <t>no 17 trinity avenue independence layout, enugu state, Nigeria</t>
  </si>
  <si>
    <t>Enugu State University of Science and Technology, Esut</t>
  </si>
  <si>
    <t>08020502391</t>
  </si>
  <si>
    <t>245591934WACP830530401</t>
  </si>
  <si>
    <t>anidiemma@gmail.com</t>
  </si>
  <si>
    <t>ANIDI</t>
  </si>
  <si>
    <t xml:space="preserve">Ejiro </t>
  </si>
  <si>
    <t xml:space="preserve">Federal medical centre P.M.B 1033 Asaba Delta State Nigeria. </t>
  </si>
  <si>
    <t>Federal Medical centre Asaba Delta State Nigeria</t>
  </si>
  <si>
    <t>08134041837</t>
  </si>
  <si>
    <t>38631935WACP438462015</t>
  </si>
  <si>
    <t>victoriashittu2022@gmail.com</t>
  </si>
  <si>
    <t>SHITTU</t>
  </si>
  <si>
    <t>Plot 5B, Kemta-Apakila</t>
  </si>
  <si>
    <t>Obafemi Awolowo University</t>
  </si>
  <si>
    <t>08134858887</t>
  </si>
  <si>
    <t>245661936WACP474453938</t>
  </si>
  <si>
    <t>preciousonyeonuhilary@gmail.com</t>
  </si>
  <si>
    <t>ONYEONU-HILARY</t>
  </si>
  <si>
    <t xml:space="preserve">Precious </t>
  </si>
  <si>
    <t>Department of Anatomical Pathology,University of Portharcourt Teaching Hospital,Rivers State</t>
  </si>
  <si>
    <t>09092688511</t>
  </si>
  <si>
    <t>67231937WACP30278174</t>
  </si>
  <si>
    <t>akosuaampomahdickson@gmail.com</t>
  </si>
  <si>
    <t>DICKSON</t>
  </si>
  <si>
    <t>Ampomah</t>
  </si>
  <si>
    <t>Ga East Municipal Assembly</t>
  </si>
  <si>
    <t>0548907458</t>
  </si>
  <si>
    <t>GHWACP272569464</t>
  </si>
  <si>
    <t>ayinbisa.md@gmail.com</t>
  </si>
  <si>
    <t>AMANKWA</t>
  </si>
  <si>
    <t>Ayinbisa</t>
  </si>
  <si>
    <t>P.  O. Box YK 702, Kanda</t>
  </si>
  <si>
    <t>GHWACP710097754</t>
  </si>
  <si>
    <t>Hadizamuhammedumar@gmail.com</t>
  </si>
  <si>
    <t>Badawa layout</t>
  </si>
  <si>
    <t>National university sudan</t>
  </si>
  <si>
    <t>08068675486</t>
  </si>
  <si>
    <t>229551940WACP771752595</t>
  </si>
  <si>
    <t>sulearems@yahoo.com</t>
  </si>
  <si>
    <t>AREMU</t>
  </si>
  <si>
    <t xml:space="preserve">sulaiman </t>
  </si>
  <si>
    <t>kayode</t>
  </si>
  <si>
    <t>56131941WACP462974253</t>
  </si>
  <si>
    <t>etongo2@yahoo.com</t>
  </si>
  <si>
    <t>TONGO</t>
  </si>
  <si>
    <t>Esosa</t>
  </si>
  <si>
    <t>Sarah</t>
  </si>
  <si>
    <t>10 Unity close, Alalubosa GRA Extension, Ibadan</t>
  </si>
  <si>
    <t>Olabisi onabanjo university teaching hospital</t>
  </si>
  <si>
    <t>08077916251</t>
  </si>
  <si>
    <t>240611942WACP718985062</t>
  </si>
  <si>
    <t>matildageyhey@yahoo.com</t>
  </si>
  <si>
    <t>ASIEDU</t>
  </si>
  <si>
    <t>Matilda</t>
  </si>
  <si>
    <t>Harmoah</t>
  </si>
  <si>
    <t>GN-0544-9953, P.O.Box CO 4172</t>
  </si>
  <si>
    <t>GHWACP279944875</t>
  </si>
  <si>
    <t>nnennaibeh@yahoo.co.uk</t>
  </si>
  <si>
    <t xml:space="preserve">CHUKWUDINMA </t>
  </si>
  <si>
    <t>Nene</t>
  </si>
  <si>
    <t xml:space="preserve">Plot C5 Harmony Estate Galadimawa Abuja </t>
  </si>
  <si>
    <t>90491944WACP856220631</t>
  </si>
  <si>
    <t>htghpost@gmail.com</t>
  </si>
  <si>
    <t>ARYEETEY</t>
  </si>
  <si>
    <t>Naa Sakley</t>
  </si>
  <si>
    <t>No.1 Ofin Lane, Asylum Down, Accra, Ghana</t>
  </si>
  <si>
    <t>Upper West Regional Hospital</t>
  </si>
  <si>
    <t>GHWACP66848123</t>
  </si>
  <si>
    <t>martintettey28@gmail.com</t>
  </si>
  <si>
    <t xml:space="preserve">TETTEY </t>
  </si>
  <si>
    <t>Martin</t>
  </si>
  <si>
    <t xml:space="preserve">Nii Aryee </t>
  </si>
  <si>
    <t>P.O. Box 2854,  Accra</t>
  </si>
  <si>
    <t xml:space="preserve">020 852 3674 </t>
  </si>
  <si>
    <t>GHWACP857632496</t>
  </si>
  <si>
    <t>kemakolamkingsley74@gmail.com</t>
  </si>
  <si>
    <t>NWAMARA</t>
  </si>
  <si>
    <t>Kemakolam</t>
  </si>
  <si>
    <t>Azaraowalla Emekuku, Owerri North LGA, Imo State</t>
  </si>
  <si>
    <t>Federal Teaching Hospital (FTH) Owerri, Imo State</t>
  </si>
  <si>
    <t>08142909644</t>
  </si>
  <si>
    <t>245731947WACP537934982</t>
  </si>
  <si>
    <t>maniruyusuf.alr@gmail.com</t>
  </si>
  <si>
    <t>MANIRU</t>
  </si>
  <si>
    <t>Mallam YUSUF HOUSE, MALLAMAWA AREA, ALIERO, ALIERO LGA, KEBBI STATE.L</t>
  </si>
  <si>
    <t>USMANU DANFODIYO UNIVERSITY SOKOTO</t>
  </si>
  <si>
    <t>08162062487</t>
  </si>
  <si>
    <t>245691948WACP189042499</t>
  </si>
  <si>
    <t>ichematiowhor@gmail.com</t>
  </si>
  <si>
    <t>OWHOR</t>
  </si>
  <si>
    <t>Ichemati</t>
  </si>
  <si>
    <t>Ezebunwo</t>
  </si>
  <si>
    <t>11 Ilom road woji port harcourt rivers state</t>
  </si>
  <si>
    <t>Neuropsychiatric hospital Rumuigbo Port harcourt Rivers state</t>
  </si>
  <si>
    <t>07038069035</t>
  </si>
  <si>
    <t>243451949WACP197401171</t>
  </si>
  <si>
    <t>elorm.sandra@yahoo.com</t>
  </si>
  <si>
    <t>NUTEKPOR</t>
  </si>
  <si>
    <t>Elorm</t>
  </si>
  <si>
    <t>p.o.box 18953</t>
  </si>
  <si>
    <t>Accra psychiatric hospital</t>
  </si>
  <si>
    <t>0206946104</t>
  </si>
  <si>
    <t>GHWACP817088418</t>
  </si>
  <si>
    <t>sapsissofly@gmail.com</t>
  </si>
  <si>
    <t>OLISA</t>
  </si>
  <si>
    <t>ochiagha</t>
  </si>
  <si>
    <t>............</t>
  </si>
  <si>
    <t>usmanu danfodiyo university teaching hospital</t>
  </si>
  <si>
    <t>17581951WACP444079366</t>
  </si>
  <si>
    <t>KazussahJ@gmail.com</t>
  </si>
  <si>
    <t>KAZUSSAH</t>
  </si>
  <si>
    <t>Bugri</t>
  </si>
  <si>
    <t>28 Bougain Street</t>
  </si>
  <si>
    <t>0533169179</t>
  </si>
  <si>
    <t>GHWACP684271831</t>
  </si>
  <si>
    <t>akintola.oluwatoyin@yahoo.com</t>
  </si>
  <si>
    <t>Akintola</t>
  </si>
  <si>
    <t>Oluwatoyin</t>
  </si>
  <si>
    <t>No 2, Road B, Zone C, Agbati, Alakia, Ibadan</t>
  </si>
  <si>
    <t>08156469166</t>
  </si>
  <si>
    <t>240351953WACP826517128</t>
  </si>
  <si>
    <t>aishagumsu@gmail.com</t>
  </si>
  <si>
    <t>GUMSU</t>
  </si>
  <si>
    <t>Economic and financial crimes commission</t>
  </si>
  <si>
    <t>07068919947</t>
  </si>
  <si>
    <t>245641954WACP578257890</t>
  </si>
  <si>
    <t>afrifa188@gmail.com</t>
  </si>
  <si>
    <t>BRAKO</t>
  </si>
  <si>
    <t>Richmond</t>
  </si>
  <si>
    <t>Afrifa</t>
  </si>
  <si>
    <t>Eastern Regional Hospital. Post Office Box 201</t>
  </si>
  <si>
    <t>Eastern Regional Hospital</t>
  </si>
  <si>
    <t>0546444567</t>
  </si>
  <si>
    <t>GHWACP936400409</t>
  </si>
  <si>
    <t>jahidnusi@gmail.com</t>
  </si>
  <si>
    <t>Mujahid</t>
  </si>
  <si>
    <t>sharada phase 1 gp963/6 along hisbah secreteriat kano., uba bank</t>
  </si>
  <si>
    <t>35221956WACP299123026</t>
  </si>
  <si>
    <t>banjiheights@gmail.com</t>
  </si>
  <si>
    <t>APATA</t>
  </si>
  <si>
    <t>Banji</t>
  </si>
  <si>
    <t>Sylvester</t>
  </si>
  <si>
    <t>House 1, Road 509, Abayomi Estate, Ibadan, Oyo State, Nigeria</t>
  </si>
  <si>
    <t>University College Hospital, UCH, Ibadan, Oyo State, Nigeria</t>
  </si>
  <si>
    <t>245751957WACP945292313</t>
  </si>
  <si>
    <t>abdulmuminyabo@gmail.com</t>
  </si>
  <si>
    <t>TAMBARI</t>
  </si>
  <si>
    <t>Abdulmumin</t>
  </si>
  <si>
    <t>Bado quarters area sokoto</t>
  </si>
  <si>
    <t>Ministry of Health sokoto</t>
  </si>
  <si>
    <t>245681958WACP124846150</t>
  </si>
  <si>
    <t>mgkambaza@gmail.com</t>
  </si>
  <si>
    <t>Muhd Gazali</t>
  </si>
  <si>
    <t>Behind Ali Bagudo residence, Badariya area, Birnin kebbi, kebbi state</t>
  </si>
  <si>
    <t>Kebbi state teaching hospital, Birnin kebbi</t>
  </si>
  <si>
    <t>08031510596</t>
  </si>
  <si>
    <t>245741959WACP238541235</t>
  </si>
  <si>
    <t>ka_twum@hotmail.com</t>
  </si>
  <si>
    <t>TWUM</t>
  </si>
  <si>
    <t>Amankwah</t>
  </si>
  <si>
    <t>Djarbleo Street, Dansoman</t>
  </si>
  <si>
    <t>Korle-Bu Teaching Hospital</t>
  </si>
  <si>
    <t>0209038676</t>
  </si>
  <si>
    <t>GHWACP929575314</t>
  </si>
  <si>
    <t>nnamdiokpara4@gmail.com</t>
  </si>
  <si>
    <t>OKPARA</t>
  </si>
  <si>
    <t>Increase</t>
  </si>
  <si>
    <t>House 4, Flat 1, road M, off New road/Mgbaraja, PH, Rivers State</t>
  </si>
  <si>
    <t>University of Port Harcourt Teaching Hospital</t>
  </si>
  <si>
    <t>08071065978</t>
  </si>
  <si>
    <t>240021961WACP825655453</t>
  </si>
  <si>
    <t>velmacquaah@gmail.com</t>
  </si>
  <si>
    <t>ACQUAAH</t>
  </si>
  <si>
    <t>Velma</t>
  </si>
  <si>
    <t>Aba Darkoa</t>
  </si>
  <si>
    <t>P.O.Box 519,Takoradi WR</t>
  </si>
  <si>
    <t>0547852924</t>
  </si>
  <si>
    <t>GHWACP689184345</t>
  </si>
  <si>
    <t>aniPerp7@gmail.com</t>
  </si>
  <si>
    <t>ANIAH</t>
  </si>
  <si>
    <t>Perpetual</t>
  </si>
  <si>
    <t>Ayineboe</t>
  </si>
  <si>
    <t>Tamale West Hospital</t>
  </si>
  <si>
    <t>GHWACP594427890</t>
  </si>
  <si>
    <t>ajayivt@yahoo.com</t>
  </si>
  <si>
    <t>AKIN-DOSUMU</t>
  </si>
  <si>
    <t>Toyosi</t>
  </si>
  <si>
    <t>No 4 Foyeke Close Basin Road, Ilorin</t>
  </si>
  <si>
    <t>LAUTECH Teaching Hospital Ogbomoso</t>
  </si>
  <si>
    <t>86351964WACP185238556</t>
  </si>
  <si>
    <t>jemimah.ayippey@gmail.com</t>
  </si>
  <si>
    <t>ASOMANI</t>
  </si>
  <si>
    <t>Jemimah</t>
  </si>
  <si>
    <t>P.O Box CE 11021, Tema Comm.11</t>
  </si>
  <si>
    <t>0243220218</t>
  </si>
  <si>
    <t>GHWACP497082094</t>
  </si>
  <si>
    <t>achinkokdominic@gmail.com</t>
  </si>
  <si>
    <t>ACHINKOK</t>
  </si>
  <si>
    <t>Dominic</t>
  </si>
  <si>
    <t>Upper East Region, Box 26. Bolgatanga</t>
  </si>
  <si>
    <t>Upper East Regional Hospital-Bolgatanga</t>
  </si>
  <si>
    <t>0245372244</t>
  </si>
  <si>
    <t>GHWACP677620347</t>
  </si>
  <si>
    <t>hbabakura@gmail.com</t>
  </si>
  <si>
    <t xml:space="preserve">BABAKURA </t>
  </si>
  <si>
    <t>Damasak</t>
  </si>
  <si>
    <t>University of Maiduguri teaching hospital</t>
  </si>
  <si>
    <t>University of  Maiduguri teaching hospital</t>
  </si>
  <si>
    <t>07064519472</t>
  </si>
  <si>
    <t>204201967WACP442811940</t>
  </si>
  <si>
    <t>arabawilliams@gmail.com</t>
  </si>
  <si>
    <t xml:space="preserve">Williams </t>
  </si>
  <si>
    <t>Lovia</t>
  </si>
  <si>
    <t>Araba</t>
  </si>
  <si>
    <t>CC-260-0608</t>
  </si>
  <si>
    <t xml:space="preserve">0265605359 </t>
  </si>
  <si>
    <t>GHWACP454852093</t>
  </si>
  <si>
    <t>onyi4lix@gmail.com</t>
  </si>
  <si>
    <t>OMUMU</t>
  </si>
  <si>
    <t>Onyiye</t>
  </si>
  <si>
    <t>Georgian</t>
  </si>
  <si>
    <t>60A Charles Street Agbor, Delta State</t>
  </si>
  <si>
    <t>78901969WACP945129246</t>
  </si>
  <si>
    <t>zahrajibreel02@gmail.com</t>
  </si>
  <si>
    <t>JIBRIL</t>
  </si>
  <si>
    <t>Yakub</t>
  </si>
  <si>
    <t xml:space="preserve">No 19 Doctors Quarters Bololo, Maiduguri, Borno State, Nigeria. </t>
  </si>
  <si>
    <t>University of Maiduguri Teaching Hospital (UMTH)</t>
  </si>
  <si>
    <t>08100264444</t>
  </si>
  <si>
    <t>237801970WACP571682007</t>
  </si>
  <si>
    <t>maametyelbert@gmail.com</t>
  </si>
  <si>
    <t>YELBERT</t>
  </si>
  <si>
    <t xml:space="preserve">Maame Tanoa </t>
  </si>
  <si>
    <t xml:space="preserve">Gbetsile </t>
  </si>
  <si>
    <t>0553705741</t>
  </si>
  <si>
    <t>GHWACP902819237</t>
  </si>
  <si>
    <t>dr.adomba2010@gmail.com</t>
  </si>
  <si>
    <t>SASU</t>
  </si>
  <si>
    <t>Kwesi</t>
  </si>
  <si>
    <t>43, Frank Gilbert Street, Tesano, Accra-Ghana</t>
  </si>
  <si>
    <t>0264354479</t>
  </si>
  <si>
    <t>GHWACP380676517</t>
  </si>
  <si>
    <t>frimpongakosua90@gmail.com</t>
  </si>
  <si>
    <t>OKPELOR ABLORH SOWAH STREET, Nmai Dzor</t>
  </si>
  <si>
    <t>ST ANDREWS CLINIC</t>
  </si>
  <si>
    <t>0247700088</t>
  </si>
  <si>
    <t>GHWACP363422470</t>
  </si>
  <si>
    <t>comfortobarein@gmail.com</t>
  </si>
  <si>
    <t>OBAREIN</t>
  </si>
  <si>
    <t>Ekpen</t>
  </si>
  <si>
    <t>Comfort</t>
  </si>
  <si>
    <t>No. 9 Eke Ita Street, Asari Eso Layout, off Marian, Calabar, Cross River State, Nigeria</t>
  </si>
  <si>
    <t>University of Calabar Teaching Hospital, Calabar, Cross River State, Nigeria</t>
  </si>
  <si>
    <t>08164119725</t>
  </si>
  <si>
    <t>245621974WACP135926869</t>
  </si>
  <si>
    <t>folaranmiabidoye@gmail.com</t>
  </si>
  <si>
    <t xml:space="preserve">ABIDOYE </t>
  </si>
  <si>
    <t xml:space="preserve">Folaranmi </t>
  </si>
  <si>
    <t xml:space="preserve">Federal medical center, PMB 02 Machina road Nguru Yobe state </t>
  </si>
  <si>
    <t xml:space="preserve">Federal medical center, Nguru </t>
  </si>
  <si>
    <t>07068503622</t>
  </si>
  <si>
    <t>196121975WACP55727517</t>
  </si>
  <si>
    <t>harrison.m.edokpayi@gmail.com</t>
  </si>
  <si>
    <t>17, Omosun Street, Off Benin Auchi Road, Urora, Benin City.</t>
  </si>
  <si>
    <t>08080953962</t>
  </si>
  <si>
    <t>192421976WACP103011191</t>
  </si>
  <si>
    <t>feyikemiolabisi@gmail.com</t>
  </si>
  <si>
    <t>Oluwafeyikemi</t>
  </si>
  <si>
    <t>Olufunke</t>
  </si>
  <si>
    <t>24, Social sciences road, Unilag estate</t>
  </si>
  <si>
    <t>University of Szeged, Hungary</t>
  </si>
  <si>
    <t>07011251140</t>
  </si>
  <si>
    <t>245031977WACP401362209</t>
  </si>
  <si>
    <t>adegoremains@yahoo.com</t>
  </si>
  <si>
    <t>EFERAKEYA</t>
  </si>
  <si>
    <t>Adego</t>
  </si>
  <si>
    <t>55161978WACP326701182</t>
  </si>
  <si>
    <t>samirazag33@gmail.com</t>
  </si>
  <si>
    <t>ZANGWIO</t>
  </si>
  <si>
    <t>Samira</t>
  </si>
  <si>
    <t>37 MILITARY HOSPITAL, NEGEHELI BARRACKS</t>
  </si>
  <si>
    <t>37 MILITARY HOSPITAL, ACCRA GHANA</t>
  </si>
  <si>
    <t>0544506026</t>
  </si>
  <si>
    <t>GHWACP287840524</t>
  </si>
  <si>
    <t>Dazzledark45@gmail.com</t>
  </si>
  <si>
    <t>MBANUGO</t>
  </si>
  <si>
    <t>Ifunanya</t>
  </si>
  <si>
    <t>39 RIVERLANE GRA ENUGU</t>
  </si>
  <si>
    <t>08065759071</t>
  </si>
  <si>
    <t>244881980WACP405768476</t>
  </si>
  <si>
    <t>tombayellowe@gmail.com</t>
  </si>
  <si>
    <t>MARTYNS-YELLOWE</t>
  </si>
  <si>
    <t>Tomba</t>
  </si>
  <si>
    <t xml:space="preserve">Berepele </t>
  </si>
  <si>
    <t>4-8 Harley street Old GRA Port-Harcourt</t>
  </si>
  <si>
    <t xml:space="preserve">Rivers State University Teaching Hospital </t>
  </si>
  <si>
    <t>08037003964</t>
  </si>
  <si>
    <t>129311981WACP559403499</t>
  </si>
  <si>
    <t>esenesamuel24@gmail.com</t>
  </si>
  <si>
    <t>ESENE</t>
  </si>
  <si>
    <t>Aigbobhiose</t>
  </si>
  <si>
    <t>2, Upper Adesuwa, Opposite CGMI, Benin City, Edo State</t>
  </si>
  <si>
    <t>University of Benin Teaching Hospital, Benin City, Edo State.</t>
  </si>
  <si>
    <t>08076803008</t>
  </si>
  <si>
    <t>245881982WACP154433997</t>
  </si>
  <si>
    <t>chukwukachuchu@gmail.com</t>
  </si>
  <si>
    <t>ANICHE</t>
  </si>
  <si>
    <t>Anozie</t>
  </si>
  <si>
    <t>ST LUKE&amp;#039;S ANGLICAN CHURCH  BOX 10072 ONITSHA.</t>
  </si>
  <si>
    <t>NNAMDI AZIKIWE UNIVERSITY, AWKA.</t>
  </si>
  <si>
    <t>08061174923</t>
  </si>
  <si>
    <t>183281983WACP765455418</t>
  </si>
  <si>
    <t>daminamusa2014@gmail.com</t>
  </si>
  <si>
    <t>No.8 Kashere Road, GRA, Gombe, Gombe State</t>
  </si>
  <si>
    <t>07036574910</t>
  </si>
  <si>
    <t>210691984WACP163259333</t>
  </si>
  <si>
    <t>drraphaeleasy@gmail.com</t>
  </si>
  <si>
    <t>FARUNA</t>
  </si>
  <si>
    <t xml:space="preserve">raphael </t>
  </si>
  <si>
    <t>enejo</t>
  </si>
  <si>
    <t xml:space="preserve">HOUSE 20 FLAT 1 wuro modibbo lelewaji yola town </t>
  </si>
  <si>
    <t>MODIBBO ADAMA UNIVERSITY TEACHING HOSPITAL YOLA</t>
  </si>
  <si>
    <t>08147757167</t>
  </si>
  <si>
    <t>180331985WACP467122971</t>
  </si>
  <si>
    <t>SAKABA.HABIB@GMAIL.COM</t>
  </si>
  <si>
    <t>BALA</t>
  </si>
  <si>
    <t>Habibu</t>
  </si>
  <si>
    <t>Sakaba</t>
  </si>
  <si>
    <t>HOUSE NO: 1, AREA D, POLYTECHNIC QUATERS, GWADANGWAJI, BIRNIN KEBBI, KEBBI STATE</t>
  </si>
  <si>
    <t xml:space="preserve">USMANU Danfodiyo University Teaching Hospital, Sokoto </t>
  </si>
  <si>
    <t>46331986WACP215900366</t>
  </si>
  <si>
    <t>akbadegoke@gmail.com</t>
  </si>
  <si>
    <t>ADEGOKE</t>
  </si>
  <si>
    <t>Abdulkabir</t>
  </si>
  <si>
    <t>17, Engineering Close, Unilag Estate Magodo Isheri Lagos</t>
  </si>
  <si>
    <t>Lagos University Teaching Hospital, Idi-Araba, Lagos</t>
  </si>
  <si>
    <t>09090681966</t>
  </si>
  <si>
    <t>35671987WACP611088271</t>
  </si>
  <si>
    <t>seyikrystals@gmail.com</t>
  </si>
  <si>
    <t>Ojiebun</t>
  </si>
  <si>
    <t>26 Otunba Samson Ago Palace Way</t>
  </si>
  <si>
    <t>College of medicine university of lagos</t>
  </si>
  <si>
    <t>09039955431</t>
  </si>
  <si>
    <t>240051988WACP727542935</t>
  </si>
  <si>
    <t>ikakitayoko1972@gmail.com</t>
  </si>
  <si>
    <t>YOKO</t>
  </si>
  <si>
    <t>ikakita</t>
  </si>
  <si>
    <t>49 Aggrey Road, Port Harcourt</t>
  </si>
  <si>
    <t>RSUTH</t>
  </si>
  <si>
    <t>08135952853</t>
  </si>
  <si>
    <t>142791989WACP786928712</t>
  </si>
  <si>
    <t>agyegord88@gmail.com</t>
  </si>
  <si>
    <t>ANTWI</t>
  </si>
  <si>
    <t>Gordon</t>
  </si>
  <si>
    <t>Agyekum</t>
  </si>
  <si>
    <t>P.o.box AH 1219 Achimota</t>
  </si>
  <si>
    <t>0558356352</t>
  </si>
  <si>
    <t>GHWACP172248107</t>
  </si>
  <si>
    <t>hamzatzainab2012@gmail.com</t>
  </si>
  <si>
    <t>HAMZAT</t>
  </si>
  <si>
    <t>LAUTECH Teaching Hospital Ogbomoso, Oyo State</t>
  </si>
  <si>
    <t>LAUTECH teaching hospital</t>
  </si>
  <si>
    <t>73261991WACP998240700</t>
  </si>
  <si>
    <t>drfaitho1@gmail.com</t>
  </si>
  <si>
    <t>ONIYIRE</t>
  </si>
  <si>
    <t>No 1, House of Prayer, Parkview Estate, Bagidan, Off Ijede road, Ikorodu Lagos state</t>
  </si>
  <si>
    <t>Lagos University Teaching Hospital (LUTH)</t>
  </si>
  <si>
    <t>55931992WACP378477075</t>
  </si>
  <si>
    <t>PERIOD OF MICROBIOLOGY ROTATION IS 60 WEEKS INSTEAD OF 65 WEEKS</t>
  </si>
  <si>
    <t>habilamathew@gmail.com</t>
  </si>
  <si>
    <t>Habila</t>
  </si>
  <si>
    <t>Usmanu Danfodiyo University Teaching Hospital Sokoto</t>
  </si>
  <si>
    <t>Usmanu Danfodiyo University sokoto</t>
  </si>
  <si>
    <t>169161993WACP975116133</t>
  </si>
  <si>
    <t>nringim@yahoo.com</t>
  </si>
  <si>
    <t xml:space="preserve">HABIB </t>
  </si>
  <si>
    <t xml:space="preserve">Nafisa </t>
  </si>
  <si>
    <t xml:space="preserve">Ringim </t>
  </si>
  <si>
    <t xml:space="preserve">No 357 Mai aduwa Goron Dutse, Kano </t>
  </si>
  <si>
    <t>Aminu Kano Teaching Hospital, Kano.</t>
  </si>
  <si>
    <t>57721994WACP497241473</t>
  </si>
  <si>
    <t>kosisochukwuani@gmail.com</t>
  </si>
  <si>
    <t>Camela</t>
  </si>
  <si>
    <t>28 Ekolou street off-itire road, Surulere Lagos</t>
  </si>
  <si>
    <t>08104347770</t>
  </si>
  <si>
    <t>245971995WACP438630248</t>
  </si>
  <si>
    <t>sophiaibiang@gmail.com</t>
  </si>
  <si>
    <t>ETENG</t>
  </si>
  <si>
    <t>Ewoni-Sophia</t>
  </si>
  <si>
    <t>Ibiang</t>
  </si>
  <si>
    <t>No 3 Elder&amp;#039;s close enima omin, 8 miles Calabar.</t>
  </si>
  <si>
    <t>University of Calabar teaching hospital.</t>
  </si>
  <si>
    <t>08107524110</t>
  </si>
  <si>
    <t>245951996WACP668454608</t>
  </si>
  <si>
    <t>zainabusmany@gmail.com</t>
  </si>
  <si>
    <t>44 Dennis osadebe crescent Apo legislative qtrs zone A</t>
  </si>
  <si>
    <t>Sudan International university</t>
  </si>
  <si>
    <t>08169768030</t>
  </si>
  <si>
    <t>215651997WACP944153672</t>
  </si>
  <si>
    <t>abdallah.jabir@yahoo.com</t>
  </si>
  <si>
    <t>Jabir</t>
  </si>
  <si>
    <t>Department of Medicine, Ahmadu Bello University Teaching Hospital, Shika</t>
  </si>
  <si>
    <t>Ahmadu Bello University Teaching Hospital, Shika</t>
  </si>
  <si>
    <t>08039421961</t>
  </si>
  <si>
    <t>22991998WACP943981627</t>
  </si>
  <si>
    <t>euniceolujimi@gmail.com</t>
  </si>
  <si>
    <t xml:space="preserve">OLUJIMI </t>
  </si>
  <si>
    <t xml:space="preserve">Eunice </t>
  </si>
  <si>
    <t xml:space="preserve">Oluwagbemisola </t>
  </si>
  <si>
    <t>1,Ogunbela avenue Ago palace way</t>
  </si>
  <si>
    <t>Federal medical centre Ebute- metta</t>
  </si>
  <si>
    <t>09038032686</t>
  </si>
  <si>
    <t>238411999WACP298595588</t>
  </si>
  <si>
    <t>salamatkeji@gmail.com</t>
  </si>
  <si>
    <t>KEJI</t>
  </si>
  <si>
    <t>Salamat</t>
  </si>
  <si>
    <t>FEDERAL MEDICAL CENTER KEFFI, KEFFI, NASARAWA STATE</t>
  </si>
  <si>
    <t xml:space="preserve">Federal medical center keffi </t>
  </si>
  <si>
    <t>533911000WACP286246543</t>
  </si>
  <si>
    <t>misanene2001@gmail.com</t>
  </si>
  <si>
    <t>AJEMIGBITSE</t>
  </si>
  <si>
    <t>Oritsemisan</t>
  </si>
  <si>
    <t>Helen</t>
  </si>
  <si>
    <t>970411001WACP170856520</t>
  </si>
  <si>
    <t>Wina_tek@hotmail.com</t>
  </si>
  <si>
    <t>NUGA</t>
  </si>
  <si>
    <t>5 Seye Nuga Street, Ashi, Ibadan, Nigeria</t>
  </si>
  <si>
    <t>Federal Neuro-Psychiatric Hospital Yaba Lagos</t>
  </si>
  <si>
    <t>GHWACP563071882</t>
  </si>
  <si>
    <t>rennyuju@gmail.com</t>
  </si>
  <si>
    <t>Udom</t>
  </si>
  <si>
    <t>Irene</t>
  </si>
  <si>
    <t>Uju Amos</t>
  </si>
  <si>
    <t>18 union Street</t>
  </si>
  <si>
    <t>08062929254</t>
  </si>
  <si>
    <t>1876711003WACP697667379</t>
  </si>
  <si>
    <t>deborahnsiah52@gmail.com</t>
  </si>
  <si>
    <t>AKOTO NSIAH</t>
  </si>
  <si>
    <t>Esi</t>
  </si>
  <si>
    <t>P.0.Box 8348. Accra North</t>
  </si>
  <si>
    <t>0241101946</t>
  </si>
  <si>
    <t>GHWACP11371962</t>
  </si>
  <si>
    <t>adwoamed@yahoo.com</t>
  </si>
  <si>
    <t xml:space="preserve">ANI-ASAMOAH </t>
  </si>
  <si>
    <t>SC 213, Tema</t>
  </si>
  <si>
    <t>0206469294</t>
  </si>
  <si>
    <t>GHWACP575181475</t>
  </si>
  <si>
    <t>aiteepp17@gmail.com</t>
  </si>
  <si>
    <t>ITORO</t>
  </si>
  <si>
    <t>PAUL</t>
  </si>
  <si>
    <t>23 akpan eno street,abak</t>
  </si>
  <si>
    <t>university of uyo teaching hospital,uyo, akwaibom state</t>
  </si>
  <si>
    <t>08064578429</t>
  </si>
  <si>
    <t>1894011007WACP883001205</t>
  </si>
  <si>
    <t>drtom2008@gmail.com</t>
  </si>
  <si>
    <t>Elvis</t>
  </si>
  <si>
    <t>Ighodaro</t>
  </si>
  <si>
    <t xml:space="preserve">8 OGBODU AVENUE ODONLA IKORODU LAGOS </t>
  </si>
  <si>
    <t xml:space="preserve">UNIVERSITY OF BENIN </t>
  </si>
  <si>
    <t>07037122665</t>
  </si>
  <si>
    <t>1958611008WACP9104743</t>
  </si>
  <si>
    <t>dremmanadetunji@gmail.com</t>
  </si>
  <si>
    <t>ADETUNJI</t>
  </si>
  <si>
    <t>ADEKUNLE</t>
  </si>
  <si>
    <t>26, Tanimowo Street, Off Ishaga Close, Ilasamaja, Mushin Lagos</t>
  </si>
  <si>
    <t xml:space="preserve">College of Medicine, University of Lagos </t>
  </si>
  <si>
    <t>07068588751</t>
  </si>
  <si>
    <t>1906211009WACP755300529</t>
  </si>
  <si>
    <t>tukoricacid@gmail.com</t>
  </si>
  <si>
    <t>TUKO</t>
  </si>
  <si>
    <t>Godday</t>
  </si>
  <si>
    <t>NDUTH, Okolobiri</t>
  </si>
  <si>
    <t>Niger Delta University Teaching Hospital, Okolobiri</t>
  </si>
  <si>
    <t>08065051919</t>
  </si>
  <si>
    <t>551211010WACP195006526</t>
  </si>
  <si>
    <t>odoguprecious@yahoo.com</t>
  </si>
  <si>
    <t>ODOGU</t>
  </si>
  <si>
    <t>Elohor</t>
  </si>
  <si>
    <t>No 27 Greenland Estate Ajah, Lagos</t>
  </si>
  <si>
    <t>07047338501</t>
  </si>
  <si>
    <t>2406411011WACP952829321</t>
  </si>
  <si>
    <t>homsielvire8@gmail.com</t>
  </si>
  <si>
    <t>ANYANWU</t>
  </si>
  <si>
    <t>Elvire</t>
  </si>
  <si>
    <t>Egbu by Amawire, Owerri, Imo State</t>
  </si>
  <si>
    <t>Federal medical center umuahia</t>
  </si>
  <si>
    <t>683011012WACP62652436</t>
  </si>
  <si>
    <t>chenyoluv07@gmail.com</t>
  </si>
  <si>
    <t>OMEDE</t>
  </si>
  <si>
    <t>Achenyo</t>
  </si>
  <si>
    <t>423511014WACP179025933</t>
  </si>
  <si>
    <t>togunolawale@gmail.com</t>
  </si>
  <si>
    <t>olawale</t>
  </si>
  <si>
    <t>Togun</t>
  </si>
  <si>
    <t>Ayobami</t>
  </si>
  <si>
    <t>Ogundipe phase 2 kirikiri apapa lagos</t>
  </si>
  <si>
    <t>Ladoke akintola university of techonology ogbomoso</t>
  </si>
  <si>
    <t>08106418097</t>
  </si>
  <si>
    <t>1899611015WACP161346396</t>
  </si>
  <si>
    <t>oyindakande@gmail.com</t>
  </si>
  <si>
    <t xml:space="preserve">AKANDE </t>
  </si>
  <si>
    <t xml:space="preserve">Oyindamola </t>
  </si>
  <si>
    <t xml:space="preserve">Bisola </t>
  </si>
  <si>
    <t xml:space="preserve">Plot 25 School Road 2 Satellite town Calabar </t>
  </si>
  <si>
    <t xml:space="preserve">Madonna University </t>
  </si>
  <si>
    <t>07032593536</t>
  </si>
  <si>
    <t>2178511016WACP696102971</t>
  </si>
  <si>
    <t>folajimioyebola@yahoo.co.uk</t>
  </si>
  <si>
    <t>OYEBOLA</t>
  </si>
  <si>
    <t>OLUFOLAJIMI</t>
  </si>
  <si>
    <t>OLUFOLAYELE</t>
  </si>
  <si>
    <t>3/5 ADEBISI STREET ADEKUNLE YABA LAGOS</t>
  </si>
  <si>
    <t>GHWACP898665259</t>
  </si>
  <si>
    <t>oghenetegaonyibia@yahoo.com</t>
  </si>
  <si>
    <t>ONYIBIA AKHIGBE-OBOH</t>
  </si>
  <si>
    <t>Oghenetega</t>
  </si>
  <si>
    <t>Chiwendu</t>
  </si>
  <si>
    <t>SHOR, Doctors Quarters, University of Benin Teaching Hospital, Ugbowo, Benin City, Edo State.</t>
  </si>
  <si>
    <t>473411018WACP740005845</t>
  </si>
  <si>
    <t>celsusking@gmail.com</t>
  </si>
  <si>
    <t>Celsus</t>
  </si>
  <si>
    <t>USMANU DANFODIYO UNIVERSITY TEACHING HOSPITAL,  SOKOTO</t>
  </si>
  <si>
    <t>93511019WACP490859340</t>
  </si>
  <si>
    <t>aminagubio@gmail.com</t>
  </si>
  <si>
    <t>GUBIO</t>
  </si>
  <si>
    <t>Modu</t>
  </si>
  <si>
    <t xml:space="preserve">Doctors Quaters, Kano road, Maiduguri Borno State </t>
  </si>
  <si>
    <t xml:space="preserve">University of Maiduguri teacher hospital </t>
  </si>
  <si>
    <t>08032181741</t>
  </si>
  <si>
    <t>2291711020WACP609731085</t>
  </si>
  <si>
    <t>maryamsarina216@gmail.com</t>
  </si>
  <si>
    <t>SARINA</t>
  </si>
  <si>
    <t>&amp;amp;#304;brahim</t>
  </si>
  <si>
    <t>No.sarina street,hotoro Kano.</t>
  </si>
  <si>
    <t>Aminu kano teaching hospital</t>
  </si>
  <si>
    <t>08032313150</t>
  </si>
  <si>
    <t>2457011021WACP486987991</t>
  </si>
  <si>
    <t>anassackeyfio1713@gmail.com</t>
  </si>
  <si>
    <t>SACKEYFIO</t>
  </si>
  <si>
    <t>Anastasia</t>
  </si>
  <si>
    <t>Naa Afarley</t>
  </si>
  <si>
    <t>P.O BOX ML 754, Mallam, Accra</t>
  </si>
  <si>
    <t>Ho Teaching Hospital</t>
  </si>
  <si>
    <t>0547712551</t>
  </si>
  <si>
    <t>GHWACP698253240</t>
  </si>
  <si>
    <t>indefinitereality@yahoo.com</t>
  </si>
  <si>
    <t>ASEKHAME</t>
  </si>
  <si>
    <t>Omokhowa</t>
  </si>
  <si>
    <t>Tito</t>
  </si>
  <si>
    <t>DEPARTMENT OF MEDICINE, NNAMDI AZIKIWE UNIVERSITY TEACHING HOSPITAL, NNEWI, ANAMBRA STATE</t>
  </si>
  <si>
    <t xml:space="preserve">Nnamdi  Azikiwe  University  Teaching  Hospital  Nnewi </t>
  </si>
  <si>
    <t>08064080185</t>
  </si>
  <si>
    <t>289611023WACP546127399</t>
  </si>
  <si>
    <t>drexlerwoodbridge@gmail.com</t>
  </si>
  <si>
    <t>AKPA</t>
  </si>
  <si>
    <t>victor</t>
  </si>
  <si>
    <t>ochefu</t>
  </si>
  <si>
    <t>Q LINE FEDERAL LOWCOST MAKURDI</t>
  </si>
  <si>
    <t>BENUE STATE UNIVERSITY MAKURDI</t>
  </si>
  <si>
    <t>08032573945</t>
  </si>
  <si>
    <t>2458711024WACP386839599</t>
  </si>
  <si>
    <t>ojaymcdon@gmail.com</t>
  </si>
  <si>
    <t>OJE</t>
  </si>
  <si>
    <t>Ogbonnaya</t>
  </si>
  <si>
    <t>University of Abuja Teaching Hospital. Gwagwalada.</t>
  </si>
  <si>
    <t>914911025WACP895923255</t>
  </si>
  <si>
    <t>dineaorga@gmail.com</t>
  </si>
  <si>
    <t>AORGA</t>
  </si>
  <si>
    <t xml:space="preserve">Aondonengen </t>
  </si>
  <si>
    <t xml:space="preserve">James </t>
  </si>
  <si>
    <t>Behind Yamayus Filling Station, Old Otukpo Road, Makurdi, Benue State.</t>
  </si>
  <si>
    <t>07066762832</t>
  </si>
  <si>
    <t>284811026WACP754965956</t>
  </si>
  <si>
    <t>wisdomagboro@gmail.com</t>
  </si>
  <si>
    <t>AGBORO</t>
  </si>
  <si>
    <t>Oghenekobiruo</t>
  </si>
  <si>
    <t>Wisdom</t>
  </si>
  <si>
    <t xml:space="preserve">Delta State University Teaching Hospital Oghara Delta State </t>
  </si>
  <si>
    <t>2130111027WACP864895830</t>
  </si>
  <si>
    <t>olurotimibello@gmail.com</t>
  </si>
  <si>
    <t>OLUROTIMI</t>
  </si>
  <si>
    <t>3, Oluwole Ogunleye Street</t>
  </si>
  <si>
    <t>university of Medical Sciences Teaching Hospital Complex, Laje Road, Ondo</t>
  </si>
  <si>
    <t>07030436307</t>
  </si>
  <si>
    <t>1959611028WACP80952977</t>
  </si>
  <si>
    <t>amaechijeoma@yahoo.com</t>
  </si>
  <si>
    <t>AMAECHI</t>
  </si>
  <si>
    <t>25 ahoada road, rumuibekwe housing estate</t>
  </si>
  <si>
    <t>401911029WACP107041508</t>
  </si>
  <si>
    <t>em_bee1@yahoo.com</t>
  </si>
  <si>
    <t>SOKUNBI</t>
  </si>
  <si>
    <t>mbang</t>
  </si>
  <si>
    <t>oluwafunmilayo hephzibah</t>
  </si>
  <si>
    <t>F.M.C EBUTE METTA LAGOS</t>
  </si>
  <si>
    <t>FMC EBUTE METTA LAGOS</t>
  </si>
  <si>
    <t>08022871601;08160229750</t>
  </si>
  <si>
    <t>187011030WACP13718492</t>
  </si>
  <si>
    <t>zeemed18@yahoo.com</t>
  </si>
  <si>
    <t>no 123 Hausawa doctors streetlayout</t>
  </si>
  <si>
    <t>08031395603</t>
  </si>
  <si>
    <t>2390811031WACP874458136</t>
  </si>
  <si>
    <t>micahjatau@yahoo.com</t>
  </si>
  <si>
    <t>Micah</t>
  </si>
  <si>
    <t>Shekwoiko</t>
  </si>
  <si>
    <t>33A NADP Project Quarters, Shendam Road</t>
  </si>
  <si>
    <t>Federal University Teaching Hospital, Lafia</t>
  </si>
  <si>
    <t>1934111032WACP262529161</t>
  </si>
  <si>
    <t>tessychi_n@yahoo.com</t>
  </si>
  <si>
    <t>NWANKWO</t>
  </si>
  <si>
    <t>Chinweoke</t>
  </si>
  <si>
    <t>Theresa</t>
  </si>
  <si>
    <t>1st Avenue B close House 3 FESTAC Lagos</t>
  </si>
  <si>
    <t>Lagos State University Teaching Hospital Lasuth</t>
  </si>
  <si>
    <t>920311033WACP567907672</t>
  </si>
  <si>
    <t>sisterroms@gmail.com</t>
  </si>
  <si>
    <t>PETER</t>
  </si>
  <si>
    <t xml:space="preserve">Moromoke </t>
  </si>
  <si>
    <t xml:space="preserve">C/O CCU, OAUTHC, ILE-IFE </t>
  </si>
  <si>
    <t xml:space="preserve">Obafemi Awolowo University  Teaching Hospitals Complex Ile-ife </t>
  </si>
  <si>
    <t>1089011034WACP585087198</t>
  </si>
  <si>
    <t>fzarahsadiq@gmail.com</t>
  </si>
  <si>
    <t>Sadiq</t>
  </si>
  <si>
    <t>Danmanawa kano</t>
  </si>
  <si>
    <t>234 806 438 7543</t>
  </si>
  <si>
    <t>2460511035WACP356786011</t>
  </si>
  <si>
    <t>amakablez@gmail.com</t>
  </si>
  <si>
    <t>EGWORAHA</t>
  </si>
  <si>
    <t>Nwamaka</t>
  </si>
  <si>
    <t>Okoro</t>
  </si>
  <si>
    <t>No 2 okeren lane, off Akintola Road sapele Delta State.</t>
  </si>
  <si>
    <t>Obafemi Awolowo University ile ife</t>
  </si>
  <si>
    <t>1117611036WACP941311801</t>
  </si>
  <si>
    <t>giddyjunior@yahoo.com</t>
  </si>
  <si>
    <t>OPPONG</t>
  </si>
  <si>
    <t>Gideon</t>
  </si>
  <si>
    <t>Yaw</t>
  </si>
  <si>
    <t>New Bortanor</t>
  </si>
  <si>
    <t>3M&amp;amp;C MEDICAL CENTER</t>
  </si>
  <si>
    <t>0559591270</t>
  </si>
  <si>
    <t>2450911037WACP700324184</t>
  </si>
  <si>
    <t>kennii500@gmail.com</t>
  </si>
  <si>
    <t>TETTEY</t>
  </si>
  <si>
    <t>Louise</t>
  </si>
  <si>
    <t>Nii Ayeboi</t>
  </si>
  <si>
    <t>Box 77</t>
  </si>
  <si>
    <t>Korle Bu Teaching Hospital Polyclinic</t>
  </si>
  <si>
    <t>0594480229</t>
  </si>
  <si>
    <t>GHWACP978485397</t>
  </si>
  <si>
    <t>mawizgreaye@yahoo.com</t>
  </si>
  <si>
    <t>YEWENU</t>
  </si>
  <si>
    <t>Mawuko</t>
  </si>
  <si>
    <t>P.O. Box DC 63, Dansoman, Accra</t>
  </si>
  <si>
    <t>Cocoa Clinic, Accra</t>
  </si>
  <si>
    <t>0553840148/0268119390</t>
  </si>
  <si>
    <t>GHWACP873153658</t>
  </si>
  <si>
    <t>exilaxhockett@gmail.com</t>
  </si>
  <si>
    <t>Rahinatu</t>
  </si>
  <si>
    <t>ParliamentaryServicesofGhana, PMB-Osu,Accra</t>
  </si>
  <si>
    <t>Parliament Medical Centre</t>
  </si>
  <si>
    <t>GHWACP62329163</t>
  </si>
  <si>
    <t>emmanuelpflomo@gmail.com</t>
  </si>
  <si>
    <t>FLOMO</t>
  </si>
  <si>
    <t>P.</t>
  </si>
  <si>
    <t>Tubman Boulevard</t>
  </si>
  <si>
    <t xml:space="preserve">John F. Kennedy Medical Center </t>
  </si>
  <si>
    <t>Liberia</t>
  </si>
  <si>
    <t>Monrovia</t>
  </si>
  <si>
    <t>GHWACP403852649</t>
  </si>
  <si>
    <t>tsocro@gmail.com</t>
  </si>
  <si>
    <t>SOCRO</t>
  </si>
  <si>
    <t>Terry</t>
  </si>
  <si>
    <t>Juty</t>
  </si>
  <si>
    <t xml:space="preserve">JFK Medical Center, Monrovia, Liberia </t>
  </si>
  <si>
    <t>JFK Medical Center, Liberia College of Physicians and Surgeons (LCPS)</t>
  </si>
  <si>
    <t>GHWACP717480043</t>
  </si>
  <si>
    <t>ziahmo@gmail.com</t>
  </si>
  <si>
    <t>ZIAH II</t>
  </si>
  <si>
    <t>E.S. Grant Mental Hospital, JFK Medical Centre, Liberia</t>
  </si>
  <si>
    <t>Liberia College of Physicians and Surgeons (LCPS)</t>
  </si>
  <si>
    <t>GHWACP154074156</t>
  </si>
  <si>
    <t>izetta2013@gmail.com</t>
  </si>
  <si>
    <t xml:space="preserve">SHERIFF </t>
  </si>
  <si>
    <t xml:space="preserve">Izetta </t>
  </si>
  <si>
    <t>Sianeh</t>
  </si>
  <si>
    <t xml:space="preserve">Duport Road- Paynesville, Liberia </t>
  </si>
  <si>
    <t>John F. Kennedy Medical Center</t>
  </si>
  <si>
    <t>GHWACP314795714</t>
  </si>
  <si>
    <t>B0D</t>
  </si>
  <si>
    <t>Ringim</t>
  </si>
  <si>
    <t xml:space="preserve">Oritsematosan  </t>
  </si>
  <si>
    <t>Ayuk-Arrah</t>
  </si>
  <si>
    <t>EGBE-IKEJIAKU</t>
  </si>
  <si>
    <t xml:space="preserve">CHORR Barkisu  </t>
  </si>
  <si>
    <t>ABU Mercy Yebo</t>
  </si>
  <si>
    <t>TUAWERI Ebiye Phillip</t>
  </si>
  <si>
    <t>IBRAHEEM Basiru Adegoke</t>
  </si>
  <si>
    <t>ESSIEN Celine  Etim</t>
  </si>
  <si>
    <t>CHUKWU faith uchechi</t>
  </si>
  <si>
    <t>OKONGWU Chinenye Ngozi</t>
  </si>
  <si>
    <t>Yunusa Fatima Aliyu</t>
  </si>
  <si>
    <t>MODILIM Kenechukwu Dave</t>
  </si>
  <si>
    <t xml:space="preserve">OGWUCHE Stephen </t>
  </si>
  <si>
    <t>UGWU Nelson ejike</t>
  </si>
  <si>
    <t>EYA Peace Chinenye</t>
  </si>
  <si>
    <t>KOULAGNA Rosemary Erhemwanarhue</t>
  </si>
  <si>
    <t>NWADIOKWU Michael Ehima</t>
  </si>
  <si>
    <t>ONIFADE Abimbola Olusegun</t>
  </si>
  <si>
    <t>LADOKUN  nathanael ayokunnu</t>
  </si>
  <si>
    <t>KUNA Oluwaseun Mwuese</t>
  </si>
  <si>
    <t xml:space="preserve">DAVID Ezekiel  </t>
  </si>
  <si>
    <t>KWETISHE Elisha Enoch</t>
  </si>
  <si>
    <t>IROGHO James Ovbare</t>
  </si>
  <si>
    <t>MOMEGHA Chukwuemeka Ekene</t>
  </si>
  <si>
    <t>MADU Nneka Lovina</t>
  </si>
  <si>
    <t>LAWAL Zaharaddin Maishanu</t>
  </si>
  <si>
    <t xml:space="preserve">TAYO Segun Samuel </t>
  </si>
  <si>
    <t>AJOGGAR Joshua Eseoghene</t>
  </si>
  <si>
    <t xml:space="preserve">HAMZA Maryam </t>
  </si>
  <si>
    <t>FABOYINDE OLABISI JUMOKE</t>
  </si>
  <si>
    <t>BAKARE Olaoluwa Olumide</t>
  </si>
  <si>
    <t>ODIKAESIEME  Chinenye Jennifer</t>
  </si>
  <si>
    <t>FALANA Oluwapelumi Victor</t>
  </si>
  <si>
    <t>Oyewole Favour Ikeoluwa</t>
  </si>
  <si>
    <t xml:space="preserve">Oluwafolasayomi Ajumobi </t>
  </si>
  <si>
    <t>ADEKOYA Ridwanallah Abisoye</t>
  </si>
  <si>
    <t>UDENNAKA Chimezie Calistus</t>
  </si>
  <si>
    <t>VICTOR-OBI Somtochi Promise</t>
  </si>
  <si>
    <t>AKANMU Wasiu  Olaoluwa</t>
  </si>
  <si>
    <t>ESELEMONDI Amos Arebimo</t>
  </si>
  <si>
    <t xml:space="preserve">YAWSON Rosevida Akyeama </t>
  </si>
  <si>
    <t>ALESINLOYE Oluwakemi Temitayo</t>
  </si>
  <si>
    <t>ONUKOGU Emeka Philip</t>
  </si>
  <si>
    <t>MUOMAREGHEN Esther Ogheneufuoma</t>
  </si>
  <si>
    <t>IDOWU oluwasegun toluwase</t>
  </si>
  <si>
    <t>HARUNA Abubakar Musa</t>
  </si>
  <si>
    <t>MUHAMMAD Fatima Naima</t>
  </si>
  <si>
    <t>UJEVBIRUVBE Ese-Oghene Gift</t>
  </si>
  <si>
    <t>ISA Abdulmajid Muhammad</t>
  </si>
  <si>
    <t>OJOBOR Blessing Ukamaka</t>
  </si>
  <si>
    <t>UCHE Victoria Onyinyechi</t>
  </si>
  <si>
    <t xml:space="preserve">KOREDE Oluwatosin </t>
  </si>
  <si>
    <t xml:space="preserve">HARRISON-IKWEGBU  Chinenye </t>
  </si>
  <si>
    <t xml:space="preserve">IDOWU  abimbola  rebecca </t>
  </si>
  <si>
    <t>ILOMBU AMADI MAXWELL</t>
  </si>
  <si>
    <t>MUOJIUBA  Kambiri  Phina</t>
  </si>
  <si>
    <t>ABIKOYE ebunoluwa modesayo</t>
  </si>
  <si>
    <t>DOGBE Courage Kwashie</t>
  </si>
  <si>
    <t>LAWAL Jamiyu Ojo</t>
  </si>
  <si>
    <t>KOLADE Ibrahim Adekunle</t>
  </si>
  <si>
    <t>AMETAME ALPHONSE AWUKU</t>
  </si>
  <si>
    <t>AKUAKU Rosemary  Sefakor</t>
  </si>
  <si>
    <t>DAPOET Naanep Tangame</t>
  </si>
  <si>
    <t>Ajanaku Olamiji Omotayo</t>
  </si>
  <si>
    <t xml:space="preserve">PREMPEH Victor </t>
  </si>
  <si>
    <t xml:space="preserve">KWASAU  Vivian  </t>
  </si>
  <si>
    <t>UDONNA-OGBUE Amarachi Faith</t>
  </si>
  <si>
    <t xml:space="preserve">OLI Ifeoma </t>
  </si>
  <si>
    <t>BANKOLE Oluwafemi Samuel</t>
  </si>
  <si>
    <t>UMOKORO Onyekachi Uzodinma</t>
  </si>
  <si>
    <t xml:space="preserve">ODURO Melissa </t>
  </si>
  <si>
    <t>OGUNSOLA Hadijat Ayoka</t>
  </si>
  <si>
    <t xml:space="preserve">AKUNYUMU-TETTEH Hannah-lisa </t>
  </si>
  <si>
    <t>AASA Victor Gabriel</t>
  </si>
  <si>
    <t>OLANIYAN Steve Tope-Femi</t>
  </si>
  <si>
    <t>IFEOMA ONYIA FELICIA</t>
  </si>
  <si>
    <t xml:space="preserve">JEREMIAH  Stephen  </t>
  </si>
  <si>
    <t>MAINA Aisha Kaumi</t>
  </si>
  <si>
    <t>EMMANUEL Ruth Dudu</t>
  </si>
  <si>
    <t>MOKAH Nkiru Sharon</t>
  </si>
  <si>
    <t>AIWANFO LYNDA OSAMEDE</t>
  </si>
  <si>
    <t>OKOSUN Andy Irhabor</t>
  </si>
  <si>
    <t>ADEDEJI Michael Oluwaseyi</t>
  </si>
  <si>
    <t xml:space="preserve">CHIGBU Chukwuma </t>
  </si>
  <si>
    <t>UMAR Maryam Bashir</t>
  </si>
  <si>
    <t>ICHOKU Onyebuchi  Mathias</t>
  </si>
  <si>
    <t>UDOH Hilda Edem</t>
  </si>
  <si>
    <t>YUSUF Abdulmalik Abubakar</t>
  </si>
  <si>
    <t>JAMES  Ufuoma Emmanuel</t>
  </si>
  <si>
    <t>AKANCHIIMANYORO John Gerald Adiiboka</t>
  </si>
  <si>
    <t>HUSSAIN Fatima Mahuta</t>
  </si>
  <si>
    <t>ADEBISI Margaret Olabisi</t>
  </si>
  <si>
    <t>IFIORA franklin arinze</t>
  </si>
  <si>
    <t>NARTEY Bridget Naatekwour</t>
  </si>
  <si>
    <t>HARRY Wisdom  Karibi</t>
  </si>
  <si>
    <t>ANDEZE Nyiputwen Abel</t>
  </si>
  <si>
    <t>OLIVER ONUCHE IGOCHE</t>
  </si>
  <si>
    <t>YUSUF Nusirat Oluwaseun-Ajibade</t>
  </si>
  <si>
    <t>AJAYI Olawumi  .</t>
  </si>
  <si>
    <t>ONUNGWE Onungwe Wuwu</t>
  </si>
  <si>
    <t xml:space="preserve">CONTEH Joseph  Gbassay </t>
  </si>
  <si>
    <t>ONAJI Joseph Okpe</t>
  </si>
  <si>
    <t>MOHAMMED Sesugh Samuel</t>
  </si>
  <si>
    <t>NWATU Grace Ogechukwu</t>
  </si>
  <si>
    <t>Ayewah Ehiaghe Benita</t>
  </si>
  <si>
    <t>ARO Nwachukwu Frankline</t>
  </si>
  <si>
    <t>CHUKWUANYIM Ekwutosi Belinda</t>
  </si>
  <si>
    <t xml:space="preserve">ARIFAYAN  Oluwatosin </t>
  </si>
  <si>
    <t>KURE  Hajara Ismaila</t>
  </si>
  <si>
    <t>Akanmu Peace Kehinde</t>
  </si>
  <si>
    <t xml:space="preserve">ADEGOROYE adegboyega </t>
  </si>
  <si>
    <t xml:space="preserve">BENJAMIN Nandom  </t>
  </si>
  <si>
    <t>OLAPADE yewande omobola</t>
  </si>
  <si>
    <t xml:space="preserve">KUTIN SIAW THEOPHILUS </t>
  </si>
  <si>
    <t>IBOYITIE Imonivwerha  jasmine</t>
  </si>
  <si>
    <t xml:space="preserve">Mohammed Fawaz </t>
  </si>
  <si>
    <t xml:space="preserve">EZEMMA  Ifunanya  Eberechukwu </t>
  </si>
  <si>
    <t>NUAMAH Kwame Adjei</t>
  </si>
  <si>
    <t>CHINYERE Love Amarachi</t>
  </si>
  <si>
    <t>IKE Oluchukwu  Mercy</t>
  </si>
  <si>
    <t>MUHAMMED-BUKOYE Olajumoke Rasheedat</t>
  </si>
  <si>
    <t>WADA Fatima Muhammad</t>
  </si>
  <si>
    <t>SOBODE Oluwatotan Atanda</t>
  </si>
  <si>
    <t>Abutu Ojima Sharon</t>
  </si>
  <si>
    <t xml:space="preserve">JALO Aisha </t>
  </si>
  <si>
    <t>GANDU Alexander  James</t>
  </si>
  <si>
    <t>OLAOSEBIKAN Oluranti Mojisola</t>
  </si>
  <si>
    <t>Ashiadey Emefa Abena</t>
  </si>
  <si>
    <t>AKESSEH lorenda armah</t>
  </si>
  <si>
    <t xml:space="preserve">OBENG Beatrice Konama </t>
  </si>
  <si>
    <t>ANI BONIFACE IKECHUKWU</t>
  </si>
  <si>
    <t>ABUBAKAR Hauwa Kaka</t>
  </si>
  <si>
    <t>ASAGA NWALI ugochi irene</t>
  </si>
  <si>
    <t>MUHAMMAD Hauwa Abubakar</t>
  </si>
  <si>
    <t xml:space="preserve">TWUMASI-ANKRAH Zakaria </t>
  </si>
  <si>
    <t>DAURA Mardiyya Lawal</t>
  </si>
  <si>
    <t>AKOR Michelle Enuwa</t>
  </si>
  <si>
    <t>JUNAID Anuoluwapo Fatimat</t>
  </si>
  <si>
    <t xml:space="preserve">OKON-INYANG Mfonobong </t>
  </si>
  <si>
    <t>SHERIFF Sualiho .</t>
  </si>
  <si>
    <t>GALI Paul Mtaku</t>
  </si>
  <si>
    <t>ARINZE ikechukwu peter</t>
  </si>
  <si>
    <t>APANISILE Oluwadamilola Oluwaseyi Ruth</t>
  </si>
  <si>
    <t xml:space="preserve">DUAH EMMANUEL </t>
  </si>
  <si>
    <t>LAMIDI Kehinde Hussein</t>
  </si>
  <si>
    <t>DIKE Chinaza Kenneth</t>
  </si>
  <si>
    <t>Eduam Manuela Abena</t>
  </si>
  <si>
    <t xml:space="preserve"> NYARKO Esther  OWUSU</t>
  </si>
  <si>
    <t xml:space="preserve">ADEBAYO  YUSUFF  AKINTUNDE </t>
  </si>
  <si>
    <t xml:space="preserve">OSSAI  ngozi rosemary </t>
  </si>
  <si>
    <t>ONYEKACHI (nee Ehiriodo)  Chinenye  Ozioma</t>
  </si>
  <si>
    <t>DAHUNSI  Abel Sunday</t>
  </si>
  <si>
    <t>Marian Okolo Isioma</t>
  </si>
  <si>
    <t xml:space="preserve">UMEJIEGO Obianuju  Jane </t>
  </si>
  <si>
    <t>AGHA Samuel Ude</t>
  </si>
  <si>
    <t>GODDARD george daniel</t>
  </si>
  <si>
    <t>MOKWE  Kenechukwu Chibuzo</t>
  </si>
  <si>
    <t>OBIDIWE Uchechukwu Perpetua</t>
  </si>
  <si>
    <t xml:space="preserve">KARIM Sherifa </t>
  </si>
  <si>
    <t>PRINCEWILL Uduak Pryse</t>
  </si>
  <si>
    <t>Yahaya Ibrahim Balarabe</t>
  </si>
  <si>
    <t>AJIMOTOKAN Oluwafemi Isaiah</t>
  </si>
  <si>
    <t>UWA-ABUIKE Princess Munachi</t>
  </si>
  <si>
    <t xml:space="preserve">OJUKWU Juliet  Onyebuchi </t>
  </si>
  <si>
    <t>LAWAL aminu muhammad</t>
  </si>
  <si>
    <t xml:space="preserve">BAH Ebrima </t>
  </si>
  <si>
    <t xml:space="preserve">TIJANI Najeemdeen </t>
  </si>
  <si>
    <t xml:space="preserve">Kelvin THOMAS </t>
  </si>
  <si>
    <t>OSIRUEMU Vivian  Omamomo</t>
  </si>
  <si>
    <t xml:space="preserve">OJEH chukwuebuka victor </t>
  </si>
  <si>
    <t>OKISE Chukwuamaka Jeneffer</t>
  </si>
  <si>
    <t xml:space="preserve">WOGU Chidinma </t>
  </si>
  <si>
    <t xml:space="preserve">YELWA Aisha  Abdulmumini </t>
  </si>
  <si>
    <t xml:space="preserve">MATTIA  Jusu </t>
  </si>
  <si>
    <t>AGBOOLA Shehu Lolade</t>
  </si>
  <si>
    <t>SHUAIB Abdulrahman Kayode</t>
  </si>
  <si>
    <t>NNAKWE  Obinna Paschal</t>
  </si>
  <si>
    <t>Ogide Joy Olubunmi</t>
  </si>
  <si>
    <t>AZUBUIKE  Amarachi  Ukwen</t>
  </si>
  <si>
    <t>ONWUNEME Eziada Hilda</t>
  </si>
  <si>
    <t>ABDULLAHI Safiyya Shagali</t>
  </si>
  <si>
    <t>UMAR Aisha Bala</t>
  </si>
  <si>
    <t>IWUANYANWU  chinemerem colette</t>
  </si>
  <si>
    <t>NKECHI ANYIGOR JESSICA</t>
  </si>
  <si>
    <t xml:space="preserve">ABDULAI Abdul Waris </t>
  </si>
  <si>
    <t>OKEKE Chijioke Mmadueke</t>
  </si>
  <si>
    <t>RUFAI Adebukunola Aminat</t>
  </si>
  <si>
    <t>UDO Edikan  David</t>
  </si>
  <si>
    <t>MATHEW Musa Bafeshi</t>
  </si>
  <si>
    <t xml:space="preserve">ALMUSTAPHA Fatima </t>
  </si>
  <si>
    <t>GOBAH Wilson Selorm</t>
  </si>
  <si>
    <t>EMMANUEL Peace Rims</t>
  </si>
  <si>
    <t xml:space="preserve">AYEMORO Temitope </t>
  </si>
  <si>
    <t>OKORIE Leonard Onye</t>
  </si>
  <si>
    <t>OSMAN Abdullah Musah</t>
  </si>
  <si>
    <t>BADAWI Rukayya Aliyu</t>
  </si>
  <si>
    <t xml:space="preserve">GARBA Ibrahim </t>
  </si>
  <si>
    <t>LAWAL Habiba Lanre</t>
  </si>
  <si>
    <t>SHETTIMA Zainab Mukhtar</t>
  </si>
  <si>
    <t xml:space="preserve">ADEYEMI  Olalekan  Moses </t>
  </si>
  <si>
    <t>IRABOR  Thomas  Ovbiye</t>
  </si>
  <si>
    <t>ORJIH Ifeanyi Donald</t>
  </si>
  <si>
    <t>NWANGWU Judith Chikodiri</t>
  </si>
  <si>
    <t xml:space="preserve">KOROMBA-KPALLU Kelfa </t>
  </si>
  <si>
    <t>IBEBUCHI Chijioke Nnaemeka</t>
  </si>
  <si>
    <t xml:space="preserve">MBAWINI Ernestina  Nambuni </t>
  </si>
  <si>
    <t>BALDEH Nenneh Jewo</t>
  </si>
  <si>
    <t xml:space="preserve">DENIS Nuhu </t>
  </si>
  <si>
    <t xml:space="preserve">MAC-JAJUA Peter </t>
  </si>
  <si>
    <t xml:space="preserve">OKOWA Roland Samuel </t>
  </si>
  <si>
    <t xml:space="preserve">GBLA Alhaji </t>
  </si>
  <si>
    <t>MENSAH Naa Ayele</t>
  </si>
  <si>
    <t>BASORUN Gladys Olasunkanmi</t>
  </si>
  <si>
    <t>KELEZE  Francis Chidiebere</t>
  </si>
  <si>
    <t xml:space="preserve">OGBANGWO  Obiajulu  Helen </t>
  </si>
  <si>
    <t>OGUZIE Chioma  Pepertua</t>
  </si>
  <si>
    <t>ABUBAKAR Amina Abdullahi</t>
  </si>
  <si>
    <t xml:space="preserve">SOLOMON  Akentaimu  Audu </t>
  </si>
  <si>
    <t>TIJJANI  nana jidda</t>
  </si>
  <si>
    <t xml:space="preserve">KOLAWOLE Olanrewaju </t>
  </si>
  <si>
    <t>DEKU Mawulikplim Enyo</t>
  </si>
  <si>
    <t xml:space="preserve">SHERIFF Aisha  </t>
  </si>
  <si>
    <t>ORANYE chinaza chikamso</t>
  </si>
  <si>
    <t>AUWAL Aisha Musa</t>
  </si>
  <si>
    <t xml:space="preserve">AYISI-TETE  Kwaku </t>
  </si>
  <si>
    <t>BALOGUN John Seyifunmi</t>
  </si>
  <si>
    <t>AUDU David Onucheojo</t>
  </si>
  <si>
    <t xml:space="preserve">MUSTAPHA maimuna </t>
  </si>
  <si>
    <t>ANANE-DARKO Akosua Oforiwaa</t>
  </si>
  <si>
    <t>UKEANYA Chisom Juliet</t>
  </si>
  <si>
    <t xml:space="preserve">SOWE  Mustapha </t>
  </si>
  <si>
    <t xml:space="preserve">OJOKOJO  Abieyuwa  </t>
  </si>
  <si>
    <t xml:space="preserve">NWOKWU Patricia  Amogechukwu </t>
  </si>
  <si>
    <t>NNUBIA Anthonia Ogechukwu</t>
  </si>
  <si>
    <t>EKWUEME Ijeoma Maureen</t>
  </si>
  <si>
    <t>OGIEVA-KPONGO Adesuwa Victory</t>
  </si>
  <si>
    <t xml:space="preserve">DONBRAYE Ebikemefa McMichelle </t>
  </si>
  <si>
    <t>AYAARUM SANDRA NYAAMA</t>
  </si>
  <si>
    <t xml:space="preserve">SALISU Summayya </t>
  </si>
  <si>
    <t xml:space="preserve">SALIHU Habiba </t>
  </si>
  <si>
    <t>OKEREH Rowland Okwudiri</t>
  </si>
  <si>
    <t xml:space="preserve">QUAYE  Sandra </t>
  </si>
  <si>
    <t>FEZIE-NNAJI  Nkiru  Anthonia</t>
  </si>
  <si>
    <t xml:space="preserve">Francis  Tope  Adeyeye </t>
  </si>
  <si>
    <t>IKOOWAJI kakpo walter</t>
  </si>
  <si>
    <t>EME Hope Ogbeyialu</t>
  </si>
  <si>
    <t xml:space="preserve">GOBA KINIE </t>
  </si>
  <si>
    <t>OLORUNTOBA Felix Gbenga</t>
  </si>
  <si>
    <t>ALI Zainab Ibrahim</t>
  </si>
  <si>
    <t>NYAMISON Joseph Kabena</t>
  </si>
  <si>
    <t>BASSEY Tesse Nkereuwem</t>
  </si>
  <si>
    <t>MADUPUE  Michael  Ejimkonye</t>
  </si>
  <si>
    <t>AWUSANYA-SOSU eyram esi</t>
  </si>
  <si>
    <t>ESO Asukpong  Effiong</t>
  </si>
  <si>
    <t>TAMBEDOU Neneh Jarai</t>
  </si>
  <si>
    <t xml:space="preserve">SHUAIBU Mujaheed Isah </t>
  </si>
  <si>
    <t>AKUJOBI Tobechi Adanna</t>
  </si>
  <si>
    <t>DALHATU   hajara musa</t>
  </si>
  <si>
    <t xml:space="preserve">NAZIRU Aisha </t>
  </si>
  <si>
    <t>ELABOR Chidalu Unoma</t>
  </si>
  <si>
    <t>Kamara Joseph Baio</t>
  </si>
  <si>
    <t>ADEDAYO  lateef  adetunji</t>
  </si>
  <si>
    <t>DOGO Manchan Belmont</t>
  </si>
  <si>
    <t>EHIAKHAMEN Sandra Osaiyekemwen</t>
  </si>
  <si>
    <t>AJAYI Fatimah Oyewale</t>
  </si>
  <si>
    <t>OWUSU Emmanuel Agyei</t>
  </si>
  <si>
    <t>YUSUF Waheedat  Abdulazeez</t>
  </si>
  <si>
    <t xml:space="preserve">ADAMU Mansura </t>
  </si>
  <si>
    <t xml:space="preserve">ROBINSON-ELECHI Enore </t>
  </si>
  <si>
    <t>KAMARA  Chernoh  Foday</t>
  </si>
  <si>
    <t>IBRAHIM  Fadimatu Zarah</t>
  </si>
  <si>
    <t>MAINA Jeremiah Yaga</t>
  </si>
  <si>
    <t>SUNUSI Asiya Jamilu</t>
  </si>
  <si>
    <t>OBIOHA Solomon uchenna</t>
  </si>
  <si>
    <t>UGWOEGBU Chinonso Anita</t>
  </si>
  <si>
    <t xml:space="preserve">MUHAMMAD Bilkisu </t>
  </si>
  <si>
    <t xml:space="preserve">BELLO Hashim </t>
  </si>
  <si>
    <t>AMINU Joy Omolola</t>
  </si>
  <si>
    <t xml:space="preserve">ABUBAKAR Sadiya Tanimu </t>
  </si>
  <si>
    <t xml:space="preserve">YAHAYA Amina Abdullahi </t>
  </si>
  <si>
    <t xml:space="preserve">KABIR Hafsat </t>
  </si>
  <si>
    <t>ONYEWUCHI Onyinyechukwu Joy</t>
  </si>
  <si>
    <t>YAHYA Yunusa Yusuf</t>
  </si>
  <si>
    <t>ADEBOWALE OLUWADAMILARE AHMED</t>
  </si>
  <si>
    <t xml:space="preserve">IDUDU Adakpor </t>
  </si>
  <si>
    <t>SALIU Kehinde Noheemat</t>
  </si>
  <si>
    <t>AWODELE Deborah Etim</t>
  </si>
  <si>
    <t>ABUBAKAR  Shamsuddeen  Rabiu</t>
  </si>
  <si>
    <t>ADAMU Hauwa Oyanki</t>
  </si>
  <si>
    <t xml:space="preserve">AGHALU  Uchenna  Chinonye </t>
  </si>
  <si>
    <t>GIWA-AWONIRAN Khaleelat Feyisike</t>
  </si>
  <si>
    <t>IBIWOYE Olufemi Chisom</t>
  </si>
  <si>
    <t xml:space="preserve">ABDULAZEEZ  Zainab  Modibbo </t>
  </si>
  <si>
    <t>FRANK Lebari Sorle</t>
  </si>
  <si>
    <t xml:space="preserve">ATORI OGHENERUKEVWE </t>
  </si>
  <si>
    <t>SAIDU YUSUF MUHAMMAD</t>
  </si>
  <si>
    <t>AGORO Fawziyyah Oluwatosin</t>
  </si>
  <si>
    <t>MAHMOOD Ibrahim Khalil</t>
  </si>
  <si>
    <t>SHOBOWALE AMEENAT KIKELOMO</t>
  </si>
  <si>
    <t>ALKALI amina baaba</t>
  </si>
  <si>
    <t>AMINU mustapha wali</t>
  </si>
  <si>
    <t>ISIAK-BELGORE Rukayat Abidemi</t>
  </si>
  <si>
    <t>AUWALU Haruna Jalo</t>
  </si>
  <si>
    <t xml:space="preserve">JITTEH Fatoumatta </t>
  </si>
  <si>
    <t xml:space="preserve">AMANABO  Ufedo-ojo  Faith </t>
  </si>
  <si>
    <t>OGBAN Nsenanzama Eko</t>
  </si>
  <si>
    <t>TIJANI Abdulhakeem Adekilekun</t>
  </si>
  <si>
    <t>NDUBUISI Kester Chikwendu</t>
  </si>
  <si>
    <t>ALMUSTAPHA Maryam Ahmed</t>
  </si>
  <si>
    <t>SAMBO Amina Yunusa</t>
  </si>
  <si>
    <t>ONODU Adaeze Ruth</t>
  </si>
  <si>
    <t>CHILOLI Nnenna Jane</t>
  </si>
  <si>
    <t>ONYEGAOLU Godspower  Chukwudi</t>
  </si>
  <si>
    <t>JATAU Joseph Nil</t>
  </si>
  <si>
    <t>NEGEDU Grace Anninoritse</t>
  </si>
  <si>
    <t>DOSUMU Yusuf Adebowale</t>
  </si>
  <si>
    <t>EWA Efayobaseta Omini</t>
  </si>
  <si>
    <t>Dambatta Ummi Sani</t>
  </si>
  <si>
    <t>OLADUNNI Damilola Damilare</t>
  </si>
  <si>
    <t>ADANU Jessica Igbe</t>
  </si>
  <si>
    <t>LAWALI  Ibrahim Dr.</t>
  </si>
  <si>
    <t>NWEKE Nkechi Regina</t>
  </si>
  <si>
    <t>NWOHIRI Ijeoma Celine</t>
  </si>
  <si>
    <t>BAKO taqiyyat  yusuf</t>
  </si>
  <si>
    <t xml:space="preserve">ADESUYAN Caroline  Layo </t>
  </si>
  <si>
    <t>ADELAKUN Bukunmi Esther</t>
  </si>
  <si>
    <t xml:space="preserve">IYARE osarhiemen </t>
  </si>
  <si>
    <t>JIMOH Maruf Ayodeji</t>
  </si>
  <si>
    <t>Okoro Amoji Uzoma Fidelia</t>
  </si>
  <si>
    <t>UGWUEZE  Chidimma Chiamaka</t>
  </si>
  <si>
    <t xml:space="preserve">AMADI Nkeiruka  Vivian </t>
  </si>
  <si>
    <t>NWENWE Chinwendu Ogechi</t>
  </si>
  <si>
    <t>Nnajiofor Chiamaka Rita</t>
  </si>
  <si>
    <t>OLIGBI Eromosele Emmanuel</t>
  </si>
  <si>
    <t>ISAH Rukayya .</t>
  </si>
  <si>
    <t xml:space="preserve">OKAFOR  Hope </t>
  </si>
  <si>
    <t>IBUJE Taghogho Emuobo</t>
  </si>
  <si>
    <t>OKEKE Ogechukwu Scholarstica</t>
  </si>
  <si>
    <t xml:space="preserve">ONUH gift ojoduwene </t>
  </si>
  <si>
    <t>ABDULLAHI Muhammad Sabo</t>
  </si>
  <si>
    <t>IZUGBARA Diamond Chidinma</t>
  </si>
  <si>
    <t xml:space="preserve">ENEJETA Joel Ogagaoghene </t>
  </si>
  <si>
    <t>ISRAEL John Akintunde</t>
  </si>
  <si>
    <t>IFEJIOFOR Eberechukwu Gloria</t>
  </si>
  <si>
    <t>ZARMA Fatima Ajiya</t>
  </si>
  <si>
    <t>OBI Adanna  Vivian</t>
  </si>
  <si>
    <t>ALABI Abdul-gaffar Fortune</t>
  </si>
  <si>
    <t>JAMES yewande Oluwayomi</t>
  </si>
  <si>
    <t xml:space="preserve">ABDULHAMID Awwal </t>
  </si>
  <si>
    <t>SADIQ Nafisa Ahmad</t>
  </si>
  <si>
    <t>OBUTE  Precious Ehi</t>
  </si>
  <si>
    <t>CHUKWU eberechukwu e</t>
  </si>
  <si>
    <t xml:space="preserve">UKOBA obatavwe </t>
  </si>
  <si>
    <t>UDOMA Emmanuel  Isidore</t>
  </si>
  <si>
    <t>EDOKPAYI JOY OGHOGHO</t>
  </si>
  <si>
    <t xml:space="preserve">NSIAH RICHARD  </t>
  </si>
  <si>
    <t xml:space="preserve">OLAIDE-STEPHEN  Sharon Oluwamitobi </t>
  </si>
  <si>
    <t>CHINURUEKPERE Ifeanyi Godswill</t>
  </si>
  <si>
    <t>ISIDIENU Cordelia Otito</t>
  </si>
  <si>
    <t>FIATEIDE ayibaebi andrew</t>
  </si>
  <si>
    <t>OSEMWEKHA Goodness Umamwosa</t>
  </si>
  <si>
    <t>IZEKOR  eghomwanre  davis</t>
  </si>
  <si>
    <t>ASALU damilola esther</t>
  </si>
  <si>
    <t>AKINTILO Akintomide Adeola</t>
  </si>
  <si>
    <t xml:space="preserve">DOKUBO-WIZZDOM Ubong </t>
  </si>
  <si>
    <t>ETU Prince Emmanuel</t>
  </si>
  <si>
    <t xml:space="preserve"> Onyeka Orji Donatus</t>
  </si>
  <si>
    <t>INAKU LUCY ABOSEDE</t>
  </si>
  <si>
    <t>EMENIKE ifeoma martina</t>
  </si>
  <si>
    <t xml:space="preserve">GYAMAA-YEBOAH  Eva </t>
  </si>
  <si>
    <t>USMAN Abdurrahman Sani</t>
  </si>
  <si>
    <t>OLUNLADE Oluwatobiloba Faith</t>
  </si>
  <si>
    <t xml:space="preserve">YUSUF Hamza </t>
  </si>
  <si>
    <t>OKOLUE Chinwendu Grace Jessica</t>
  </si>
  <si>
    <t>DANQUAH  Edmond Siaw</t>
  </si>
  <si>
    <t>UGOH Adaobi Stellamaris</t>
  </si>
  <si>
    <t>FUWAPE Oreoluwa Deborah</t>
  </si>
  <si>
    <t>UDE Somadina Godsfavour</t>
  </si>
  <si>
    <t xml:space="preserve">KAMARA William </t>
  </si>
  <si>
    <t>AKPOKE Chukwu Aja</t>
  </si>
  <si>
    <t>Ikpe Ann Itoro</t>
  </si>
  <si>
    <t>SALISU Sumayya Khamisu</t>
  </si>
  <si>
    <t>Danjuma Shekwonuzayi Aaron</t>
  </si>
  <si>
    <t>IROHA Olanma Okorie</t>
  </si>
  <si>
    <t>MADI Gloria Nghina</t>
  </si>
  <si>
    <t xml:space="preserve">SARUMI  Abdulkareem  Babatunde </t>
  </si>
  <si>
    <t>AKPUGHE Harriet Voke</t>
  </si>
  <si>
    <t xml:space="preserve">WAMBUTDA  Nenrit  Lokrit </t>
  </si>
  <si>
    <t>CHINWEUBA Francis Uzochukwu</t>
  </si>
  <si>
    <t xml:space="preserve">USMAN Yau </t>
  </si>
  <si>
    <t>IBRAHIM  Aisha Aliyu</t>
  </si>
  <si>
    <t>YUNUS Asiya Ahmad</t>
  </si>
  <si>
    <t>ODURO Jill Alexa</t>
  </si>
  <si>
    <t>UDEH Ifeoma Uchechukwu</t>
  </si>
  <si>
    <t>ODANYE Augustine Leke</t>
  </si>
  <si>
    <t xml:space="preserve">SALEH Karimah Abdulhamid </t>
  </si>
  <si>
    <t>OSADOLOR owens osarenoma</t>
  </si>
  <si>
    <t>SANI Maryam Kalgo</t>
  </si>
  <si>
    <t>AMADI Blessing Chituru</t>
  </si>
  <si>
    <t>OMOLOLA Victoria Abimbola</t>
  </si>
  <si>
    <t>AYUBA  Joy Ringle</t>
  </si>
  <si>
    <t>FAGBOHUN  Oluwatoyin  Bosede</t>
  </si>
  <si>
    <t>IKHUIWU Osaivbie Iriagbonse</t>
  </si>
  <si>
    <t>TAFIDA Kabiru Ibrahim</t>
  </si>
  <si>
    <t>JOHN-ELENDU  Tochukwu Oluwatobi</t>
  </si>
  <si>
    <t>OFORKANSI  Ijeoma Genevieve</t>
  </si>
  <si>
    <t>OKOLIE Gladness Uche</t>
  </si>
  <si>
    <t>ATSEN lynda afe</t>
  </si>
  <si>
    <t xml:space="preserve">ADAMU Rabi Sufi </t>
  </si>
  <si>
    <t>ANOKE Onyinyechi Victoria</t>
  </si>
  <si>
    <t>Godwin ANIGBOGU  Ogbobe</t>
  </si>
  <si>
    <t xml:space="preserve">ISA Hamza </t>
  </si>
  <si>
    <t>Adeyemi Blessing Oladayo</t>
  </si>
  <si>
    <t>AMANKWAA Emmanuel Wiredu</t>
  </si>
  <si>
    <t xml:space="preserve">ALOBU Friday  Iteshi </t>
  </si>
  <si>
    <t>AYOOLA Victoria Oluwayemisi</t>
  </si>
  <si>
    <t>OKORO Uchenna Alexander</t>
  </si>
  <si>
    <t>BOLARINWA Adebola Kasopefoluwa</t>
  </si>
  <si>
    <t xml:space="preserve">ATSEM  Nana Aba  Not Applicable </t>
  </si>
  <si>
    <t>AINA oluwafemi adedayo</t>
  </si>
  <si>
    <t>FOLA-ADIO Sheriff abayomi</t>
  </si>
  <si>
    <t>IKPAMBESE Vershima David</t>
  </si>
  <si>
    <t>GRIKPA James Ebimiyen</t>
  </si>
  <si>
    <t>ASOR Paul Msugh</t>
  </si>
  <si>
    <t xml:space="preserve">ADJETEY  Naomi Dianne Naa Adjeley </t>
  </si>
  <si>
    <t>OBODO  Celestina  chisom</t>
  </si>
  <si>
    <t>IBEH Goodness Daberechi</t>
  </si>
  <si>
    <t>AHMAD Nafisat Isah</t>
  </si>
  <si>
    <t>ARIRI Ugochi Petrolina</t>
  </si>
  <si>
    <t>OKUPA-OYOBERE  Oghenesiuvwe  Nuvie</t>
  </si>
  <si>
    <t>SULAIMAN  Zaliha  Sarki</t>
  </si>
  <si>
    <t>ZANNAH YAKAKA UMAR</t>
  </si>
  <si>
    <t>Temple Bassey Etete</t>
  </si>
  <si>
    <t>FREDUA-ANTOH Barima Osei Yaw</t>
  </si>
  <si>
    <t>DARE aderemi aanuoluwapo</t>
  </si>
  <si>
    <t>OKEREKE Henry Chimnonso</t>
  </si>
  <si>
    <t>BASHIR Aisha  Farfaru</t>
  </si>
  <si>
    <t xml:space="preserve">HASSAN hauwa </t>
  </si>
  <si>
    <t>OGIDI Vincent Oodo</t>
  </si>
  <si>
    <t>AHMAD Khadija Abdulrahman</t>
  </si>
  <si>
    <t>DADA Oluwande Esther</t>
  </si>
  <si>
    <t>AYUBA Ibrahim Muhammad</t>
  </si>
  <si>
    <t>ALLOH EMILIA NKEMDILIM</t>
  </si>
  <si>
    <t xml:space="preserve">SALEH Aisha </t>
  </si>
  <si>
    <t>ABIODUN Olamide Faith</t>
  </si>
  <si>
    <t>IDRIS Mukhtar Shehu</t>
  </si>
  <si>
    <t>OKODUGHA  Oladunni  Nkiruka</t>
  </si>
  <si>
    <t>UMEANAEDOBE  nonso arinze</t>
  </si>
  <si>
    <t xml:space="preserve">ASHONG-QUARTEY Ruth </t>
  </si>
  <si>
    <t>OPARAJI  chima iheanyi</t>
  </si>
  <si>
    <t>BOYE Emmanuella Sungmanbo</t>
  </si>
  <si>
    <t>SAMUEL  Harrison Dr</t>
  </si>
  <si>
    <t>VICTOR Aniedi Kenneth</t>
  </si>
  <si>
    <t>ITAM Ako Hogan</t>
  </si>
  <si>
    <t xml:space="preserve">IJI Onah Benjamin </t>
  </si>
  <si>
    <t xml:space="preserve">ABDULAZIZ  Lukman Muhammad </t>
  </si>
  <si>
    <t>OLIJI chinyere maureen</t>
  </si>
  <si>
    <t xml:space="preserve">OPOKU-GYEBI Seth </t>
  </si>
  <si>
    <t>EZE Deborah Chekwube</t>
  </si>
  <si>
    <t>EGBONG Glory Nkoro</t>
  </si>
  <si>
    <t>GONI Abdullahi Gambomi</t>
  </si>
  <si>
    <t xml:space="preserve">ONI Taiwo Ebunoluwa </t>
  </si>
  <si>
    <t xml:space="preserve">AMANKWAATIA Evans </t>
  </si>
  <si>
    <t>ABOLAJI Idiat Olafunke</t>
  </si>
  <si>
    <t>SALEH Nabila Sani</t>
  </si>
  <si>
    <t>AYERITE Livingstone Gelegukuma</t>
  </si>
  <si>
    <t xml:space="preserve">AKHIGBE ThankGod </t>
  </si>
  <si>
    <t>OGBU EMMANUEL OLISAEMEKA</t>
  </si>
  <si>
    <t>Ahmed  Amina Ladidi</t>
  </si>
  <si>
    <t xml:space="preserve">BABARINSA  Adeleye  Olugbade </t>
  </si>
  <si>
    <t>ZAREWA Abdullahi Gali</t>
  </si>
  <si>
    <t>ZIRA Zainab Mohammed</t>
  </si>
  <si>
    <t>SINGHATEH Safiatou Barkisu</t>
  </si>
  <si>
    <t>OGUNDARE  Olaoti  Oyeyemi</t>
  </si>
  <si>
    <t xml:space="preserve">AFAGHA  Emmanuel </t>
  </si>
  <si>
    <t>NUNOO MOSES AKWAH</t>
  </si>
  <si>
    <t>AGBENYEGAH  Gloria  Makafui</t>
  </si>
  <si>
    <t xml:space="preserve">AWUDU-RAHMAN Rashid </t>
  </si>
  <si>
    <t>OBENG Mercy Akomaa</t>
  </si>
  <si>
    <t>BABALOLA Olasimbo Abosede</t>
  </si>
  <si>
    <t xml:space="preserve">OGUNBUSOLA Oluwaseyi Tolulope </t>
  </si>
  <si>
    <t>OBILOWO Mubarak Gbolahan</t>
  </si>
  <si>
    <t>ABDULRAHAMAN  Olalekan Abdulrauf</t>
  </si>
  <si>
    <t>OGBONNA okechukwu emmanuel</t>
  </si>
  <si>
    <t xml:space="preserve">ISIAKA rabi  </t>
  </si>
  <si>
    <t xml:space="preserve">Akinsola  Oluwaseun  Oriyomi </t>
  </si>
  <si>
    <t>ASARE Tolulope Damilola</t>
  </si>
  <si>
    <t xml:space="preserve">SULEIMAN Saliha  Yahaya </t>
  </si>
  <si>
    <t>GARBA Usman Hussaini</t>
  </si>
  <si>
    <t>ODUKOYA Temiloluwa Oluwafisayo</t>
  </si>
  <si>
    <t>OBI Eustace Chukwuneche</t>
  </si>
  <si>
    <t xml:space="preserve">SAWANEH FATOUMATA </t>
  </si>
  <si>
    <t>AMAWU Anthony Uyimulam</t>
  </si>
  <si>
    <t>NWACHI Emmanuel Ogbonnia</t>
  </si>
  <si>
    <t>ISIYAKU Fauziyya Tijjani</t>
  </si>
  <si>
    <t>UDOH Ekikere Marcel</t>
  </si>
  <si>
    <t>DOUGLAS Boma Ibiba</t>
  </si>
  <si>
    <t xml:space="preserve">SANI Rabiat  </t>
  </si>
  <si>
    <t>ARTHUR Papa Kojo</t>
  </si>
  <si>
    <t xml:space="preserve">JOHNNY-OBIJURU Adaeze </t>
  </si>
  <si>
    <t>DADA adetoyese opeoluwa</t>
  </si>
  <si>
    <t>ITUA Dennis Ehizode</t>
  </si>
  <si>
    <t>ONODJEFEMUE EFETURI NIL</t>
  </si>
  <si>
    <t>Oluwakemi  OLADIMEJI  Adenike</t>
  </si>
  <si>
    <t>ADELEYE Victor Mayowa</t>
  </si>
  <si>
    <t>SALAMI Kolawole John</t>
  </si>
  <si>
    <t>NNAEMEKA Charity  Osuokam</t>
  </si>
  <si>
    <t>AKANG Joy Imaobong</t>
  </si>
  <si>
    <t>ADESANYA  Adebimpe Favour</t>
  </si>
  <si>
    <t xml:space="preserve">MBEE  GOTEH  </t>
  </si>
  <si>
    <t>ADEBAYO James Adedamola</t>
  </si>
  <si>
    <t>NNABU Richard Chukwuka</t>
  </si>
  <si>
    <t>KOGBARA  Valentine Bulabari</t>
  </si>
  <si>
    <t>UGWU Ann Okwuchukwu</t>
  </si>
  <si>
    <t>ISMAILA Esther Ladidi</t>
  </si>
  <si>
    <t>ABAYOMI Abdul-kabeer Oladimeji</t>
  </si>
  <si>
    <t xml:space="preserve">MONGUNO  Alamin  Tijjani </t>
  </si>
  <si>
    <t xml:space="preserve">UNANAM  Idongesit  Aniefiok </t>
  </si>
  <si>
    <t>ONOJA Martha Joseph</t>
  </si>
  <si>
    <t>Bartholomew Nwankwo Chinedu</t>
  </si>
  <si>
    <t>NWATU chiebonam veronica</t>
  </si>
  <si>
    <t>OGBOROGU ekene leo</t>
  </si>
  <si>
    <t>YUSUF  Abdullazeez  Olanrewaju</t>
  </si>
  <si>
    <t>ALACHI Geraldine Etumelo</t>
  </si>
  <si>
    <t>ADEBAYO  Vera Omonivie</t>
  </si>
  <si>
    <t>Fatima Nasir Sani</t>
  </si>
  <si>
    <t>KONDORVOH Idrissa Momoh</t>
  </si>
  <si>
    <t>MUHAMMAD Abubakar Adam</t>
  </si>
  <si>
    <t>KOWEI gift tamara-miyentei</t>
  </si>
  <si>
    <t xml:space="preserve">OSUJI  nnamdi  thaddeus </t>
  </si>
  <si>
    <t>BELLO Zainab  Isah</t>
  </si>
  <si>
    <t xml:space="preserve">HEZEKIAH Genesis </t>
  </si>
  <si>
    <t xml:space="preserve">ABDULMALIK Abdulrahim  </t>
  </si>
  <si>
    <t xml:space="preserve">Wisman Victoria </t>
  </si>
  <si>
    <t xml:space="preserve">MANSARAY Hamza </t>
  </si>
  <si>
    <t xml:space="preserve">KAMARA Rahim </t>
  </si>
  <si>
    <t>Bangura Yusifu Sahid</t>
  </si>
  <si>
    <t>VANDI Daniel Karim</t>
  </si>
  <si>
    <t>AMUDA Adeyemi Akeem</t>
  </si>
  <si>
    <t>OSIGWE Adannaya Cherry</t>
  </si>
  <si>
    <t>AGYARE Simeon Jude</t>
  </si>
  <si>
    <t>BAH Fatmata Batuly</t>
  </si>
  <si>
    <t>IBEKA Gift Marvellous</t>
  </si>
  <si>
    <t xml:space="preserve">ABDUR-RAHEEM  Mukhtar  Oluwatosin </t>
  </si>
  <si>
    <t>AKOR Ogecha Idoko</t>
  </si>
  <si>
    <t>EL-RUFAI Fatima Ibrahim</t>
  </si>
  <si>
    <t>HABIB zahra Ringim</t>
  </si>
  <si>
    <t>SALIHU Maryam Abdulkadri</t>
  </si>
  <si>
    <t>USMAN Suleiman Alhaji</t>
  </si>
  <si>
    <t>DEEN-TARAWALLY Muhammed Sippi</t>
  </si>
  <si>
    <t>UGWU samuel chika</t>
  </si>
  <si>
    <t>OKUNOLA TEMITOPE EMMANUEL</t>
  </si>
  <si>
    <t xml:space="preserve">ACKAH Angela </t>
  </si>
  <si>
    <t xml:space="preserve">EZERIE  Bridget  Chinwekele </t>
  </si>
  <si>
    <t>IGBINOVIA Nosa Queen</t>
  </si>
  <si>
    <t xml:space="preserve">ABDULLAHI  Aishatu  </t>
  </si>
  <si>
    <t>IKE Shedrack Chukwudi</t>
  </si>
  <si>
    <t>OBI Onome Naomi</t>
  </si>
  <si>
    <t>ZOWONU Esinam Yawo</t>
  </si>
  <si>
    <t>MUSA Zainab Aminu</t>
  </si>
  <si>
    <t>OBE Temitope Damilola</t>
  </si>
  <si>
    <t>ABDULKADIR Nadia Malik</t>
  </si>
  <si>
    <t xml:space="preserve">BALE Emmanuel </t>
  </si>
  <si>
    <t>NAABBA Halima Hussein</t>
  </si>
  <si>
    <t xml:space="preserve">OKEKE Patricia Onyebuchi </t>
  </si>
  <si>
    <t>IHUOMA Ijeoma Nelly</t>
  </si>
  <si>
    <t xml:space="preserve">SOLA-ONIYIDE  Boluwatife  Anuoluwapo </t>
  </si>
  <si>
    <t xml:space="preserve">MUHAMMAD Maimuna </t>
  </si>
  <si>
    <t xml:space="preserve">ELECHI Seun Abinde </t>
  </si>
  <si>
    <t xml:space="preserve">UMARU Ishaku </t>
  </si>
  <si>
    <t>EKERETE benyin anthony</t>
  </si>
  <si>
    <t>IWUOHA Chimereije Sugabsiso</t>
  </si>
  <si>
    <t>CHIGBU  Charles  Ifeanyi</t>
  </si>
  <si>
    <t>UGENYI Jumoke Sefinat</t>
  </si>
  <si>
    <t>OLATUNJI Olubukola Elizabeth</t>
  </si>
  <si>
    <t>USHIE Augusta Ericbona</t>
  </si>
  <si>
    <t>Maliki Atairu Asipita</t>
  </si>
  <si>
    <t>ALBASU Aisha Bashir</t>
  </si>
  <si>
    <t>Rimamtso Shamaki Baba</t>
  </si>
  <si>
    <t xml:space="preserve">Ceesay Suntu </t>
  </si>
  <si>
    <t>ASHAOLU Aghorghor Theodora</t>
  </si>
  <si>
    <t>OYEBANJI Tunji John</t>
  </si>
  <si>
    <t>Uche Chinwendu Emmanuella</t>
  </si>
  <si>
    <t>Okoye Nkechinyere Cynthia</t>
  </si>
  <si>
    <t>TSINIGO Eyram Yaa</t>
  </si>
  <si>
    <t>MUSA Bilkisu Dalhatu</t>
  </si>
  <si>
    <t xml:space="preserve">BELLO Rashidat  </t>
  </si>
  <si>
    <t>NDAMAN Amina Larai</t>
  </si>
  <si>
    <t xml:space="preserve">Aderibigbe Mariam Mercy </t>
  </si>
  <si>
    <t>AGINA |Uchenna  Stanislaus</t>
  </si>
  <si>
    <t>LAWAL Omotola Ayodele</t>
  </si>
  <si>
    <t>ELUYERA Ayomide Olalekan</t>
  </si>
  <si>
    <t>SAHEED muhyideen olanrewaju</t>
  </si>
  <si>
    <t>AFENIFORO Olufunke  Grace</t>
  </si>
  <si>
    <t>AYELEKE Olusola Ayewale</t>
  </si>
  <si>
    <t>NSOROMOTU Festus Johnbosco</t>
  </si>
  <si>
    <t>ADETU riliwan aderemi</t>
  </si>
  <si>
    <t xml:space="preserve">SANI Halima  </t>
  </si>
  <si>
    <t xml:space="preserve">MOHAMMED Basira </t>
  </si>
  <si>
    <t>ADEBIYI Ahmed Bamidele</t>
  </si>
  <si>
    <t>Mohammed Suleiman Gimba Suleiman</t>
  </si>
  <si>
    <t>ORJI Miriam Ijeoma</t>
  </si>
  <si>
    <t>OMENUGHA Michael Kelechi</t>
  </si>
  <si>
    <t>AGBER Sesugh Donald</t>
  </si>
  <si>
    <t>UMAR Murtala Dr</t>
  </si>
  <si>
    <t>UGWU Christabel Ekeoma</t>
  </si>
  <si>
    <t>ABDULKARIM  Halima Alhassan</t>
  </si>
  <si>
    <t>JELANI Naja Ibrahim</t>
  </si>
  <si>
    <t xml:space="preserve">SAMUEL  Mabel Biyaya </t>
  </si>
  <si>
    <t xml:space="preserve">Abdulai Rafiq Arhin </t>
  </si>
  <si>
    <t>ADDAH eric asore</t>
  </si>
  <si>
    <t>AYODELE Victor Toluwabori</t>
  </si>
  <si>
    <t xml:space="preserve">MUSA Aisha </t>
  </si>
  <si>
    <t>EUGENE OSANYIBOFU JOHN</t>
  </si>
  <si>
    <t>ADARA Motunrayo Oluwatofunmi</t>
  </si>
  <si>
    <t>IBRAHIM Kabir Jaen</t>
  </si>
  <si>
    <t xml:space="preserve">DAMINA Dauda  </t>
  </si>
  <si>
    <t xml:space="preserve">ADEMUYIWA  Adeloye  Adeleke </t>
  </si>
  <si>
    <t>ADIBE Vivian Genevieve</t>
  </si>
  <si>
    <t>SANI Gidado Yashe</t>
  </si>
  <si>
    <t>ABAZU ikechukwu sunday</t>
  </si>
  <si>
    <t xml:space="preserve">BAGE Zainab  Safiyanu </t>
  </si>
  <si>
    <t xml:space="preserve">AKHIGBE  wemimo Chinyere </t>
  </si>
  <si>
    <t>NASIR Halimat Ajoke</t>
  </si>
  <si>
    <t xml:space="preserve">YAHAYA Ibrahim </t>
  </si>
  <si>
    <t>CHIKEZIE Ifeoma Ruth</t>
  </si>
  <si>
    <t>AJAGBE Aishat Omolara</t>
  </si>
  <si>
    <t>EVBOROKHAI  ezra ojeikhoba</t>
  </si>
  <si>
    <t>ONOLEMHEMHEN adulphus  otaifoh</t>
  </si>
  <si>
    <t>ANIGBOGU Nneoma Victoria</t>
  </si>
  <si>
    <t>MOHAMMED   Hadiza  Zira</t>
  </si>
  <si>
    <t>YAHYA Fatima Adam</t>
  </si>
  <si>
    <t>HAYATU Ummulkhair Bello</t>
  </si>
  <si>
    <t xml:space="preserve">MOHAMMED  Mubarak  </t>
  </si>
  <si>
    <t>UKEJIANYA  Chidiebube Enyeremchi</t>
  </si>
  <si>
    <t>OYEKUNLE Rilwan Adegboyega</t>
  </si>
  <si>
    <t xml:space="preserve">MAGAJI Abdulrazaq </t>
  </si>
  <si>
    <t>AKINBANJO Rashidat Olanike</t>
  </si>
  <si>
    <t>ASORE oghenevwarhe Emmanuel</t>
  </si>
  <si>
    <t>EMEKA-OGBUGO Victoria Chigozirim</t>
  </si>
  <si>
    <t>OKAFOR  Chinenye Antuanet</t>
  </si>
  <si>
    <t>OKEKE Onyinye Nkiru</t>
  </si>
  <si>
    <t xml:space="preserve">ARUBI alexis Oritsematosan  </t>
  </si>
  <si>
    <t>ENEYO Ucheawaji Silas</t>
  </si>
  <si>
    <t>UHUNMWUAGHO Ipewonsa Faith</t>
  </si>
  <si>
    <t>OLANIYAN SImon Opeyemi</t>
  </si>
  <si>
    <t>EGBE-IKEJIAKU Bate Ayuk-Arrah</t>
  </si>
  <si>
    <t xml:space="preserve">HAMZA fatima </t>
  </si>
  <si>
    <t xml:space="preserve">SALLAH Sainabou </t>
  </si>
  <si>
    <t xml:space="preserve">DRAMMEH Lamin </t>
  </si>
  <si>
    <t>EFFIONG Anne Inyangobong</t>
  </si>
  <si>
    <t>OKOLI Chibuzo Beniah</t>
  </si>
  <si>
    <t>UZOEGBU Goodness ihechilurudinma</t>
  </si>
  <si>
    <t>EMINOWA-JIMOH Tomisin Ruth</t>
  </si>
  <si>
    <t>Muhammad Nur Mustapha Abubakar</t>
  </si>
  <si>
    <t>OLAFISOYE  Ebunoluwa Ayoyimika</t>
  </si>
  <si>
    <t xml:space="preserve">Jemima  VAN-TAGOE ACHEAMPONG </t>
  </si>
  <si>
    <t xml:space="preserve">AZOMA  Chima  Akachukwu </t>
  </si>
  <si>
    <t>MOHAMMED Nurudeen Sesan</t>
  </si>
  <si>
    <t xml:space="preserve">YAKUBU Emmanuel </t>
  </si>
  <si>
    <t>ARTHUR gifty araba</t>
  </si>
  <si>
    <t xml:space="preserve">SANGLA Abdulai </t>
  </si>
  <si>
    <t>OQUA Emmanuel Ekpo</t>
  </si>
  <si>
    <t>TALABI olugbenga Akinwale</t>
  </si>
  <si>
    <t xml:space="preserve">IBRAHIM Selimat </t>
  </si>
  <si>
    <t>ZANNA Fati Mala</t>
  </si>
  <si>
    <t>EDUOH  Marshal  Akara</t>
  </si>
  <si>
    <t>EJIKEME Chisom Chidinma</t>
  </si>
  <si>
    <t xml:space="preserve">ABDULLAHI  Usman </t>
  </si>
  <si>
    <t xml:space="preserve">JAWARA Alagie F </t>
  </si>
  <si>
    <t>RICHARD Kalada NOT APPLICABLE</t>
  </si>
  <si>
    <t>ADENIYI Temilade Oluwatoyosi</t>
  </si>
  <si>
    <t>OLOWU Omolade Magaret</t>
  </si>
  <si>
    <t>AFOLABI Ronke Ganiyat</t>
  </si>
  <si>
    <t>OTAIGBE Omoye Lauretta</t>
  </si>
  <si>
    <t xml:space="preserve">SAMAILA Hauwa </t>
  </si>
  <si>
    <t>BOATENG Harriet  Pokuaa</t>
  </si>
  <si>
    <t>ANTWI-BOASIAKO Bernice Serwaa</t>
  </si>
  <si>
    <t>Ganiyat Rasheed Folashade</t>
  </si>
  <si>
    <t>YUNUSA  Adam Labaran</t>
  </si>
  <si>
    <t>ALIYU habiba abubakar</t>
  </si>
  <si>
    <t>CHUKWU Precious Judith Udeoko</t>
  </si>
  <si>
    <t>BABALOLA Damilola Dorcas</t>
  </si>
  <si>
    <t xml:space="preserve">SAIDU Isah  Hassan </t>
  </si>
  <si>
    <t xml:space="preserve">ORIGBO  Blessing  Nneka </t>
  </si>
  <si>
    <t>OMOJOWOLO Titilade Rachael</t>
  </si>
  <si>
    <t>EMECHETA Anuli Pearl</t>
  </si>
  <si>
    <t xml:space="preserve">BRUCE-SMITH michael  </t>
  </si>
  <si>
    <t>AVAALA Priscilla Nchina</t>
  </si>
  <si>
    <t xml:space="preserve">IGBOAYAKA  Maximillian  Chinedu </t>
  </si>
  <si>
    <t>IFEBUNADU  Obiora Nwabueze</t>
  </si>
  <si>
    <t>OGUNSEESIN Soledayo Felix</t>
  </si>
  <si>
    <t xml:space="preserve">ODOFIN  John Olaniyi </t>
  </si>
  <si>
    <t xml:space="preserve">GYABAA Nana Ama </t>
  </si>
  <si>
    <t>FRIMPONG Frank Osei</t>
  </si>
  <si>
    <t>UBOGO Osasumwen  OMC</t>
  </si>
  <si>
    <t>AJAYI Sunday Adekiya</t>
  </si>
  <si>
    <t>AGBO Somadila Thelma</t>
  </si>
  <si>
    <t>MOHAMMED Hadiza Eneyire</t>
  </si>
  <si>
    <t xml:space="preserve">HARUNA Fatima </t>
  </si>
  <si>
    <t>OSUMAH- MUSA Sue Ailebhobe</t>
  </si>
  <si>
    <t>AZEEZ  Funmilola Waliyat</t>
  </si>
  <si>
    <t xml:space="preserve">ARKO-DONTOH Stephanie </t>
  </si>
  <si>
    <t>ANTHONY Nengi Ayeba-emi</t>
  </si>
  <si>
    <t>ASHUBIARO Akeem Babatunde</t>
  </si>
  <si>
    <t xml:space="preserve">EJEMBI Enemona </t>
  </si>
  <si>
    <t>BAIO mary magenda</t>
  </si>
  <si>
    <t>UZOIGWE EMMANUEL CHINYERE</t>
  </si>
  <si>
    <t>IORTYER Joshua Tordue</t>
  </si>
  <si>
    <t>UDO ETEBONG COSMAS</t>
  </si>
  <si>
    <t>ALA Tariebi Cornelius</t>
  </si>
  <si>
    <t>MIJINYAWA Hafsat Iya</t>
  </si>
  <si>
    <t xml:space="preserve">ALIYU zakariya  </t>
  </si>
  <si>
    <t>GUMBI Summaiyah Ahmad</t>
  </si>
  <si>
    <t xml:space="preserve">EMEZUE Ijeoma </t>
  </si>
  <si>
    <t>JIBRIN Zainab Bala</t>
  </si>
  <si>
    <t>OLAJUYIN  Ademola  Busayo</t>
  </si>
  <si>
    <t xml:space="preserve">FORNAH Rosaline </t>
  </si>
  <si>
    <t>SADIQ NUHU ABUBAKAR</t>
  </si>
  <si>
    <t xml:space="preserve">KROMANSON-COLLIER Stella </t>
  </si>
  <si>
    <t xml:space="preserve">EFIONAYI  odughan </t>
  </si>
  <si>
    <t>AKOGWU Prudence Kosisochukwu</t>
  </si>
  <si>
    <t xml:space="preserve">ABDULLAHI Saima Zaiyanu </t>
  </si>
  <si>
    <t>OLASINDE Hassan Olamide</t>
  </si>
  <si>
    <t>HAMZAH-SAYI  Asmau  O</t>
  </si>
  <si>
    <t>AGBOOLA Priscilla Oluwabunmi</t>
  </si>
  <si>
    <t>ULASI Esther Chioma</t>
  </si>
  <si>
    <t xml:space="preserve">OYEDELE Oyinoluwakanmi Durodoluwa </t>
  </si>
  <si>
    <t>TETTEH Abena Dankwaa</t>
  </si>
  <si>
    <t>THOMAS Augustine Msughter</t>
  </si>
  <si>
    <t>KULO Abdallah Auwalu</t>
  </si>
  <si>
    <t xml:space="preserve">AMADI-SOLOMON  Elizabeth Chinyere </t>
  </si>
  <si>
    <t>WORLU Chiyememma Claire</t>
  </si>
  <si>
    <t>ISA Ahmed Yaro</t>
  </si>
  <si>
    <t>RUFAI Halima Ahmed</t>
  </si>
  <si>
    <t>MADUWUBA  Priscilla Uchechi</t>
  </si>
  <si>
    <t>DAMBO Kokobo Divine</t>
  </si>
  <si>
    <t>AYIMBIRE Mavis Ayinpogbila</t>
  </si>
  <si>
    <t>UGBAKA  Amen Kari</t>
  </si>
  <si>
    <t>Esther  OLUTOLA Omowunmi</t>
  </si>
  <si>
    <t>MUAZU Fatsuma Yusuf</t>
  </si>
  <si>
    <t>AYATSE Doofan Ortese</t>
  </si>
  <si>
    <t>Sulaiman Muhammad Adam</t>
  </si>
  <si>
    <t>OBO Grace Ekpenyong</t>
  </si>
  <si>
    <t>ONYEGIRI Chukwuebuka Udo</t>
  </si>
  <si>
    <t xml:space="preserve">AMOAKO Mary </t>
  </si>
  <si>
    <t>OKONKWO Ogochukwu Favour Maryanne</t>
  </si>
  <si>
    <t xml:space="preserve">OWHIRI Orerome </t>
  </si>
  <si>
    <t>KODJI Jacob Narteh</t>
  </si>
  <si>
    <t>ADENUSI SHALOM ANU-OLUWAPO</t>
  </si>
  <si>
    <t>ANAJUBA Grace Uche</t>
  </si>
  <si>
    <t>Eseoghene IMAFIDON  Edith</t>
  </si>
  <si>
    <t>FADUMIYE Adegboyega Seyi</t>
  </si>
  <si>
    <t>OBIOHA  Amaka Chiemelie</t>
  </si>
  <si>
    <t xml:space="preserve">OSAYIMWEN Bibi </t>
  </si>
  <si>
    <t xml:space="preserve">NARTEY  Melvina </t>
  </si>
  <si>
    <t>AKPA  Everister Uloma</t>
  </si>
  <si>
    <t xml:space="preserve">MAFIANA Ngozichukwu </t>
  </si>
  <si>
    <t>ANNAN Abigail Naa Dedei</t>
  </si>
  <si>
    <t>OGUNLAJA oluwaseun abdulquadri</t>
  </si>
  <si>
    <t>DONKOR Diana Ama</t>
  </si>
  <si>
    <t xml:space="preserve">Jobe Jim </t>
  </si>
  <si>
    <t>ABIWO Oluwatumininu Grace</t>
  </si>
  <si>
    <t>ADEYEMO nimota ajibike</t>
  </si>
  <si>
    <t>BALAJO Jarra I.S</t>
  </si>
  <si>
    <t xml:space="preserve">GEORGE-OSASUYI Oyenmwen </t>
  </si>
  <si>
    <t xml:space="preserve">OKWESA Augustine  Ossai </t>
  </si>
  <si>
    <t>AILENUBHI  Victoria  Omons</t>
  </si>
  <si>
    <t xml:space="preserve">BAKO Istifanus Bintum </t>
  </si>
  <si>
    <t>HASSAN Umar Mohammed</t>
  </si>
  <si>
    <t>BAKARE oluwaseun terence</t>
  </si>
  <si>
    <t xml:space="preserve">IBRAHIM Aisha </t>
  </si>
  <si>
    <t>SANI  Halima Aliyu</t>
  </si>
  <si>
    <t>EZIRIM Augusta Chinaka</t>
  </si>
  <si>
    <t xml:space="preserve">JAW Mariam </t>
  </si>
  <si>
    <t>UWAKMFON Usiere Joseph</t>
  </si>
  <si>
    <t>SACKEY benjamin sakyi</t>
  </si>
  <si>
    <t>OGBA Justice Ikojo</t>
  </si>
  <si>
    <t xml:space="preserve">BENSON Onyema  </t>
  </si>
  <si>
    <t>NGWU emmanuel isaac</t>
  </si>
  <si>
    <t xml:space="preserve">EKONG Edemanwan Ifiokobong </t>
  </si>
  <si>
    <t>IDUZE Abdullahi  Aminu</t>
  </si>
  <si>
    <t xml:space="preserve">UGOGOH-ENOR  Abeyi  Deborah </t>
  </si>
  <si>
    <t xml:space="preserve">DAVID Edwin </t>
  </si>
  <si>
    <t xml:space="preserve">GARBA abdoulie </t>
  </si>
  <si>
    <t xml:space="preserve">DELIA Tumba </t>
  </si>
  <si>
    <t>OZIEGBE Desmond Obianke</t>
  </si>
  <si>
    <t>OGBAJI igala Cecilia</t>
  </si>
  <si>
    <t>AJANI Olalekan Peter</t>
  </si>
  <si>
    <t xml:space="preserve">OVUOH Ifeanyichukwu </t>
  </si>
  <si>
    <t>EJOH Michael Nkeonye</t>
  </si>
  <si>
    <t>ALABI idowu Ezekiel</t>
  </si>
  <si>
    <t>LAWAL Abisola Ayodele</t>
  </si>
  <si>
    <t>BOT Kachollom  Gyang</t>
  </si>
  <si>
    <t>KPEDEN Rose Dawn</t>
  </si>
  <si>
    <t>AFOLAYAN Olorunfemi Omotayo</t>
  </si>
  <si>
    <t xml:space="preserve">HASHIM Rabiu </t>
  </si>
  <si>
    <t xml:space="preserve">JOOF Sidat </t>
  </si>
  <si>
    <t xml:space="preserve">JARJU Landing </t>
  </si>
  <si>
    <t>AYANSINA Ayomide David</t>
  </si>
  <si>
    <t>JONAH Buka Bright</t>
  </si>
  <si>
    <t xml:space="preserve">ATTA-BOAHEN Frederick </t>
  </si>
  <si>
    <t>MUHAMMAD  salma Mainasara</t>
  </si>
  <si>
    <t>AKINOLA Monsuru Abiodun</t>
  </si>
  <si>
    <t xml:space="preserve">SULEIMAN Aisha  </t>
  </si>
  <si>
    <t>ACHEAMPONG Christiana Owusua</t>
  </si>
  <si>
    <t xml:space="preserve">MARK  Esther Edward </t>
  </si>
  <si>
    <t>ELEAZER Godsent Ugochukwu</t>
  </si>
  <si>
    <t>IYAYI OSAGIE Osasogie Sandra</t>
  </si>
  <si>
    <t>ARCHIBONG Abasi-Ifreke Aniefiok</t>
  </si>
  <si>
    <t>IKEKWE KELECHI MOSES</t>
  </si>
  <si>
    <t>DAKYES bakpan Gumwesh</t>
  </si>
  <si>
    <t xml:space="preserve">Sunday ADANAS  </t>
  </si>
  <si>
    <t>NNOKAM Brenda Anyakwe</t>
  </si>
  <si>
    <t xml:space="preserve">Abdulmalik ABDULSALAM </t>
  </si>
  <si>
    <t>ADEGBITE  mojisola florence</t>
  </si>
  <si>
    <t>BABATUNDE JAMIU SHINA</t>
  </si>
  <si>
    <t>DOM-CHIMA Ifeoma Chinyere</t>
  </si>
  <si>
    <t>AKYEA Patrick Okae</t>
  </si>
  <si>
    <t xml:space="preserve">BELLO Amina Idris </t>
  </si>
  <si>
    <t>ASOGWA Thaddeus Nnamdi</t>
  </si>
  <si>
    <t>Abdullahi Aisha Adam</t>
  </si>
  <si>
    <t>AMANYI David Ochola</t>
  </si>
  <si>
    <t>KUNNAH HARUNA CHRISTABEL</t>
  </si>
  <si>
    <t xml:space="preserve">MINTAH-BENYIN Emmanuel </t>
  </si>
  <si>
    <t>ABUBAKAR Laila Omale</t>
  </si>
  <si>
    <t>NEPYIL  Longtong  Chinplang</t>
  </si>
  <si>
    <t xml:space="preserve">AMISAH Justicia </t>
  </si>
  <si>
    <t xml:space="preserve">BENIN Amma Sakyiwah Manu </t>
  </si>
  <si>
    <t>IDDRISU MARIAMA WUMPINI</t>
  </si>
  <si>
    <t>KYEREMEH Bill Gyau</t>
  </si>
  <si>
    <t>SAAD Aisha Yusuf</t>
  </si>
  <si>
    <t>JAMILU LAWIZA ADAMU</t>
  </si>
  <si>
    <t>AGBO ADAOBI OBINNA</t>
  </si>
  <si>
    <t>DAVID Kokakan Luke</t>
  </si>
  <si>
    <t>Adongo kelvin  ayindulme</t>
  </si>
  <si>
    <t>YUSUF  Khadijah  Abba</t>
  </si>
  <si>
    <t xml:space="preserve">OJELEYE  Abass  Oyewande </t>
  </si>
  <si>
    <t>NTERFUL JNR Emmanuel Louis</t>
  </si>
  <si>
    <t>TAOFEEK  Rafiu  Babatunde</t>
  </si>
  <si>
    <t xml:space="preserve">YARO ZENABU </t>
  </si>
  <si>
    <t xml:space="preserve">AKANDE Emmanuel  Oluwatimilehin </t>
  </si>
  <si>
    <t>THOMPSON Utibe Godfrey</t>
  </si>
  <si>
    <t>INAOLAJI Bolaji Biodun</t>
  </si>
  <si>
    <t>ADEBOWALE  JESUTOFUNMI ISEOLUWA</t>
  </si>
  <si>
    <t>CHUKWU Chibuebem Joshua</t>
  </si>
  <si>
    <t>ABUBAKAR Maimuna Aminu</t>
  </si>
  <si>
    <t xml:space="preserve">OFODILE  Esther  Onyebuchi </t>
  </si>
  <si>
    <t>LAWRENCE Ruth Awolanyeofori</t>
  </si>
  <si>
    <t>OKOPI comfort emiene</t>
  </si>
  <si>
    <t>ASUWE Timothy Terkula</t>
  </si>
  <si>
    <t>BABA Ishaku Azael</t>
  </si>
  <si>
    <t xml:space="preserve"> SHODIYA Azeez Arisekola</t>
  </si>
  <si>
    <t>ATSEN Samuel Edoh</t>
  </si>
  <si>
    <t xml:space="preserve">LAWAL nura </t>
  </si>
  <si>
    <t xml:space="preserve">MAMMAN  salihu  </t>
  </si>
  <si>
    <t>ONOTU Blessing Ometere</t>
  </si>
  <si>
    <t>IKHURIONAN ughiemosomhi pamela</t>
  </si>
  <si>
    <t xml:space="preserve">OFOH-OGHOUNU Uyoyou </t>
  </si>
  <si>
    <t>ADINLOFU  Abigail  Chinyere</t>
  </si>
  <si>
    <t>OLUA Kingsley Nnamdi</t>
  </si>
  <si>
    <t xml:space="preserve">OGUNDEJI oluyemi Enoch </t>
  </si>
  <si>
    <t>MUHD Usman Yunusa</t>
  </si>
  <si>
    <t>Dantata Adawiyya Mahmud Ila</t>
  </si>
  <si>
    <t>USANGA Uduak Ime</t>
  </si>
  <si>
    <t>ENAHOLO Emike Adela</t>
  </si>
  <si>
    <t>IBRAHIM Nuraddeen Bindawa</t>
  </si>
  <si>
    <t>YAIDOO Stanley  Kweku</t>
  </si>
  <si>
    <t>OLATUNJI  Oluwatobiloba  Opemipo</t>
  </si>
  <si>
    <t xml:space="preserve">OGUNFOWOKAN  oluwasegun </t>
  </si>
  <si>
    <t xml:space="preserve">MOHAMMED  Fatimah </t>
  </si>
  <si>
    <t>KONADU Josephyne Bertha</t>
  </si>
  <si>
    <t>AMUTA Wilson Ehi</t>
  </si>
  <si>
    <t xml:space="preserve">ALIYU Khadija </t>
  </si>
  <si>
    <t>ONWE oliver mbam C.</t>
  </si>
  <si>
    <t>CLOTTEY Ruth Yawa</t>
  </si>
  <si>
    <t>BURAK Victor Nathaniel Yitamson</t>
  </si>
  <si>
    <t>UMUFO Bright Akpesiri</t>
  </si>
  <si>
    <t>SULEIMAN Fatima Firdausi</t>
  </si>
  <si>
    <t>KOHOL Terhemen  Dennis</t>
  </si>
  <si>
    <t xml:space="preserve">AMEH Abdul </t>
  </si>
  <si>
    <t>AJAYI Babajide Oladapo</t>
  </si>
  <si>
    <t>AKUBUEZE  Fyne Chisom</t>
  </si>
  <si>
    <t>IGRI Ebunlomo  Samuel</t>
  </si>
  <si>
    <t>Umar Zaharadeen Abbas</t>
  </si>
  <si>
    <t>OLATOYE kehinde usman</t>
  </si>
  <si>
    <t>JOSHUA Jonah Chawai</t>
  </si>
  <si>
    <t>MUSA Aninta Florence</t>
  </si>
  <si>
    <t>OJO Oluwaseyi Folasade</t>
  </si>
  <si>
    <t>JONES Victoria  Christine Mildred</t>
  </si>
  <si>
    <t>MADUKA Chukwuma Uchenna</t>
  </si>
  <si>
    <t xml:space="preserve">ENEJO  Gloria  </t>
  </si>
  <si>
    <t>AKWUOBI Onyeka Andrew</t>
  </si>
  <si>
    <t>USMAN Bilyaminu Grema</t>
  </si>
  <si>
    <t>ORIGBO Lazarus  Chinaemerem</t>
  </si>
  <si>
    <t>OGILI Aloysius Ebubechukwu</t>
  </si>
  <si>
    <t>KANNEH Mohamed Osman</t>
  </si>
  <si>
    <t>AWOLESI samsideen lekan</t>
  </si>
  <si>
    <t>AKPAN Ido John</t>
  </si>
  <si>
    <t>OKOROAFO Chigozie Stanley</t>
  </si>
  <si>
    <t xml:space="preserve">ARTHUR-KENNEDY Sandra </t>
  </si>
  <si>
    <t>AMADI Ekechi Stella</t>
  </si>
  <si>
    <t>UBOM Promise Enwongo</t>
  </si>
  <si>
    <t>ADIASANI EMMANUEL KODZO ELIKEM</t>
  </si>
  <si>
    <t>BUKAR Falmata Aliyu</t>
  </si>
  <si>
    <t>OKPOR Jovita Oluchukwu</t>
  </si>
  <si>
    <t>UFFIAH okpan Kanu</t>
  </si>
  <si>
    <t xml:space="preserve">Ogbodo Allison  Ogwa </t>
  </si>
  <si>
    <t>EZENWATA  Victor Chigozie</t>
  </si>
  <si>
    <t>AGBADI Hadiza Eleojo</t>
  </si>
  <si>
    <t>KORUBO Sarah  Soibi</t>
  </si>
  <si>
    <t xml:space="preserve">OKOCHI  CHIDIMMA  </t>
  </si>
  <si>
    <t xml:space="preserve">ANDOH WILLIAMS Lady Eunice </t>
  </si>
  <si>
    <t>ALEX Edwina Idahosa</t>
  </si>
  <si>
    <t>Aruwa Peter Abdulrasaq</t>
  </si>
  <si>
    <t xml:space="preserve">EGHE ASIMEGBE   </t>
  </si>
  <si>
    <t>UKWUANI Precious Oluchi</t>
  </si>
  <si>
    <t>ANIDI Ejiro  EMMANUEL</t>
  </si>
  <si>
    <t>SHITTU Victoria Adeola</t>
  </si>
  <si>
    <t>ONYEONU-HILARY Precious  Nneoma</t>
  </si>
  <si>
    <t>DICKSON Akosua Ampomah</t>
  </si>
  <si>
    <t>AMANKWA Emmanuella Ayinbisa</t>
  </si>
  <si>
    <t>MUHAMMAD Hadiza Umar</t>
  </si>
  <si>
    <t>AREMU sulaiman  kayode</t>
  </si>
  <si>
    <t>TONGO Esosa Sarah</t>
  </si>
  <si>
    <t>ASIEDU Matilda Harmoah</t>
  </si>
  <si>
    <t>CHUKWUDINMA  Oluchi Nene</t>
  </si>
  <si>
    <t xml:space="preserve">ARYEETEY Naa Sakley </t>
  </si>
  <si>
    <t xml:space="preserve">TETTEY  Martin Nii Aryee </t>
  </si>
  <si>
    <t>NWAMARA Kingsley Kemakolam</t>
  </si>
  <si>
    <t xml:space="preserve">YUSUF MANIRU </t>
  </si>
  <si>
    <t>OWHOR Ichemati Ezebunwo</t>
  </si>
  <si>
    <t>NUTEKPOR Sandra Elorm</t>
  </si>
  <si>
    <t xml:space="preserve">OLISA ochiagha </t>
  </si>
  <si>
    <t>KAZUSSAH Joseph Bugri</t>
  </si>
  <si>
    <t>Akintola Oluwatoyin Omolola</t>
  </si>
  <si>
    <t>GUMSU Aisha Abba</t>
  </si>
  <si>
    <t>BRAKO Richmond Afrifa</t>
  </si>
  <si>
    <t>SUNUSI Mujahid Rabiu</t>
  </si>
  <si>
    <t>APATA Banji Sylvester</t>
  </si>
  <si>
    <t>TAMBARI Abdulmumin Usman</t>
  </si>
  <si>
    <t xml:space="preserve">UMAR Muhd Gazali </t>
  </si>
  <si>
    <t>TWUM Andrew Amankwah</t>
  </si>
  <si>
    <t>OKPARA Increase Nnamdi</t>
  </si>
  <si>
    <t>ACQUAAH Velma Aba Darkoa</t>
  </si>
  <si>
    <t>ANIAH Perpetual Ayineboe</t>
  </si>
  <si>
    <t>AKIN-DOSUMU Victoria  Toyosi</t>
  </si>
  <si>
    <t>ASOMANI Jemimah Abena</t>
  </si>
  <si>
    <t xml:space="preserve">ACHINKOK Dominic </t>
  </si>
  <si>
    <t>BABAKURA  Halima Damasak</t>
  </si>
  <si>
    <t>Williams  Lovia Araba</t>
  </si>
  <si>
    <t>OMUMU Onyiye Georgian</t>
  </si>
  <si>
    <t>JIBRIL Fatima Yakub</t>
  </si>
  <si>
    <t xml:space="preserve">YELBERT Judith Maame Tanoa </t>
  </si>
  <si>
    <t>SASU Samuel Kwesi</t>
  </si>
  <si>
    <t xml:space="preserve">FRIMPONG Akosua </t>
  </si>
  <si>
    <t>OBAREIN Ekpen Comfort</t>
  </si>
  <si>
    <t xml:space="preserve">ABIDOYE  Michael  Folaranmi </t>
  </si>
  <si>
    <t xml:space="preserve">EDOKPAYI Harrison </t>
  </si>
  <si>
    <t>OLABISI Oluwafeyikemi Olufunke</t>
  </si>
  <si>
    <t xml:space="preserve">EFERAKEYA Adego </t>
  </si>
  <si>
    <t xml:space="preserve">ZANGWIO Samira </t>
  </si>
  <si>
    <t>MBANUGO Ifunanya Ogochukwu</t>
  </si>
  <si>
    <t xml:space="preserve">MARTYNS-YELLOWE Tomba Berepele </t>
  </si>
  <si>
    <t>ESENE Samuel Aigbobhiose</t>
  </si>
  <si>
    <t>ANICHE Chukwuka Anozie</t>
  </si>
  <si>
    <t>DAMINA Musa Muhammad</t>
  </si>
  <si>
    <t>FARUNA raphael  enejo</t>
  </si>
  <si>
    <t>BALA Habibu Sakaba</t>
  </si>
  <si>
    <t>ADEGOKE Abdulkabir Babajide</t>
  </si>
  <si>
    <t>Ojiebun Oluwaseyi Cecilia</t>
  </si>
  <si>
    <t xml:space="preserve">YOKO ikakita </t>
  </si>
  <si>
    <t>ANTWI Gordon Agyekum</t>
  </si>
  <si>
    <t>HAMZAT Zainab Oluwatoyin</t>
  </si>
  <si>
    <t>ONIYIRE Olajumoke Abiodun</t>
  </si>
  <si>
    <t>MATHEW Habila None</t>
  </si>
  <si>
    <t xml:space="preserve">HABIB  Nafisa  Ringim </t>
  </si>
  <si>
    <t>ANI Kosisochukwu Camela</t>
  </si>
  <si>
    <t>ETENG Ewoni-Sophia Ibiang</t>
  </si>
  <si>
    <t>YAHAYA Zainab  Usman</t>
  </si>
  <si>
    <t>Abdullahi Jabir Muhammad</t>
  </si>
  <si>
    <t xml:space="preserve">OLUJIMI  Eunice  Oluwagbemisola </t>
  </si>
  <si>
    <t xml:space="preserve">KEJI Salamat </t>
  </si>
  <si>
    <t>AJEMIGBITSE Oritsemisan Helen</t>
  </si>
  <si>
    <t>NUGA Edwina Olusola</t>
  </si>
  <si>
    <t>Udom Irene Uju Amos</t>
  </si>
  <si>
    <t>AKOTO NSIAH Deborah Esi</t>
  </si>
  <si>
    <t xml:space="preserve">ANI-ASAMOAH  Gloria </t>
  </si>
  <si>
    <t>ANTHONY ITORO PAUL</t>
  </si>
  <si>
    <t>THOMAS Elvis Ighodaro</t>
  </si>
  <si>
    <t>ADETUNJI EMMANUEL ADEKUNLE</t>
  </si>
  <si>
    <t>TUKO Evans Godday</t>
  </si>
  <si>
    <t>ODOGU Elohor Precious</t>
  </si>
  <si>
    <t>ANYANWU Chinedu Elvire</t>
  </si>
  <si>
    <t>OMEDE Achenyo Abigail</t>
  </si>
  <si>
    <t>olawale Togun Ayobami</t>
  </si>
  <si>
    <t xml:space="preserve">AKANDE  Oyindamola  Bisola </t>
  </si>
  <si>
    <t>OYEBOLA OLUFOLAJIMI OLUFOLAYELE</t>
  </si>
  <si>
    <t>ONYIBIA AKHIGBE-OBOH Oghenetega Chiwendu</t>
  </si>
  <si>
    <t>EZE Kenechukwu Celsus</t>
  </si>
  <si>
    <t>GUBIO Amina Modu</t>
  </si>
  <si>
    <t>SARINA Maryam Ibrahim</t>
  </si>
  <si>
    <t>SACKEYFIO Anastasia Naa Afarley</t>
  </si>
  <si>
    <t>ASEKHAME Omokhowa Tito</t>
  </si>
  <si>
    <t>AKPA victor ochefu</t>
  </si>
  <si>
    <t>OJE Ogbonnaya Donald</t>
  </si>
  <si>
    <t xml:space="preserve">AORGA Aondonengen  James </t>
  </si>
  <si>
    <t>AGBORO Oghenekobiruo Wisdom</t>
  </si>
  <si>
    <t>BELLO OLUROTIMI VICTOR</t>
  </si>
  <si>
    <t>AMAECHI Ijeoma Grace</t>
  </si>
  <si>
    <t>SOKUNBI mbang oluwafunmilayo hephzibah</t>
  </si>
  <si>
    <t xml:space="preserve">AHMED Zainab </t>
  </si>
  <si>
    <t>JATAU Micah Shekwoiko</t>
  </si>
  <si>
    <t>NWANKWO Chinweoke Theresa</t>
  </si>
  <si>
    <t>PETER Moromoke  Esther</t>
  </si>
  <si>
    <t>USMAN Fatima Sadiq</t>
  </si>
  <si>
    <t>EGWORAHA Nwamaka Okoro</t>
  </si>
  <si>
    <t>OPPONG Gideon Yaw</t>
  </si>
  <si>
    <t>TETTEY Louise Nii Ayeboi</t>
  </si>
  <si>
    <t>YEWENU Mawuko Wisdom</t>
  </si>
  <si>
    <t xml:space="preserve">IBRAHIM  Rahinatu </t>
  </si>
  <si>
    <t>FLOMO Emmanuel P</t>
  </si>
  <si>
    <t>SOCRO Terry Juty</t>
  </si>
  <si>
    <t xml:space="preserve">ZIAH II MOSES </t>
  </si>
  <si>
    <t>SHERIFF  Izetta  Sianeh</t>
  </si>
  <si>
    <t>Full Name</t>
  </si>
  <si>
    <t>Email</t>
  </si>
  <si>
    <t>Exams_ID</t>
  </si>
  <si>
    <t>Address</t>
  </si>
  <si>
    <t>Gender</t>
  </si>
  <si>
    <t>Institution</t>
  </si>
  <si>
    <t>Nationality</t>
  </si>
  <si>
    <t>Telephone</t>
  </si>
  <si>
    <t>Viewform</t>
  </si>
  <si>
    <t>Examinations</t>
  </si>
  <si>
    <t>Faculty</t>
  </si>
  <si>
    <t>Exam Centre</t>
  </si>
  <si>
    <t>Currency</t>
  </si>
  <si>
    <t>Reference</t>
  </si>
  <si>
    <t>Exam Fee (=N=)</t>
  </si>
  <si>
    <t>Exam Fee ($)</t>
  </si>
  <si>
    <t/>
  </si>
  <si>
    <t>Practical (=N=)</t>
  </si>
  <si>
    <t>Practical ($)</t>
  </si>
  <si>
    <t>Dissertation (=N=)</t>
  </si>
  <si>
    <t>Dissertation ($)</t>
  </si>
  <si>
    <t>Sum of Practical ($)</t>
  </si>
  <si>
    <t>Sum of Dissertation ($)</t>
  </si>
  <si>
    <t>OTARU  Muhammedtahir</t>
  </si>
  <si>
    <t>Iya Tobi</t>
  </si>
  <si>
    <t>Transcript</t>
  </si>
  <si>
    <t>Ore clothes</t>
  </si>
  <si>
    <t>Manager</t>
  </si>
  <si>
    <t>Comm. Levy</t>
  </si>
  <si>
    <t>electricity</t>
  </si>
  <si>
    <t>Grand Total</t>
  </si>
  <si>
    <t>Exam Fees (=N=)</t>
  </si>
  <si>
    <t>Exam Fees ($)</t>
  </si>
  <si>
    <t>Practicals (=N=)</t>
  </si>
  <si>
    <t>Practicals ($)</t>
  </si>
  <si>
    <t>Dissertation Fee (=N=)</t>
  </si>
  <si>
    <t>Dissertation Fee ($)</t>
  </si>
  <si>
    <t>Count Registration</t>
  </si>
  <si>
    <t>₦</t>
  </si>
  <si>
    <t>Count of Candidates</t>
  </si>
  <si>
    <t>Candidates by Nationality</t>
  </si>
  <si>
    <t>Foundation</t>
  </si>
  <si>
    <t xml:space="preserve">Behind Kamara Foundation School Gombe Gombe State </t>
  </si>
  <si>
    <t>Associate</t>
  </si>
  <si>
    <t>1. APPLICANT PASSED Associate EXAM IN OCTOBER 2013._x000D_
2. HAS NOT SUBMITTED RECEIPT FOR PAY OF Associate ADMISSION FEE BUT HAS SUBMITTED RECEIPT FOR PAYMENT OF GOWN ETC._x000D_
3. HAS SUBMITTED RECEIPTS FOR PAYMENT OF DUES FOR ONLY 2020 AND 2025. SHOULD UPLOAD RECEIPTS FOR THE OUTSTANDING YEARS _x000D_
4. UPDATE COURSE CERTIFICATE IS DATED 2016. VALIDITY LAPSED IN 2021.  5. ETHICS COURSE CERTIFICATE IS DATED 2013.</t>
  </si>
  <si>
    <t>Candidate did not fulfill the duration of training for Associate examination before registration for the examinations._x000D_
2. Candidate commenced postings for the Associate examination before admission into the training program._x000D_
Candidate passed Foundation examination in August 2024 but claimed to have commenced postings in 2023.</t>
  </si>
  <si>
    <t>Candidate received approval for exmption from Foundation examination in May 2025, candidate has not fulfilled the mandatory minimum period of training required for Associate examination.</t>
  </si>
  <si>
    <t>Candidate did not fulfill the duration of training for Associate examination before registration for the examinations._x000D_
2. Candidate commenced postings for the Associate examination before admission into the training program_x000D_
Candidate passed Foundation examination in August 2024 but claimed to have commenced postings in 2023.</t>
  </si>
  <si>
    <t>Specialist</t>
  </si>
  <si>
    <t xml:space="preserve">1. APPLICANT PASSED Associate IN MARCH 2024 AND STARTED Specialist TRAINING IN APRIL 2024. DURATION OF Specialist TRAINING IS LESS THAN THE MINIMUM TOTAL OF 24 MONTHS )EXCLUDING LEAVE PERIODS)._x000D_
2. EARLIEST TIME APPLICANT BECOMES ELIBLE FOR Specialist EXAM IS APRIL 2026. </t>
  </si>
  <si>
    <t>Behavioral Health</t>
  </si>
  <si>
    <t xml:space="preserve">Behavioral Health department, urban comprehensive health center, Eleyele, Ile-Ife, Osun State, Nigeria. </t>
  </si>
  <si>
    <t>Department of Behavioral Health and Foundation Care, Lagos University Teaching Hospital, Idi-Araba, Lagos State.</t>
  </si>
  <si>
    <t>Department of Behavioral Health, Urban Comprehensive Health Centre, Obafemi Awolowo University Teaching Hospitals Complex (OAUTHC), Ile-Ife, Osun State, Nigeria</t>
  </si>
  <si>
    <t>C/O Department of Behavioral Health,University of Uyo Teaching Hospital,UUTH,Uyo Akwa Ibom State.</t>
  </si>
  <si>
    <t>Child Health</t>
  </si>
  <si>
    <t>Child Health-CARDIOLOGY</t>
  </si>
  <si>
    <t>Department of Child Health, ESUT Teching Hospital, Parklane, Enugu</t>
  </si>
  <si>
    <t>DEPARTMENT OF Child Health,LAGOS UNIVERSITY TEACHING HOSPITAL, IDI-ARABA</t>
  </si>
  <si>
    <t>Department of Child Health Nnamdi Azikiwe university teaching hospital Nnewi Anambra state</t>
  </si>
  <si>
    <t>Child Health-ENDOCRINOLGY</t>
  </si>
  <si>
    <t xml:space="preserve">Department of Child Health, Aminu kano teaching hospital. Kano state </t>
  </si>
  <si>
    <t>Child Health-DERMATOLOGY</t>
  </si>
  <si>
    <t>Child Health-GASTROENTEROLOGY</t>
  </si>
  <si>
    <t>Department of Child Health, University of Port Harcourt Teaching Hospital</t>
  </si>
  <si>
    <t>Child Health-NEPHROLOGY</t>
  </si>
  <si>
    <t>Edward Francis small teaching hospital,Child Health department  Banjul</t>
  </si>
  <si>
    <t xml:space="preserve">Dept of Child Health , Nnamdi Azikiwe University Teaching Hospital, Nnewi, Anambra State  </t>
  </si>
  <si>
    <t>Department of Child Health, University of Uyo Teaching Hospital, Uyo, Akwa Ibom State</t>
  </si>
  <si>
    <t>Department of Child Health, Rivers State University Teaching Hospital</t>
  </si>
  <si>
    <t>DEPARTMENT OF Child Health, UNIOSUN TEACHING HOSPITAL OSOGBO OSUN STATE.</t>
  </si>
  <si>
    <t xml:space="preserve">Department of Child Health, Federal Medical Centre Umuahia, Abia State, Nigeria </t>
  </si>
  <si>
    <t>Dept of Child Health, UPTH, P. M. B 6173, Port Harcourt</t>
  </si>
  <si>
    <t>Department of Child Health Unilorin Teaching Hospital</t>
  </si>
  <si>
    <t>Department of Child Health, PMB 06, ABU Teaching Hospital, Shika Zaria</t>
  </si>
  <si>
    <t>Child Health-INFECTIOUS DISEASES</t>
  </si>
  <si>
    <t>Department of Child Health, FTH Katsina</t>
  </si>
  <si>
    <t>C/o Department of Child Health,JUTH, P.M.B 2076, Jos, Plateau State</t>
  </si>
  <si>
    <t>Department of Child Health, University of Benin Teaching Hospital, Benin City, Edo State</t>
  </si>
  <si>
    <t>department of Child Health, FUTH, Owerri</t>
  </si>
  <si>
    <t>Department Of Child Health University Of Calabar Teaching Hospital Calabar Cross River State</t>
  </si>
  <si>
    <t>Child Health-RHEUMATOLOGY</t>
  </si>
  <si>
    <t>Department of Child Health, Federal Medical Centre,  PMB 502, Yenagoa, Bayelsa state, Nigeria</t>
  </si>
  <si>
    <t>Department of Child Health, Federal Medical Centre, Abuja</t>
  </si>
  <si>
    <t>Child Health, RIVERS STATE UNIVERSITY TEACHING HOSPITAL, PORT HARCOURT</t>
  </si>
  <si>
    <t>DEPARTMENT OF Child Health, JUTH, PMB 2076, JOS . PLATEAU STATE</t>
  </si>
  <si>
    <t>Department of Child Health Abubakar Tafawa Balewa university teaching hospital ATBUTHBauchi</t>
  </si>
  <si>
    <t>DEPARTMENT OF Child Health NAUTH NNEWI</t>
  </si>
  <si>
    <t>Department of Child Health, Abubakar Tafawa University Teaching Hospital Bauchi. PMB 0117</t>
  </si>
  <si>
    <t xml:space="preserve">Dept. of Child Health ABUTH, PMB 06, Shika Zaria </t>
  </si>
  <si>
    <t>Department of Child Health, Usman Dan Fodiyo University Teaching Hospital Sokoto</t>
  </si>
  <si>
    <t>Department of Child Health, Federal Medical Centre, Yenagoa, Bayelsa State</t>
  </si>
  <si>
    <t>Child Health-NEUROLOGY</t>
  </si>
  <si>
    <t xml:space="preserve">Department of Child Health, Benue State University Teaching Hospital, Makurdi, Benue State. </t>
  </si>
  <si>
    <t xml:space="preserve">Department of Child Health, federal medical center Bida Niger state </t>
  </si>
  <si>
    <t xml:space="preserve">Dept. of Child Health, Federal Medical Center, Abeokuta </t>
  </si>
  <si>
    <t>DEPT. OF Child Health,</t>
  </si>
  <si>
    <t>Department of Child Health, University of Benin Teaching Hospital, Benin City, Edo State.</t>
  </si>
  <si>
    <t>Dept Of Child Health, UDUTH, Sokoto</t>
  </si>
  <si>
    <t>Department of Child Health Aminu Kano Teaching Hospital, Kano State, Nigeria</t>
  </si>
  <si>
    <t>National Hospital Abuja, department of Child Health, Garki  Phase 2, Abuja</t>
  </si>
  <si>
    <t>DEPARTMENT OF Child Health, UDUTH, SOKOTO</t>
  </si>
  <si>
    <t>Clinical Medicine</t>
  </si>
  <si>
    <t>Department of Clinical Medicine, Nnamdi Azikiwe University teaching hospital, Nnewi Anambra state.</t>
  </si>
  <si>
    <t>Dept. of Clinical Medicine, Federal Medical Centre Gusau, Zamfara State</t>
  </si>
  <si>
    <t>Department of Clinical Medicine, Nnamdi Azikiwe University Teaching Hospital Nnewi, Anambra</t>
  </si>
  <si>
    <t>KBTH Polyclinic/Clinical Medicine</t>
  </si>
  <si>
    <t>Clinical Medicine DEPARTMENT, UNIVERSITY OF NIGERIA TEACHING HOSPITAL, ITUKU OZALLA, ENUGU</t>
  </si>
  <si>
    <t>Department  of Clinical Medicine, Lagos University Teaching Hospital ,Idi-araba</t>
  </si>
  <si>
    <t xml:space="preserve">Department of Clinical Medicine barau dikko teaching hospital kaduna </t>
  </si>
  <si>
    <t>c/o Dr. Orji Donatus Onyeka, Department of Clinical Medicine, Nnamdi Azikiwe University Teaching Hospital, Nnewi, Anambra State, Nigeria</t>
  </si>
  <si>
    <t>Clinical Medicine Department JUTH Jos, Lamingo Plateau State</t>
  </si>
  <si>
    <t>Department of Clinical Medicine,Usman danfodio university teaching hospital sokoto.</t>
  </si>
  <si>
    <t xml:space="preserve">Department of Clinical Medicine,Ahmadu Bello University Teaching Hospital Zaria,Kaduna State.Nigeria </t>
  </si>
  <si>
    <t>Department of Clinical Medicine,ESUT Teaching Hospital Parklane, Enugu, Enugu State</t>
  </si>
  <si>
    <t>Clinical Medicine, UNIVERSITY COLLEGE HOSPITAL, IBADAN.</t>
  </si>
  <si>
    <t>DEPARTMENT OF Clinical Medicine,LAGOS UNIVERSITY TEACHING HOSPITAL, IDI-ARABA,LAGOS</t>
  </si>
  <si>
    <t>DEPARTMENT OF Clinical Medicine, FEDERAL MEDICAL CENTRE OWERRI</t>
  </si>
  <si>
    <t>Department of Clinical Medicine,  Barau Dikko Teaching Hospital Kaduna.</t>
  </si>
  <si>
    <t>Clinical Medicine Department, university of port harcourt teaching hospital, port harcourt</t>
  </si>
  <si>
    <t>Department of Clinical Medicine, Rivers State University Teaching Hospital,Port Harcourt. Rivers State, Nigeria.</t>
  </si>
  <si>
    <t xml:space="preserve">Clinical Medicine DEPARTMENT FEDERAL MEDICAL CENTER OWERRI, IMO STATE. </t>
  </si>
  <si>
    <t>DEPARTMENT OF Clinical Medicine, LAGOS UNIVERSITY TEACHING HOSPITAL,IDI-ARABA,LAGOS</t>
  </si>
  <si>
    <t>Clinical Medicine DEPARTMENT FEDERAL TEACHING HOSPITAL KATSINA</t>
  </si>
  <si>
    <t xml:space="preserve">C/O Clinical Medicine Department, Federal Medical Centre, Bida, Niger State </t>
  </si>
  <si>
    <t>Clinical Medicine department, Jericho Specialist Hospital, Jericho, Ibadan</t>
  </si>
  <si>
    <t>Clinical Medicine DEPARTMENT, MURTALA MUHAMMAD SPECIALIST HOSPITAL, KANO</t>
  </si>
  <si>
    <t>Department of Clinical Medicine, OAUTHC, Ile-ife</t>
  </si>
  <si>
    <t>Dept of Clinical Medicine, University of Port Harcourt Teaching Hospital, Port Harcourt</t>
  </si>
  <si>
    <t>Department of Clinical Medicine, Alex Ekwueme federal university teaching hospital, Abakaliki</t>
  </si>
  <si>
    <t>DEPARTMENT OF Clinical Medicine, EKITI STATE UNIVERSITY TEACHING HOSPITAL , ADO EKITI</t>
  </si>
  <si>
    <t xml:space="preserve">DEPARTMENT OF Clinical Medicine, EKITI STATE UNIVERSITY TEACHING HOSPITAL ADO EKITI, EKITI STATE </t>
  </si>
  <si>
    <t>Department of Clinical Medicine, University of Port Harcourt Teaching Hospital, Port Harcourt</t>
  </si>
  <si>
    <t>Department of Clinical Medicine, Jos University Teaching Hospital P.M.B 2076, Jos</t>
  </si>
  <si>
    <t>Clinical Medicine department, Ahmadu bello university,</t>
  </si>
  <si>
    <t xml:space="preserve">DEPARTMENT OF Clinical Medicine,AMINU KANO TEACHING HOSPITAL,KANO. </t>
  </si>
  <si>
    <t>C/O DEPARTMENT OF Clinical Medicine, UNIVERSITY OF BENIN TEACHING HOSPITAL, BENIN CITY, EDO STATE.</t>
  </si>
  <si>
    <t>Korle Bu Polyclinic/ Clinical Medicine Department</t>
  </si>
  <si>
    <t xml:space="preserve">Department of Clinical Medicine, University of Ilorin Teaching Hospital </t>
  </si>
  <si>
    <t>Clinical Medicine-CHEMICAL PATHOLOGY</t>
  </si>
  <si>
    <t>Clinical Medicine-ANATOMIC PATHOLOGY</t>
  </si>
  <si>
    <t>Clinical Medicine-MEDICAL MICROBIOLOGY</t>
  </si>
  <si>
    <t>Clinical Medicine-HAEMATOLOGY</t>
  </si>
  <si>
    <t>Population Health</t>
  </si>
  <si>
    <t>Department of Population Health ,University of Maiduguri teaching Hospital, Maiduguri, Borno State</t>
  </si>
  <si>
    <t xml:space="preserve">DEPARTMENT OF Population Health </t>
  </si>
  <si>
    <t>Department of Population Health, P. O. Box CT 1363, Cape Coast</t>
  </si>
  <si>
    <t>Department of Population Health Nnamdi Azikiwe University Teaching Hospital Nnewi</t>
  </si>
  <si>
    <t>Department of Population Health, Federal Medical Centre Jalingo</t>
  </si>
  <si>
    <t>Department of Population Health FMC Umuahia, Abia State</t>
  </si>
  <si>
    <t>Department of Population Health, Alex Ekwueme Federal University Teaching Hospital, Abakaliki, Ebonyi State</t>
  </si>
  <si>
    <t>DEPARTMENT OF Population Health FEDERAL MEDICAL CENTRE ABUJA</t>
  </si>
  <si>
    <t>DEPARTMENT OF Population Health UNIVERSITY OF CALABAR TEACHING HOSPITAL</t>
  </si>
  <si>
    <t>Dept of Population Health National Hospital Abuja</t>
  </si>
  <si>
    <t>DEPARTMENT OF Population Health, ENUGU STATE UNIVERSITY TEACHING HOSPITAL,PARKLANE ENUGU.</t>
  </si>
  <si>
    <t>Department of Population Health, Babcock university teaching hospital, Ilishan-Remo Ogun state.</t>
  </si>
  <si>
    <t>Department of Population Health, Babcock university teaching hospital, Ilishan-Remo Ogun state</t>
  </si>
  <si>
    <t>DEPARTMENT OF Population Health AMINU KANO TEACHING HOSPITAL P.M.B. 3452 ZARIA ROAD KANO</t>
  </si>
  <si>
    <t xml:space="preserve">c/o Office of the H.O.D, Population Health department, University of Calabar Teaching Hospital (UCTH), Calabar, Cross River State </t>
  </si>
  <si>
    <t>Department of  Population Health, Lautech Teaching Hospital Osogbo</t>
  </si>
  <si>
    <t>Department of Population Health, ARD University of Port Harcourt Teaching Hospital, P.O. Box 11178, PH, Ri</t>
  </si>
  <si>
    <t>Department of Population Health,Federal Teaching Hospital Katsina, Katsina, Nigeria.</t>
  </si>
  <si>
    <t>University of Abuja Teaching Hospital, Population Health department.</t>
  </si>
  <si>
    <t>DEPARTMENT OF Population Health, FEDERAL MEDICAL CENTRE, P.M,B. 14, BIDA, NIGER STATE</t>
  </si>
  <si>
    <t>Population Health Department Aminu Kano Teaching Hospital</t>
  </si>
  <si>
    <t>Department of Population Health,Ekiti state University Teaching Hospital,Ado-Ekiti</t>
  </si>
  <si>
    <t>Department of Population Health, ABUTH, Zaria</t>
  </si>
  <si>
    <t>Department of Population Health, Obafemi Awolowo University, Ile-Ife. Osun State.</t>
  </si>
  <si>
    <t>Department of Population Health, University Of Maiduguri Teaching Hospital, PMB 1414. Maiduguri Borno Stat</t>
  </si>
  <si>
    <t>Department of Population Health, University of Maiduguri Teaching Hospital, Maiduguri, Borno</t>
  </si>
  <si>
    <t>Department of Population Health, UMTH.</t>
  </si>
  <si>
    <t xml:space="preserve">Department of Population Health Federal medical centre owo </t>
  </si>
  <si>
    <t>DEPARTMENT OF Population Health,  FMC OWO, PMB 1053,OWO, ONDO STATE</t>
  </si>
  <si>
    <t>Department of Population Health, Federal Medical Center Yenagoa, Bayelsa State</t>
  </si>
  <si>
    <t>University of Maiduguri Teaching Hospital, Dept of Population Health. Born State.</t>
  </si>
  <si>
    <t xml:space="preserve">University of Maiduguri Teaching Hospital Dept of Population Health </t>
  </si>
  <si>
    <t>COY Population Health</t>
  </si>
  <si>
    <t xml:space="preserve">Federal  Medical Center Birnin kudu department of Population Health P.M.B1022,Jigawa state </t>
  </si>
  <si>
    <t>Dept. of Population Health, ABUTH, PMB 06 Shika Zaria, Kaduna State</t>
  </si>
  <si>
    <t xml:space="preserve">Department of Population Health, Lagos University Teaching Hospital, Lagos </t>
  </si>
  <si>
    <t xml:space="preserve">Department of Population Health, Lagos University Teaching Hospital, Idi-Araba, Lagos </t>
  </si>
  <si>
    <t>DEPARTMENT OF Population Health, FMC, GUSAU, ZAMFARA STATE</t>
  </si>
  <si>
    <t>Department of Population Health, Ahmadu Bello University Teaching Hospital, Zaria</t>
  </si>
  <si>
    <t>DEPARTMENT OF Population Health, DALHATU ARAF SPECIALIST HOSPITAL, LAFIA, PMB 007</t>
  </si>
  <si>
    <t>Department of Population Health</t>
  </si>
  <si>
    <t>DEPT OF Population Health, FUTHO</t>
  </si>
  <si>
    <t>Department of Population Health University of Abuja Teaching Hospital Gwagwalada, FCT, Abuja</t>
  </si>
  <si>
    <t>Department of Population Health, Benue State University Teaching Hospital, Makurdi, Benue State</t>
  </si>
  <si>
    <t>Population Health-CARDIOLOGY</t>
  </si>
  <si>
    <t>Population Health-INFECTIOUS DISEASES</t>
  </si>
  <si>
    <t>Primary Care</t>
  </si>
  <si>
    <t xml:space="preserve">Department of Primary Care UCH, Ibadan - Oyo state. </t>
  </si>
  <si>
    <t>Department of Primary Care, Federal Teaching Hospital (FTH) Owerri, PMB 1010 Orlu Road Owerri, Imo State, Nigeria</t>
  </si>
  <si>
    <t>Federal Neuro-Primary Care Hospital Uselu Benin city</t>
  </si>
  <si>
    <t>Federal NeuroPrimary Care Hospital Enugu State,Nigeria</t>
  </si>
  <si>
    <t>Candidates by Professional Discipline</t>
  </si>
  <si>
    <t>Candidates by Exams Type</t>
  </si>
  <si>
    <t>Candidates Distriution by Gender</t>
  </si>
  <si>
    <t>Total Candidates</t>
  </si>
  <si>
    <t>Regional Revenue</t>
  </si>
  <si>
    <t>International Revenue</t>
  </si>
  <si>
    <t xml:space="preserve">      </t>
  </si>
  <si>
    <t>Total (₦)</t>
  </si>
  <si>
    <t>Exam Fees</t>
  </si>
  <si>
    <t xml:space="preserve">Practicals </t>
  </si>
  <si>
    <t>Dissertation</t>
  </si>
  <si>
    <t>Total ($)</t>
  </si>
  <si>
    <t>Revenue by Professional Discipline</t>
  </si>
  <si>
    <t>Regional Revenue (₦)</t>
  </si>
  <si>
    <t>International Revenue ($)</t>
  </si>
  <si>
    <t>Examination revenue</t>
  </si>
  <si>
    <t>SUMMARY ANALYSIS — PIVOT TABLES &amp; AGGREGATED METRICS</t>
  </si>
  <si>
    <t>Total Candidates: 1,023  |  Female: 571 (55.8%)  |  Male: 452 (44.2%)  |  Total Revenue (NGN): ₦400,075,000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</si>
</sst>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_);_(* \(#,##0\);_(* &quot;-&quot;??_);_(@_)"/>
    <numFmt numFmtId="165" formatCode="[&gt;=1000000]0,&quot;M&quot;;[&gt;=1000]0,&quot;K&quot;;0"/>
    <numFmt numFmtId="166" formatCode="[&gt;=1000000]#,##0,&quot; M&quot;;[&gt;=1000]#,##0,&quot; K&quot;;0"/>
    <numFmt numFmtId="167" formatCode="[&gt;=1000000]#,##0,&quot; M&quot;;[&gt;=1000]0.0,&quot; K&quot;;0"/>
    <numFmt numFmtId="168" formatCode="[&gt;=1000000]#,##0,&quot; M&quot;;[&gt;=1000]0,&quot; K&quot;;0"/>
    <numFmt numFmtId="169" formatCode="[&gt;=1000000]0.0,,&quot; M&quot;;[&gt;=1000]0.0,&quot; K&quot;;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name val="Aptos Narrow"/>
      <family val="2"/>
      <scheme val="minor"/>
    </font>
    <font>
      <b/>
      <sz val="13"/>
      <color rgb="FFFFFFFF"/>
      <name val="Calibri"/>
      <family val="2"/>
    </font>
    <font>
      <sz val="9"/>
      <color rgb="FFFFFFFF"/>
      <name val="Calibri"/>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9" tint="0.79998168889431442"/>
        <bgColor indexed="64"/>
      </patternFill>
    </fill>
    <fill>
      <patternFill patternType="solid">
        <fgColor rgb="FFE4DEE2"/>
        <bgColor indexed="64"/>
      </patternFill>
    </fill>
    <fill>
      <patternFill patternType="solid">
        <fgColor rgb="FFFFFFB9"/>
        <bgColor indexed="64"/>
      </patternFill>
    </fill>
    <fill>
      <patternFill patternType="solid">
        <fgColor theme="0"/>
        <bgColor theme="4" tint="0.79998168889431442"/>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92D050"/>
        <bgColor indexed="64"/>
      </patternFill>
    </fill>
    <fill>
      <patternFill patternType="solid">
        <fgColor rgb="FF1B2A4A"/>
        <bgColor rgb="FF003366"/>
      </patternFill>
    </fill>
    <fill>
      <patternFill patternType="solid">
        <fgColor rgb="FF0B6E7A"/>
        <bgColor rgb="FF008080"/>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hair">
        <color indexed="64"/>
      </left>
      <right style="hair">
        <color indexed="64"/>
      </right>
      <top style="hair">
        <color indexed="64"/>
      </top>
      <bottom style="hair">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6">
    <xf numFmtId="0" fontId="0" fillId="0" borderId="0" xfId="0"/>
    <xf numFmtId="4" fontId="0" fillId="0" borderId="0" xfId="0" applyNumberFormat="1"/>
    <xf numFmtId="0" fontId="0" fillId="0" borderId="0" xfId="0" quotePrefix="1"/>
    <xf numFmtId="0" fontId="0" fillId="0" borderId="0" xfId="0" applyAlignment="1">
      <alignment wrapText="1"/>
    </xf>
    <xf numFmtId="3" fontId="0" fillId="0" borderId="0" xfId="0" applyNumberFormat="1"/>
    <xf numFmtId="0" fontId="14" fillId="0" borderId="0" xfId="0" applyFont="1"/>
    <xf numFmtId="0" fontId="14" fillId="0" borderId="0" xfId="0" quotePrefix="1" applyFont="1"/>
    <xf numFmtId="4" fontId="14" fillId="0" borderId="0" xfId="0" applyNumberFormat="1" applyFont="1"/>
    <xf numFmtId="0" fontId="0" fillId="33" borderId="0" xfId="0" applyFill="1"/>
    <xf numFmtId="0" fontId="0" fillId="33" borderId="0" xfId="0" quotePrefix="1" applyFill="1"/>
    <xf numFmtId="4" fontId="0" fillId="33" borderId="0" xfId="0" applyNumberFormat="1" applyFill="1"/>
    <xf numFmtId="0" fontId="18" fillId="0" borderId="0" xfId="42"/>
    <xf numFmtId="1" fontId="0" fillId="0" borderId="0" xfId="0" applyNumberFormat="1" applyAlignment="1">
      <alignment horizontal="right"/>
    </xf>
    <xf numFmtId="1" fontId="0" fillId="0" borderId="0" xfId="0" quotePrefix="1" applyNumberFormat="1" applyAlignment="1">
      <alignment horizontal="right"/>
    </xf>
    <xf numFmtId="1" fontId="14" fillId="0" borderId="0" xfId="0" applyNumberFormat="1" applyFont="1" applyAlignment="1">
      <alignment horizontal="right"/>
    </xf>
    <xf numFmtId="1" fontId="0" fillId="33" borderId="0" xfId="0" quotePrefix="1" applyNumberFormat="1" applyFill="1" applyAlignment="1">
      <alignment horizontal="right"/>
    </xf>
    <xf numFmtId="43" fontId="0" fillId="0" borderId="0" xfId="43" applyFont="1"/>
    <xf numFmtId="43" fontId="0" fillId="34" borderId="0" xfId="43" applyFont="1" applyFill="1"/>
    <xf numFmtId="0" fontId="0" fillId="0" borderId="0" xfId="0" applyAlignment="1">
      <alignment horizontal="center" vertical="center" wrapText="1"/>
    </xf>
    <xf numFmtId="1" fontId="0" fillId="0" borderId="0" xfId="0" applyNumberFormat="1" applyAlignment="1">
      <alignment horizontal="center" vertical="center" wrapText="1"/>
    </xf>
    <xf numFmtId="43" fontId="0" fillId="34" borderId="0" xfId="43" applyFont="1" applyFill="1" applyAlignment="1">
      <alignment horizontal="center" vertical="center" wrapText="1"/>
    </xf>
    <xf numFmtId="43" fontId="0" fillId="35" borderId="0" xfId="43" applyFont="1" applyFill="1" applyAlignment="1">
      <alignment horizontal="center" vertical="center" wrapText="1"/>
    </xf>
    <xf numFmtId="43" fontId="0" fillId="35" borderId="0" xfId="43" applyFont="1" applyFill="1"/>
    <xf numFmtId="43" fontId="0" fillId="36" borderId="0" xfId="43" applyFont="1" applyFill="1" applyAlignment="1">
      <alignment horizontal="center" vertical="center" wrapText="1"/>
    </xf>
    <xf numFmtId="43" fontId="0" fillId="36" borderId="0" xfId="43" applyFont="1" applyFill="1"/>
    <xf numFmtId="0" fontId="16" fillId="0" borderId="0" xfId="0" applyFont="1" applyAlignment="1">
      <alignment horizontal="center" vertical="center" wrapText="1"/>
    </xf>
    <xf numFmtId="166" fontId="0" fillId="0" borderId="0" xfId="0" applyNumberFormat="1"/>
    <xf numFmtId="166" fontId="16" fillId="38" borderId="10" xfId="0" applyNumberFormat="1" applyFont="1" applyFill="1" applyBorder="1"/>
    <xf numFmtId="0" fontId="0" fillId="39" borderId="0" xfId="0" applyFill="1"/>
    <xf numFmtId="167" fontId="0" fillId="0" borderId="0" xfId="0" applyNumberFormat="1"/>
    <xf numFmtId="10" fontId="0" fillId="0" borderId="0" xfId="0" applyNumberFormat="1"/>
    <xf numFmtId="9" fontId="0" fillId="0" borderId="0" xfId="44" applyFont="1"/>
    <xf numFmtId="9" fontId="19" fillId="0" borderId="0" xfId="44" applyFont="1"/>
    <xf numFmtId="0" fontId="0" fillId="42" borderId="0" xfId="0" applyFill="1" applyAlignment="1">
      <alignment horizontal="left"/>
    </xf>
    <xf numFmtId="0" fontId="0" fillId="42" borderId="0" xfId="0" applyFill="1" applyAlignment="1">
      <alignment horizontal="center"/>
    </xf>
    <xf numFmtId="0" fontId="20" fillId="43" borderId="0" xfId="0" applyFont="1" applyFill="1" applyAlignment="1">
      <alignment horizontal="center" vertical="center"/>
    </xf>
    <xf numFmtId="0" fontId="21" fillId="44" borderId="0" xfId="0" applyFont="1" applyFill="1" applyAlignment="1">
      <alignment horizontal="center" vertical="center"/>
    </xf>
    <xf numFmtId="0" fontId="0" fillId="0" borderId="11" xfId="0" pivotButton="1" applyBorder="1" applyAlignment="1">
      <alignment horizontal="center" vertical="center"/>
    </xf>
    <xf numFmtId="0" fontId="0" fillId="0" borderId="11" xfId="0" applyBorder="1" applyAlignment="1">
      <alignment horizontal="center" vertical="center" wrapText="1"/>
    </xf>
    <xf numFmtId="0" fontId="0" fillId="0" borderId="11" xfId="0" applyBorder="1" applyAlignment="1">
      <alignment horizontal="left"/>
    </xf>
    <xf numFmtId="167" fontId="0" fillId="0" borderId="11" xfId="0" applyNumberFormat="1" applyBorder="1"/>
    <xf numFmtId="0" fontId="0" fillId="0" borderId="11" xfId="0" pivotButton="1" applyBorder="1"/>
    <xf numFmtId="0" fontId="0" fillId="0" borderId="11" xfId="0" applyBorder="1"/>
    <xf numFmtId="0" fontId="16" fillId="0" borderId="11" xfId="0" applyFont="1" applyBorder="1" applyAlignment="1">
      <alignment vertical="center"/>
    </xf>
    <xf numFmtId="168" fontId="0" fillId="0" borderId="11" xfId="0" applyNumberFormat="1" applyBorder="1"/>
    <xf numFmtId="169" fontId="0" fillId="0" borderId="11" xfId="0" applyNumberFormat="1" applyBorder="1"/>
    <xf numFmtId="0" fontId="0" fillId="0" borderId="11" xfId="0" pivotButton="1" applyBorder="1" applyAlignment="1">
      <alignment horizontal="center" vertical="center" wrapText="1"/>
    </xf>
    <xf numFmtId="164" fontId="0" fillId="0" borderId="11" xfId="0" applyNumberFormat="1" applyBorder="1"/>
    <xf numFmtId="0" fontId="16" fillId="37" borderId="11" xfId="0" applyFont="1" applyFill="1" applyBorder="1"/>
    <xf numFmtId="0" fontId="16" fillId="37" borderId="11" xfId="0" applyFont="1" applyFill="1" applyBorder="1" applyAlignment="1">
      <alignment horizontal="center" vertical="center" wrapText="1"/>
    </xf>
    <xf numFmtId="164" fontId="16" fillId="0" borderId="11" xfId="0" applyNumberFormat="1" applyFont="1" applyBorder="1"/>
    <xf numFmtId="0" fontId="16" fillId="0" borderId="11" xfId="0" applyFont="1" applyBorder="1" applyAlignment="1">
      <alignment horizontal="center"/>
    </xf>
    <xf numFmtId="0" fontId="16" fillId="40" borderId="11" xfId="0" applyFont="1" applyFill="1" applyBorder="1" applyAlignment="1">
      <alignment horizontal="center"/>
    </xf>
    <xf numFmtId="0" fontId="16" fillId="41" borderId="11" xfId="0" applyFont="1" applyFill="1" applyBorder="1" applyAlignment="1">
      <alignment horizontal="center"/>
    </xf>
    <xf numFmtId="167" fontId="0" fillId="40" borderId="11" xfId="0" applyNumberFormat="1" applyFill="1" applyBorder="1"/>
    <xf numFmtId="167" fontId="0" fillId="41" borderId="11" xfId="0" applyNumberFormat="1" applyFill="1" applyBorder="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205">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right style="hair">
          <color indexed="64"/>
        </right>
        <top style="hair">
          <color indexed="64"/>
        </top>
        <bottom style="hair">
          <color indexed="64"/>
        </bottom>
        <vertical style="hair">
          <color indexed="64"/>
        </vertical>
        <horizontal style="hair">
          <color indexed="64"/>
        </horizontal>
      </border>
    </dxf>
    <dxf>
      <border>
        <right style="hair">
          <color indexed="64"/>
        </right>
        <top style="hair">
          <color indexed="64"/>
        </top>
        <bottom style="hair">
          <color indexed="64"/>
        </bottom>
        <vertical style="hair">
          <color indexed="64"/>
        </vertical>
        <horizontal style="hair">
          <color indexed="64"/>
        </horizontal>
      </border>
    </dxf>
    <dxf>
      <border>
        <right style="hair">
          <color indexed="64"/>
        </right>
        <top style="hair">
          <color indexed="64"/>
        </top>
        <bottom style="hair">
          <color indexed="64"/>
        </bottom>
        <vertical style="hair">
          <color indexed="64"/>
        </vertical>
        <horizontal style="hair">
          <color indexed="64"/>
        </horizontal>
      </border>
    </dxf>
    <dxf>
      <border>
        <right style="hair">
          <color indexed="64"/>
        </right>
        <top style="hair">
          <color indexed="64"/>
        </top>
        <bottom style="hair">
          <color indexed="64"/>
        </bottom>
        <vertical style="hair">
          <color indexed="64"/>
        </vertical>
        <horizontal style="hair">
          <color indexed="64"/>
        </horizontal>
      </border>
    </dxf>
    <dxf>
      <border>
        <right style="hair">
          <color indexed="64"/>
        </right>
        <top style="hair">
          <color indexed="64"/>
        </top>
        <bottom style="hair">
          <color indexed="64"/>
        </bottom>
        <vertical style="hair">
          <color indexed="64"/>
        </vertical>
        <horizontal style="hair">
          <color indexed="64"/>
        </horizontal>
      </border>
    </dxf>
    <dxf>
      <border>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alignment horizontal="center"/>
    </dxf>
    <dxf>
      <alignment vertical="center"/>
    </dxf>
    <dxf>
      <alignment wrapText="1"/>
    </dxf>
    <dxf>
      <alignment wrapText="1"/>
    </dxf>
    <dxf>
      <alignment horizontal="center"/>
    </dxf>
    <dxf>
      <alignment horizontal="center"/>
    </dxf>
    <dxf>
      <alignment vertical="center"/>
    </dxf>
    <dxf>
      <alignment vertical="center"/>
    </dxf>
    <dxf>
      <alignment horizontal="center"/>
    </dxf>
    <dxf>
      <alignment vertical="center"/>
    </dxf>
    <dxf>
      <numFmt numFmtId="164" formatCode="_(* #,##0_);_(* \(#,##0\);_(* &quot;-&quot;??_);_(@_)"/>
    </dxf>
    <dxf>
      <alignment wrapText="1"/>
    </dxf>
    <dxf>
      <alignment wrapText="1"/>
    </dxf>
    <dxf>
      <alignment horizontal="center"/>
    </dxf>
    <dxf>
      <alignment horizontal="center"/>
    </dxf>
    <dxf>
      <alignment vertical="center"/>
    </dxf>
    <dxf>
      <alignment vertical="center"/>
    </dxf>
    <dxf>
      <alignment horizontal="center"/>
    </dxf>
    <dxf>
      <alignment vertical="center"/>
    </dxf>
    <dxf>
      <numFmt numFmtId="164" formatCode="_(* #,##0_);_(* \(#,##0\);_(* &quot;-&quot;??_);_(@_)"/>
    </dxf>
    <dxf>
      <numFmt numFmtId="168" formatCode="[&gt;=1000000]#,##0,&quot; M&quot;;[&gt;=1000]0,&quot; K&quot;;0"/>
    </dxf>
    <dxf>
      <alignment wrapText="1"/>
    </dxf>
    <dxf>
      <alignment vertical="center"/>
    </dxf>
    <dxf>
      <alignment horizontal="center"/>
    </dxf>
    <dxf>
      <alignment horizontal="center"/>
    </dxf>
    <dxf>
      <alignment vertical="center"/>
    </dxf>
    <dxf>
      <numFmt numFmtId="168" formatCode="[&gt;=1000000]#,##0,&quot; M&quot;;[&gt;=1000]0,&quot; K&quot;;0"/>
    </dxf>
    <dxf>
      <alignment horizontal="center"/>
    </dxf>
    <dxf>
      <alignment vertical="center"/>
    </dxf>
    <dxf>
      <alignment wrapText="1"/>
    </dxf>
    <dxf>
      <alignment vertical="center"/>
    </dxf>
    <dxf>
      <alignment horizontal="center"/>
    </dxf>
    <dxf>
      <alignment horizontal="center"/>
    </dxf>
    <dxf>
      <alignment vertical="center"/>
    </dxf>
    <dxf>
      <alignment wrapText="1"/>
    </dxf>
    <dxf>
      <alignment wrapText="1"/>
    </dxf>
    <dxf>
      <alignment horizontal="center"/>
    </dxf>
    <dxf>
      <alignment horizontal="center"/>
    </dxf>
    <dxf>
      <alignment vertical="center"/>
    </dxf>
    <dxf>
      <alignment vertical="center"/>
    </dxf>
    <dxf>
      <alignment horizontal="center"/>
    </dxf>
    <dxf>
      <alignment vertical="center"/>
    </dxf>
    <dxf>
      <numFmt numFmtId="164" formatCode="_(* #,##0_);_(* \(#,##0\);_(* &quot;-&quot;??_);_(@_)"/>
    </dxf>
    <dxf>
      <numFmt numFmtId="167" formatCode="[&gt;=1000000]#,##0,&quot; M&quot;;[&gt;=1000]0.0,&quot; K&quot;;0"/>
    </dxf>
    <dxf>
      <numFmt numFmtId="167" formatCode="[&gt;=1000000]#,##0,&quot; M&quot;;[&gt;=1000]0.0,&quot; K&quot;;0"/>
    </dxf>
    <dxf>
      <numFmt numFmtId="167" formatCode="[&gt;=1000000]#,##0,&quot; M&quot;;[&gt;=1000]0.0,&quot; K&quot;;0"/>
    </dxf>
    <dxf>
      <numFmt numFmtId="170" formatCode="[&gt;=1000000]#,##0,&quot; M&quot;;[&gt;=1000]#,##0,&quot; K&quot;;;"/>
    </dxf>
    <dxf>
      <numFmt numFmtId="166" formatCode="[&gt;=1000000]#,##0,&quot; M&quot;;[&gt;=1000]#,##0,&quot; K&quot;;0"/>
    </dxf>
    <dxf>
      <numFmt numFmtId="165" formatCode="[&gt;=1000000]0,&quot;M&quot;;[&gt;=1000]0,&quot;K&quot;;0"/>
    </dxf>
    <dxf>
      <numFmt numFmtId="165" formatCode="[&gt;=1000000]0,&quot;M&quot;;[&gt;=1000]0,&quot;K&quot;;0"/>
    </dxf>
    <dxf>
      <numFmt numFmtId="165" formatCode="[&gt;=1000000]0,&quot;M&quot;;[&gt;=1000]0,&quot;K&quot;;0"/>
    </dxf>
    <dxf>
      <numFmt numFmtId="165" formatCode="[&gt;=1000000]0,&quot;M&quot;;[&gt;=1000]0,&quot;K&quot;;0"/>
    </dxf>
    <dxf>
      <numFmt numFmtId="35" formatCode="_(* #,##0.00_);_(* \(#,##0.00\);_(* &quot;-&quot;??_);_(@_)"/>
    </dxf>
    <dxf>
      <numFmt numFmtId="165" formatCode="[&gt;=1000000]0,&quot;M&quot;;[&gt;=1000]0,&quot;K&quot;;0"/>
    </dxf>
    <dxf>
      <alignment horizontal="center"/>
    </dxf>
    <dxf>
      <alignment vertical="center"/>
    </dxf>
    <dxf>
      <alignment vertical="center"/>
    </dxf>
    <dxf>
      <alignment wrapText="1"/>
    </dxf>
    <dxf>
      <alignment horizontal="center"/>
    </dxf>
    <dxf>
      <numFmt numFmtId="168" formatCode="[&gt;=1000000]#,##0,&quot; M&quot;;[&gt;=1000]0,&quot; K&quot;;0"/>
    </dxf>
    <dxf>
      <numFmt numFmtId="165" formatCode="[&gt;=1000000]0,&quot;M&quot;;[&gt;=1000]0,&quot;K&quot;;0"/>
    </dxf>
    <dxf>
      <numFmt numFmtId="165" formatCode="[&gt;=1000000]0,&quot;M&quot;;[&gt;=1000]0,&quot;K&quot;;0"/>
    </dxf>
    <dxf>
      <alignment horizontal="center"/>
    </dxf>
    <dxf>
      <alignment vertical="center"/>
    </dxf>
    <dxf>
      <alignment vertical="center"/>
    </dxf>
    <dxf>
      <alignment wrapText="1"/>
    </dxf>
    <dxf>
      <alignment horizontal="center"/>
    </dxf>
    <dxf>
      <alignment horizontal="center"/>
    </dxf>
    <dxf>
      <alignment vertical="center"/>
    </dxf>
    <dxf>
      <alignment wrapText="1"/>
    </dxf>
    <dxf>
      <alignment wrapText="1"/>
    </dxf>
    <dxf>
      <alignment horizontal="center"/>
    </dxf>
    <dxf>
      <alignment horizontal="center"/>
    </dxf>
    <dxf>
      <alignment vertical="center"/>
    </dxf>
    <dxf>
      <alignment vertical="center"/>
    </dxf>
    <dxf>
      <alignment horizontal="center"/>
    </dxf>
    <dxf>
      <alignment vertical="center"/>
    </dxf>
    <dxf>
      <numFmt numFmtId="164" formatCode="_(* #,##0_);_(* \(#,##0\);_(* &quot;-&quot;??_);_(@_)"/>
    </dxf>
    <dxf>
      <numFmt numFmtId="168" formatCode="[&gt;=1000000]#,##0,&quot; M&quot;;[&gt;=1000]0,&quot; K&quot;;0"/>
    </dxf>
    <dxf>
      <alignment horizontal="center"/>
    </dxf>
    <dxf>
      <alignment vertical="center"/>
    </dxf>
    <dxf>
      <alignment horizontal="center"/>
    </dxf>
    <dxf>
      <alignment vertical="center"/>
    </dxf>
    <dxf>
      <alignment vertical="center"/>
    </dxf>
    <dxf>
      <alignment wrapText="1"/>
    </dxf>
    <dxf>
      <alignment horizontal="center"/>
    </dxf>
    <dxf>
      <numFmt numFmtId="167" formatCode="[&gt;=1000000]#,##0,&quot; M&quot;;[&gt;=1000]0.0,&quot; K&quot;;0"/>
    </dxf>
    <dxf>
      <numFmt numFmtId="168" formatCode="[&gt;=1000000]#,##0,&quot; M&quot;;[&gt;=1000]0,&quot; K&quot;;0"/>
    </dxf>
    <dxf>
      <alignment wrapText="1"/>
    </dxf>
    <dxf>
      <alignment vertical="center"/>
    </dxf>
    <dxf>
      <alignment horizontal="center"/>
    </dxf>
    <dxf>
      <alignment horizontal="center"/>
    </dxf>
    <dxf>
      <alignment vertical="center"/>
    </dxf>
    <dxf>
      <alignment horizontal="center"/>
    </dxf>
    <dxf>
      <alignment vertical="center"/>
    </dxf>
    <dxf>
      <alignment wrapText="1"/>
    </dxf>
    <dxf>
      <alignment wrapText="1"/>
    </dxf>
    <dxf>
      <alignment horizontal="center"/>
    </dxf>
    <dxf>
      <alignment horizontal="center"/>
    </dxf>
    <dxf>
      <alignment vertical="center"/>
    </dxf>
    <dxf>
      <alignment vertical="center"/>
    </dxf>
    <dxf>
      <alignment horizontal="center"/>
    </dxf>
    <dxf>
      <alignment vertical="center"/>
    </dxf>
    <dxf>
      <numFmt numFmtId="164" formatCode="_(* #,##0_);_(* \(#,##0\);_(* &quot;-&quot;??_);_(@_)"/>
    </dxf>
    <dxf>
      <numFmt numFmtId="167" formatCode="[&gt;=1000000]#,##0,&quot; M&quot;;[&gt;=1000]0.0,&quot; K&quot;;0"/>
    </dxf>
    <dxf>
      <numFmt numFmtId="165" formatCode="[&gt;=1000000]0,&quot;M&quot;;[&gt;=1000]0,&quot;K&quot;;0"/>
    </dxf>
    <dxf>
      <numFmt numFmtId="165" formatCode="[&gt;=1000000]0,&quot;M&quot;;[&gt;=1000]0,&quot;K&quot;;0"/>
    </dxf>
    <dxf>
      <alignment horizontal="center"/>
    </dxf>
    <dxf>
      <alignment vertical="center"/>
    </dxf>
    <dxf>
      <alignment vertical="center"/>
    </dxf>
    <dxf>
      <alignment wrapText="1"/>
    </dxf>
    <dxf>
      <alignment horizontal="center"/>
    </dxf>
    <dxf>
      <numFmt numFmtId="167" formatCode="[&gt;=1000000]#,##0,&quot; M&quot;;[&gt;=1000]0.0,&quot; K&quot;;0"/>
    </dxf>
    <dxf>
      <numFmt numFmtId="166" formatCode="[&gt;=1000000]#,##0,&quot; M&quot;;[&gt;=1000]#,##0,&quot; K&quot;;0"/>
    </dxf>
    <dxf>
      <numFmt numFmtId="165" formatCode="[&gt;=1000000]0,&quot;M&quot;;[&gt;=1000]0,&quot;K&quot;;0"/>
    </dxf>
    <dxf>
      <numFmt numFmtId="165" formatCode="[&gt;=1000000]0,&quot;M&quot;;[&gt;=1000]0,&quot;K&quot;;0"/>
    </dxf>
    <dxf>
      <numFmt numFmtId="165" formatCode="[&gt;=1000000]0,&quot;M&quot;;[&gt;=1000]0,&quot;K&quot;;0"/>
    </dxf>
    <dxf>
      <numFmt numFmtId="35" formatCode="_(* #,##0.00_);_(* \(#,##0.00\);_(* &quot;-&quot;??_);_(@_)"/>
    </dxf>
    <dxf>
      <alignment horizontal="center"/>
    </dxf>
    <dxf>
      <alignment vertical="center"/>
    </dxf>
    <dxf>
      <alignment vertical="center"/>
    </dxf>
    <dxf>
      <alignment wrapText="1"/>
    </dxf>
    <dxf>
      <alignment horizontal="center"/>
    </dxf>
    <dxf>
      <font>
        <b val="0"/>
        <i val="0"/>
        <strike val="0"/>
        <condense val="0"/>
        <extend val="0"/>
        <outline val="0"/>
        <shadow val="0"/>
        <u val="none"/>
        <vertAlign val="baseline"/>
        <sz val="11"/>
        <color theme="1"/>
        <name val="Aptos Narrow"/>
        <family val="2"/>
        <scheme val="minor"/>
      </font>
      <fill>
        <patternFill patternType="solid">
          <fgColor indexed="64"/>
          <bgColor rgb="FFFFFFB9"/>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FFFFB9"/>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E4DEE2"/>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E4DEE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dxf>
    <dxf>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alignment horizontal="center" vertical="center" textRotation="0" wrapText="1" indent="0" justifyLastLine="0" shrinkToFit="0" readingOrder="0"/>
    </dxf>
    <dxf>
      <font>
        <b/>
        <i val="0"/>
        <sz val="12"/>
        <color rgb="FF1F3A5F"/>
      </font>
      <fill>
        <patternFill patternType="solid">
          <fgColor rgb="FF230C78"/>
          <bgColor rgb="FFF4F6F9"/>
        </patternFill>
      </fill>
    </dxf>
    <dxf>
      <fill>
        <patternFill patternType="solid">
          <bgColor rgb="FFF4F6F9"/>
        </patternFill>
      </fill>
      <border diagonalUp="0" diagonalDown="0">
        <left/>
        <right/>
        <top/>
        <bottom/>
        <vertical/>
        <horizontal/>
      </border>
    </dxf>
  </dxfs>
  <tableStyles count="1" defaultTableStyle="TableStyleMedium2" defaultPivotStyle="PivotStyleLight16">
    <tableStyle name="My Slicer" pivot="0" table="0" count="5" xr9:uid="{58A9860C-B698-49BE-8CDC-E575222EADE2}">
      <tableStyleElement type="wholeTable" dxfId="204"/>
      <tableStyleElement type="headerRow" dxfId="203"/>
    </tableStyle>
  </tableStyles>
  <colors>
    <mruColors>
      <color rgb="FF1F3A5F"/>
      <color rgb="FF6977E1"/>
      <color rgb="FFAFB7EF"/>
      <color rgb="FF88AAD8"/>
      <color rgb="FFBDD0E9"/>
      <color rgb="FFE8A838"/>
      <color rgb="FFC75B5B"/>
      <color rgb="FF2EAC72"/>
      <color rgb="FF3B82C4"/>
      <color rgb="FFF4F6F9"/>
    </mruColors>
  </colors>
  <extLst>
    <ext xmlns:x14="http://schemas.microsoft.com/office/spreadsheetml/2009/9/main" uri="{46F421CA-312F-682f-3DD2-61675219B42D}">
      <x14:dxfs count="3">
        <dxf>
          <fill>
            <patternFill>
              <bgColor rgb="FFF2F2F2"/>
            </patternFill>
          </fill>
        </dxf>
        <dxf>
          <font>
            <sz val="12"/>
            <color theme="0"/>
          </font>
          <fill>
            <patternFill>
              <bgColor rgb="FF1F3A5F"/>
            </patternFill>
          </fill>
        </dxf>
        <dxf>
          <fill>
            <patternFill>
              <bgColor rgb="FFF2F2F2"/>
            </pattern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877608137179135"/>
          <c:y val="7.9147640791476404E-2"/>
          <c:w val="0.46624198500386382"/>
          <c:h val="0.80261748103404873"/>
        </c:manualLayout>
      </c:layout>
      <c:doughnutChart>
        <c:varyColors val="1"/>
        <c:ser>
          <c:idx val="0"/>
          <c:order val="0"/>
          <c:dPt>
            <c:idx val="0"/>
            <c:bubble3D val="0"/>
            <c:spPr>
              <a:solidFill>
                <a:srgbClr val="1F3A5F"/>
              </a:solidFill>
              <a:ln w="19050">
                <a:solidFill>
                  <a:schemeClr val="lt1"/>
                </a:solidFill>
              </a:ln>
              <a:effectLst>
                <a:outerShdw blurRad="50800" dist="25400" dir="5400000" algn="ctr" rotWithShape="0">
                  <a:srgbClr val="000000">
                    <a:alpha val="43137"/>
                  </a:srgbClr>
                </a:outerShdw>
              </a:effectLst>
            </c:spPr>
            <c:extLst>
              <c:ext xmlns:c16="http://schemas.microsoft.com/office/drawing/2014/chart" uri="{C3380CC4-5D6E-409C-BE32-E72D297353CC}">
                <c16:uniqueId val="{00000001-953A-4E8B-AC3A-36C53D6AC2A2}"/>
              </c:ext>
            </c:extLst>
          </c:dPt>
          <c:dPt>
            <c:idx val="1"/>
            <c:bubble3D val="0"/>
            <c:spPr>
              <a:solidFill>
                <a:srgbClr val="88AAD8"/>
              </a:solidFill>
              <a:ln w="19050">
                <a:solidFill>
                  <a:schemeClr val="lt1"/>
                </a:solidFill>
              </a:ln>
              <a:effectLst/>
            </c:spPr>
            <c:extLst>
              <c:ext xmlns:c16="http://schemas.microsoft.com/office/drawing/2014/chart" uri="{C3380CC4-5D6E-409C-BE32-E72D297353CC}">
                <c16:uniqueId val="{00000003-953A-4E8B-AC3A-36C53D6AC2A2}"/>
              </c:ext>
            </c:extLst>
          </c:dPt>
          <c:dLbls>
            <c:dLbl>
              <c:idx val="0"/>
              <c:layout>
                <c:manualLayout>
                  <c:x val="-0.13906704076481466"/>
                  <c:y val="0.1765601217656011"/>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fld id="{DD82D237-9E28-4FE6-B7BB-568B8DF2AF80}" type="CELLRANGE">
                      <a:rPr lang="en-US" b="0" baseline="0"/>
                      <a:pPr>
                        <a:defRPr sz="1100">
                          <a:solidFill>
                            <a:sysClr val="windowText" lastClr="000000"/>
                          </a:solidFill>
                        </a:defRPr>
                      </a:pPr>
                      <a:t>[CELLRANGE]</a:t>
                    </a:fld>
                    <a:r>
                      <a:rPr lang="en-US" b="0" baseline="0"/>
                      <a:t> </a:t>
                    </a:r>
                    <a:fld id="{D148D0C6-96F6-4AAC-9C5D-70EEBEA81ADC}" type="VALUE">
                      <a:rPr lang="en-US" b="0" baseline="0"/>
                      <a:pPr>
                        <a:defRPr sz="1100">
                          <a:solidFill>
                            <a:sysClr val="windowText" lastClr="000000"/>
                          </a:solidFill>
                        </a:defRPr>
                      </a:pPr>
                      <a:t>[VALUE]</a:t>
                    </a:fld>
                    <a:endParaRPr lang="en-US" b="0" baseline="0"/>
                  </a:p>
                </c:rich>
              </c:tx>
              <c:spPr>
                <a:noFill/>
                <a:ln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25961500343896"/>
                      <c:h val="0.183571231678232"/>
                    </c:manualLayout>
                  </c15:layout>
                  <c15:dlblFieldTable/>
                  <c15:showDataLabelsRange val="1"/>
                </c:ext>
                <c:ext xmlns:c16="http://schemas.microsoft.com/office/drawing/2014/chart" uri="{C3380CC4-5D6E-409C-BE32-E72D297353CC}">
                  <c16:uniqueId val="{00000001-953A-4E8B-AC3A-36C53D6AC2A2}"/>
                </c:ext>
              </c:extLst>
            </c:dLbl>
            <c:dLbl>
              <c:idx val="1"/>
              <c:layout>
                <c:manualLayout>
                  <c:x val="0.19234691883269622"/>
                  <c:y val="0.1582952815829527"/>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fld id="{C47E6B38-ADD6-4434-8775-0048280860CE}" type="CELLRANGE">
                      <a:rPr lang="en-US" b="0" baseline="0"/>
                      <a:pPr>
                        <a:defRPr sz="1100">
                          <a:solidFill>
                            <a:sysClr val="windowText" lastClr="000000"/>
                          </a:solidFill>
                        </a:defRPr>
                      </a:pPr>
                      <a:t>[CELLRANGE]</a:t>
                    </a:fld>
                    <a:r>
                      <a:rPr lang="en-US" b="0" baseline="0"/>
                      <a:t> </a:t>
                    </a:r>
                    <a:fld id="{B05FC2A5-B377-4D1B-90F4-4BCAB393F082}" type="VALUE">
                      <a:rPr lang="en-US" b="0" baseline="0"/>
                      <a:pPr>
                        <a:defRPr sz="1100">
                          <a:solidFill>
                            <a:sysClr val="windowText" lastClr="000000"/>
                          </a:solidFill>
                        </a:defRPr>
                      </a:pPr>
                      <a:t>[VALUE]</a:t>
                    </a:fld>
                    <a:endParaRPr lang="en-US" b="0" baseline="0"/>
                  </a:p>
                </c:rich>
              </c:tx>
              <c:spPr>
                <a:noFill/>
                <a:ln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01140008754585"/>
                      <c:h val="0.183571231678232"/>
                    </c:manualLayout>
                  </c15:layout>
                  <c15:dlblFieldTable/>
                  <c15:showDataLabelsRange val="1"/>
                </c:ext>
                <c:ext xmlns:c16="http://schemas.microsoft.com/office/drawing/2014/chart" uri="{C3380CC4-5D6E-409C-BE32-E72D297353CC}">
                  <c16:uniqueId val="{00000003-953A-4E8B-AC3A-36C53D6AC2A2}"/>
                </c:ext>
              </c:extLst>
            </c:dLbl>
            <c:spPr>
              <a:noFill/>
              <a:ln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'PVT &amp; Calculations'!$BH$30:$BH$31</c:f>
              <c:strCache>
                <c:ptCount val="2"/>
                <c:pt idx="0">
                  <c:v>Female</c:v>
                </c:pt>
                <c:pt idx="1">
                  <c:v>Male</c:v>
                </c:pt>
              </c:strCache>
            </c:strRef>
          </c:cat>
          <c:val>
            <c:numRef>
              <c:f>'PVT &amp; Calculations'!$BI$30:$BI$31</c:f>
              <c:numCache>
                <c:formatCode>General</c:formatCode>
                <c:ptCount val="2"/>
                <c:pt idx="0">
                  <c:v>571</c:v>
                </c:pt>
                <c:pt idx="1">
                  <c:v>452</c:v>
                </c:pt>
              </c:numCache>
            </c:numRef>
          </c:val>
          <c:extLst>
            <c:ext xmlns:c15="http://schemas.microsoft.com/office/drawing/2012/chart" uri="{02D57815-91ED-43cb-92C2-25804820EDAC}">
              <c15:datalabelsRange>
                <c15:f>'PVT &amp; Calculations'!$AX$5:$AX$6</c15:f>
                <c15:dlblRangeCache>
                  <c:ptCount val="2"/>
                  <c:pt idx="0">
                    <c:v> 55.8% </c:v>
                  </c:pt>
                  <c:pt idx="1">
                    <c:v> 44.2% </c:v>
                  </c:pt>
                </c15:dlblRangeCache>
              </c15:datalabelsRange>
            </c:ext>
            <c:ext xmlns:c16="http://schemas.microsoft.com/office/drawing/2014/chart" uri="{C3380CC4-5D6E-409C-BE32-E72D297353CC}">
              <c16:uniqueId val="{00000004-953A-4E8B-AC3A-36C53D6AC2A2}"/>
            </c:ext>
          </c:extLst>
        </c:ser>
        <c:dLbls>
          <c:showLegendKey val="0"/>
          <c:showVal val="1"/>
          <c:showCatName val="0"/>
          <c:showSerName val="0"/>
          <c:showPercent val="0"/>
          <c:showBubbleSize val="0"/>
          <c:showLeaderLines val="0"/>
        </c:dLbls>
        <c:firstSliceAng val="170"/>
        <c:holeSize val="50"/>
      </c:doughnutChart>
      <c:spPr>
        <a:noFill/>
        <a:ln>
          <a:noFill/>
        </a:ln>
        <a:effectLst/>
      </c:spPr>
    </c:plotArea>
    <c:legend>
      <c:legendPos val="b"/>
      <c:layout>
        <c:manualLayout>
          <c:xMode val="edge"/>
          <c:yMode val="edge"/>
          <c:x val="0.32549273515876831"/>
          <c:y val="0.89725955488440656"/>
          <c:w val="0.26997967705619758"/>
          <c:h val="0.10274044511559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5.9154639378632433E-2"/>
          <c:y val="5.5045898069251885E-2"/>
          <c:w val="0.92344693727471094"/>
          <c:h val="0.79132547921957153"/>
        </c:manualLayout>
      </c:layout>
      <c:barChart>
        <c:barDir val="col"/>
        <c:grouping val="clustered"/>
        <c:varyColors val="0"/>
        <c:ser>
          <c:idx val="0"/>
          <c:order val="0"/>
          <c:spPr>
            <a:solidFill>
              <a:schemeClr val="dk1">
                <a:tint val="88500"/>
              </a:schemeClr>
            </a:solidFill>
            <a:ln>
              <a:noFill/>
            </a:ln>
            <a:effectLst/>
          </c:spPr>
          <c:invertIfNegative val="0"/>
          <c:dPt>
            <c:idx val="0"/>
            <c:invertIfNegative val="0"/>
            <c:bubble3D val="0"/>
            <c:spPr>
              <a:solidFill>
                <a:srgbClr val="BDD0E9"/>
              </a:solidFill>
              <a:ln>
                <a:noFill/>
              </a:ln>
              <a:effectLst/>
            </c:spPr>
            <c:extLst>
              <c:ext xmlns:c16="http://schemas.microsoft.com/office/drawing/2014/chart" uri="{C3380CC4-5D6E-409C-BE32-E72D297353CC}">
                <c16:uniqueId val="{00000003-AD9C-43AE-BB1D-0C3F391B62C0}"/>
              </c:ext>
            </c:extLst>
          </c:dPt>
          <c:dPt>
            <c:idx val="1"/>
            <c:invertIfNegative val="0"/>
            <c:bubble3D val="0"/>
            <c:spPr>
              <a:solidFill>
                <a:srgbClr val="88AAD8"/>
              </a:solidFill>
              <a:ln>
                <a:noFill/>
              </a:ln>
              <a:effectLst/>
            </c:spPr>
            <c:extLst>
              <c:ext xmlns:c16="http://schemas.microsoft.com/office/drawing/2014/chart" uri="{C3380CC4-5D6E-409C-BE32-E72D297353CC}">
                <c16:uniqueId val="{00000002-AD9C-43AE-BB1D-0C3F391B62C0}"/>
              </c:ext>
            </c:extLst>
          </c:dPt>
          <c:dPt>
            <c:idx val="2"/>
            <c:invertIfNegative val="0"/>
            <c:bubble3D val="0"/>
            <c:spPr>
              <a:solidFill>
                <a:srgbClr val="1F3A5F"/>
              </a:solidFill>
              <a:ln>
                <a:noFill/>
              </a:ln>
              <a:effectLst/>
            </c:spPr>
            <c:extLst>
              <c:ext xmlns:c16="http://schemas.microsoft.com/office/drawing/2014/chart" uri="{C3380CC4-5D6E-409C-BE32-E72D297353CC}">
                <c16:uniqueId val="{00000023-AD9C-43AE-BB1D-0C3F391B62C0}"/>
              </c:ext>
            </c:extLst>
          </c:dPt>
          <c:dPt>
            <c:idx val="3"/>
            <c:invertIfNegative val="0"/>
            <c:bubble3D val="0"/>
            <c:spPr>
              <a:solidFill>
                <a:srgbClr val="1F3A5F"/>
              </a:solidFill>
              <a:ln>
                <a:noFill/>
              </a:ln>
              <a:effectLst/>
            </c:spPr>
            <c:extLst>
              <c:ext xmlns:c16="http://schemas.microsoft.com/office/drawing/2014/chart" uri="{C3380CC4-5D6E-409C-BE32-E72D297353CC}">
                <c16:uniqueId val="{00000001-AD9C-43AE-BB1D-0C3F391B62C0}"/>
              </c:ext>
            </c:extLst>
          </c:dPt>
          <c:dPt>
            <c:idx val="4"/>
            <c:invertIfNegative val="0"/>
            <c:bubble3D val="0"/>
            <c:spPr>
              <a:solidFill>
                <a:srgbClr val="6977E1"/>
              </a:solidFill>
              <a:ln>
                <a:noFill/>
              </a:ln>
              <a:effectLst/>
            </c:spPr>
            <c:extLst>
              <c:ext xmlns:c16="http://schemas.microsoft.com/office/drawing/2014/chart" uri="{C3380CC4-5D6E-409C-BE32-E72D297353CC}">
                <c16:uniqueId val="{00000004-AD9C-43AE-BB1D-0C3F391B62C0}"/>
              </c:ext>
            </c:extLst>
          </c:dPt>
          <c:dLbls>
            <c:dLbl>
              <c:idx val="0"/>
              <c:tx>
                <c:rich>
                  <a:bodyPr/>
                  <a:lstStyle/>
                  <a:p>
                    <a:fld id="{D49BF546-0B23-4197-A3FD-101F11ECDE99}" type="CELLRANGE">
                      <a:rPr lang="en-US"/>
                      <a:pPr/>
                      <a:t>[CELLRANGE]</a:t>
                    </a:fld>
                    <a:r>
                      <a:rPr lang="en-US" baseline="0"/>
                      <a:t>  -  </a:t>
                    </a:r>
                    <a:fld id="{8A6B17F0-6EB3-414F-AA74-4A1E65D2CC30}"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D9C-43AE-BB1D-0C3F391B62C0}"/>
                </c:ext>
              </c:extLst>
            </c:dLbl>
            <c:dLbl>
              <c:idx val="1"/>
              <c:tx>
                <c:rich>
                  <a:bodyPr/>
                  <a:lstStyle/>
                  <a:p>
                    <a:fld id="{87D019F6-5AFB-4034-8628-4BBB33F4D954}" type="CELLRANGE">
                      <a:rPr lang="en-US"/>
                      <a:pPr/>
                      <a:t>[CELLRANGE]</a:t>
                    </a:fld>
                    <a:r>
                      <a:rPr lang="en-US" baseline="0"/>
                      <a:t>  -  </a:t>
                    </a:r>
                    <a:fld id="{41F0CBD6-C5C2-489D-9E32-25553C740E8A}"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D9C-43AE-BB1D-0C3F391B62C0}"/>
                </c:ext>
              </c:extLst>
            </c:dLbl>
            <c:dLbl>
              <c:idx val="2"/>
              <c:tx>
                <c:rich>
                  <a:bodyPr/>
                  <a:lstStyle/>
                  <a:p>
                    <a:fld id="{B96FF7D1-A35A-4293-AFDE-CF7FDFA24282}" type="CELLRANGE">
                      <a:rPr lang="en-US"/>
                      <a:pPr/>
                      <a:t>[CELLRANGE]</a:t>
                    </a:fld>
                    <a:r>
                      <a:rPr lang="en-US" baseline="0"/>
                      <a:t>  -  </a:t>
                    </a:r>
                    <a:fld id="{2AB88730-8345-4F88-9B6B-0330236DD4C5}"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AD9C-43AE-BB1D-0C3F391B62C0}"/>
                </c:ext>
              </c:extLst>
            </c:dLbl>
            <c:dLbl>
              <c:idx val="3"/>
              <c:tx>
                <c:rich>
                  <a:bodyPr/>
                  <a:lstStyle/>
                  <a:p>
                    <a:fld id="{CD9C3F10-2642-4DC1-8EBB-0691F24378D0}" type="CELLRANGE">
                      <a:rPr lang="en-US"/>
                      <a:pPr/>
                      <a:t>[CELLRANGE]</a:t>
                    </a:fld>
                    <a:r>
                      <a:rPr lang="en-US" baseline="0"/>
                      <a:t>  -  </a:t>
                    </a:r>
                    <a:fld id="{71AFE172-E00C-4874-AB8C-2E2601360676}"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D9C-43AE-BB1D-0C3F391B62C0}"/>
                </c:ext>
              </c:extLst>
            </c:dLbl>
            <c:dLbl>
              <c:idx val="4"/>
              <c:tx>
                <c:rich>
                  <a:bodyPr/>
                  <a:lstStyle/>
                  <a:p>
                    <a:fld id="{8CCA73B6-65D1-425F-BC22-4F423D485FCD}" type="CELLRANGE">
                      <a:rPr lang="en-US"/>
                      <a:pPr/>
                      <a:t>[CELLRANGE]</a:t>
                    </a:fld>
                    <a:r>
                      <a:rPr lang="en-US" baseline="0"/>
                      <a:t>  -  </a:t>
                    </a:r>
                    <a:fld id="{31724854-A59F-48BF-A3C3-E0908C1DEA52}"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D9C-43AE-BB1D-0C3F391B62C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'PVT &amp; Calculations'!$AS$5:$AS$9</c:f>
              <c:strCache>
                <c:ptCount val="5"/>
                <c:pt idx="0">
                  <c:v>Gambia</c:v>
                </c:pt>
                <c:pt idx="1">
                  <c:v>Ghana</c:v>
                </c:pt>
                <c:pt idx="2">
                  <c:v>Liberia</c:v>
                </c:pt>
                <c:pt idx="3">
                  <c:v>Nigeria</c:v>
                </c:pt>
                <c:pt idx="4">
                  <c:v>Sierra Leone</c:v>
                </c:pt>
              </c:strCache>
            </c:strRef>
          </c:cat>
          <c:val>
            <c:numRef>
              <c:f>'PVT &amp; Calculations'!$AT$5:$AT$9</c:f>
              <c:numCache>
                <c:formatCode>General</c:formatCode>
                <c:ptCount val="5"/>
                <c:pt idx="0">
                  <c:v>21</c:v>
                </c:pt>
                <c:pt idx="1">
                  <c:v>114</c:v>
                </c:pt>
                <c:pt idx="2">
                  <c:v>4</c:v>
                </c:pt>
                <c:pt idx="3">
                  <c:v>860</c:v>
                </c:pt>
                <c:pt idx="4">
                  <c:v>24</c:v>
                </c:pt>
              </c:numCache>
            </c:numRef>
          </c:val>
          <c:extLst>
            <c:ext xmlns:c15="http://schemas.microsoft.com/office/drawing/2012/chart" uri="{02D57815-91ED-43cb-92C2-25804820EDAC}">
              <c15:datalabelsRange>
                <c15:f>'PVT &amp; Calculations'!$AU$5:$AU$9</c15:f>
                <c15:dlblRangeCache>
                  <c:ptCount val="5"/>
                  <c:pt idx="0">
                    <c:v>2.1%</c:v>
                  </c:pt>
                  <c:pt idx="1">
                    <c:v>11.1%</c:v>
                  </c:pt>
                  <c:pt idx="2">
                    <c:v>0.4%</c:v>
                  </c:pt>
                  <c:pt idx="3">
                    <c:v>84.1%</c:v>
                  </c:pt>
                  <c:pt idx="4">
                    <c:v>2.3%</c:v>
                  </c:pt>
                </c15:dlblRangeCache>
              </c15:datalabelsRange>
            </c:ext>
            <c:ext xmlns:c16="http://schemas.microsoft.com/office/drawing/2014/chart" uri="{C3380CC4-5D6E-409C-BE32-E72D297353CC}">
              <c16:uniqueId val="{00000000-AD9C-43AE-BB1D-0C3F391B62C0}"/>
            </c:ext>
          </c:extLst>
        </c:ser>
        <c:dLbls>
          <c:showLegendKey val="0"/>
          <c:showVal val="0"/>
          <c:showCatName val="0"/>
          <c:showSerName val="0"/>
          <c:showPercent val="0"/>
          <c:showBubbleSize val="0"/>
        </c:dLbls>
        <c:gapWidth val="60"/>
        <c:axId val="798462560"/>
        <c:axId val="798460400"/>
      </c:barChart>
      <c:catAx>
        <c:axId val="79846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60400"/>
        <c:crosses val="autoZero"/>
        <c:auto val="1"/>
        <c:lblAlgn val="ctr"/>
        <c:lblOffset val="100"/>
        <c:noMultiLvlLbl val="0"/>
      </c:catAx>
      <c:valAx>
        <c:axId val="798460400"/>
        <c:scaling>
          <c:orientation val="minMax"/>
        </c:scaling>
        <c:delete val="1"/>
        <c:axPos val="l"/>
        <c:numFmt formatCode="General" sourceLinked="1"/>
        <c:majorTickMark val="none"/>
        <c:minorTickMark val="none"/>
        <c:tickLblPos val="nextTo"/>
        <c:crossAx val="7984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EXAMS ANALYSIS.xlsx]PVT &amp; Calculations!PivotTable3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showDataLabelsRange val="1"/>
            </c:ext>
          </c:extLst>
        </c:dLbl>
      </c:pivotFmt>
      <c:pivotFmt>
        <c:idx val="3"/>
        <c:dLbl>
          <c:idx val="0"/>
          <c:tx>
            <c:rich>
              <a:bodyPr/>
              <a:lstStyle/>
              <a:p>
                <a:fld id="{9FF65B0C-1FF1-485F-9176-4719CE87C9DD}" type="CELLRANGE">
                  <a:rPr lang="en-US"/>
                  <a:pPr/>
                  <a:t>[CELLRANGE]</a:t>
                </a:fld>
                <a:r>
                  <a:rPr lang="en-US" baseline="0"/>
                  <a:t>  - </a:t>
                </a:r>
                <a:fld id="{49CD27F1-078B-414C-9B8E-8EE785DD48CB}"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4"/>
        <c:dLbl>
          <c:idx val="0"/>
          <c:tx>
            <c:rich>
              <a:bodyPr/>
              <a:lstStyle/>
              <a:p>
                <a:fld id="{A69D6B48-692A-49A8-8427-54E5CA6E781D}" type="CELLRANGE">
                  <a:rPr lang="en-US"/>
                  <a:pPr/>
                  <a:t>[CELLRANGE]</a:t>
                </a:fld>
                <a:r>
                  <a:rPr lang="en-US" baseline="0"/>
                  <a:t>  - </a:t>
                </a:r>
                <a:fld id="{D7269679-292F-412B-9867-19F742D48551}"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5"/>
        <c:dLbl>
          <c:idx val="0"/>
          <c:tx>
            <c:rich>
              <a:bodyPr/>
              <a:lstStyle/>
              <a:p>
                <a:fld id="{DA2FB71A-BAD4-43A7-B6F2-7CDB2221118C}" type="CELLRANGE">
                  <a:rPr lang="en-US"/>
                  <a:pPr/>
                  <a:t>[CELLRANGE]</a:t>
                </a:fld>
                <a:r>
                  <a:rPr lang="en-US" baseline="0"/>
                  <a:t>  - </a:t>
                </a:r>
                <a:fld id="{0BB97B96-DC8D-4F2F-9ED3-40BBAA281E17}"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FF0B5F-D69D-48C1-8011-EAF6B1A52D15}"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E96A7B7A-224F-4183-9DC1-8C6D32A2589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7"/>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4233FC-C770-464E-8B43-C528955CA49A}"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A88D7CC0-364D-4D3C-A731-719072DFBB1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8"/>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7A257D-21CE-4D56-9564-848566AF036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5063A1C0-9FF6-4A2A-B3DD-4AFB674635C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9"/>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17B344-7384-49B7-A16D-458C2888183F}"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518EF3E7-6B3E-40EA-88D3-2F40FA3AAE4C}"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0"/>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showDataLabelsRange val="1"/>
            </c:ext>
          </c:extLst>
        </c:dLbl>
      </c:pivotFmt>
      <c:pivotFmt>
        <c:idx val="11"/>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B6122B-BD0E-440D-82C9-86591674A45A}"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7DEF73A1-8122-4B85-BB08-EA988D60580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2"/>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03239B-CBF3-474B-AF89-DAB76CF86D5A}"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CBFA7502-AC64-4F40-8EC6-5B13B35E611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3"/>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C11CE5-672D-4A72-B616-83B38D76738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 </a:t>
                </a:r>
                <a:fld id="{2EACC3B9-609F-41F3-9918-7F87B61D518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4"/>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showDataLabelsRange val="1"/>
            </c:ext>
          </c:extLst>
        </c:dLbl>
      </c:pivotFmt>
      <c:pivotFmt>
        <c:idx val="15"/>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8027AC17-B55C-4AB7-A662-7EA8A66A93A6}"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4B3D9D46-572B-4F97-B353-24D8935C0C98}"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6"/>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A94E87AC-D5CD-46FE-A427-19B6E9779342}"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45EB6209-7CB1-49D0-8952-2FFF45F8BB02}"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7"/>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7692ECD3-EC3F-43B8-86FD-674C8B42896B}"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1770D82B-EE74-41B1-B755-D6E0C4DC1C4B}"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18"/>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showDataLabelsRange val="1"/>
            </c:ext>
          </c:extLst>
        </c:dLbl>
      </c:pivotFmt>
      <c:pivotFmt>
        <c:idx val="19"/>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6255D63-B6F2-4F23-85D7-9D8B7C413D19}"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3C0FF2A3-EB17-44B0-BE31-48A2EA7437AC}"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0"/>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F5DF7801-F78C-4303-8B9E-3B6906C07EA6}"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A1DA805B-200A-4C06-8778-300F28192371}"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1"/>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E424054-18F7-45C6-ADAA-A64437C2C8BB}"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24C40DE1-9F39-4764-A4AA-D98E67DA1A6E}"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showDataLabelsRange val="1"/>
            </c:ext>
          </c:extLst>
        </c:dLbl>
      </c:pivotFmt>
      <c:pivotFmt>
        <c:idx val="23"/>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971F9B05-254C-4258-8DC9-FA0B775339D9}"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6FCF720E-AC06-4FAD-B56D-6E582CC30BF1}"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4"/>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326E0AC9-0966-45BF-B863-2AC3640460CE}"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71796538-03B5-4880-9EEA-758577E2D5A5}"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5"/>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F5D04C7F-88EB-4C65-BF92-8A42143E30E6}"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E43EED3E-6BBF-4BE4-8B51-6B6E1B9235C7}"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6"/>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showDataLabelsRange val="1"/>
            </c:ext>
          </c:extLst>
        </c:dLbl>
      </c:pivotFmt>
      <c:pivotFmt>
        <c:idx val="27"/>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A15CB7EB-3CF3-4CA8-94AB-F2DEF1C6B9E7}"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96F8833E-77A6-460C-88EB-8A7AEB564C15}"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8"/>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7B9D30C5-D7B4-47C6-B17D-F644AC44B489}"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CC078942-CB7E-4486-A72F-BBF597F0D4A4}"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29"/>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412848E7-24B2-40CD-8DF5-D9829B9524BA}" type="CELLRANGE">
                  <a:rPr lang="en-US"/>
                  <a:pPr>
                    <a:defRPr sz="1000" b="1" i="0" u="none" strike="noStrike" kern="1200" baseline="0">
                      <a:solidFill>
                        <a:schemeClr val="tx1">
                          <a:lumMod val="75000"/>
                          <a:lumOff val="25000"/>
                        </a:schemeClr>
                      </a:solidFill>
                      <a:latin typeface="+mn-lt"/>
                      <a:ea typeface="+mn-ea"/>
                      <a:cs typeface="+mn-cs"/>
                    </a:defRPr>
                  </a:pPr>
                  <a:t>[CELLRANGE]</a:t>
                </a:fld>
                <a:r>
                  <a:rPr lang="en-US" baseline="0"/>
                  <a:t>  - </a:t>
                </a:r>
                <a:fld id="{630999CC-5443-4D49-BE37-82601C3882BF}" type="VALUE">
                  <a:rPr lang="en-US" baseline="0"/>
                  <a:pPr>
                    <a:defRPr sz="10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30"/>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showDataLabelsRange val="1"/>
            </c:ext>
          </c:extLst>
        </c:dLbl>
      </c:pivotFmt>
      <c:pivotFmt>
        <c:idx val="31"/>
        <c:spPr>
          <a:solidFill>
            <a:srgbClr val="1F3A5F"/>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936B0680-2EA8-4A95-9AAA-CEEBAD41FF7E}" type="CELLRANGE">
                  <a:rPr lang="en-US"/>
                  <a:pPr>
                    <a:defRPr sz="1000"/>
                  </a:pPr>
                  <a:t>[CELLRANGE]</a:t>
                </a:fld>
                <a:r>
                  <a:rPr lang="en-US" baseline="0"/>
                  <a:t>  - </a:t>
                </a:r>
                <a:fld id="{3D743B71-A3E2-4AF4-943E-C94463F6F443}" type="VALUE">
                  <a:rPr lang="en-US" baseline="0"/>
                  <a:pPr>
                    <a:defRPr sz="1000"/>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32"/>
        <c:spPr>
          <a:solidFill>
            <a:srgbClr val="BDD0E9"/>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A48108BF-A8AE-4D1D-81AA-19E34D6E993E}" type="CELLRANGE">
                  <a:rPr lang="en-US"/>
                  <a:pPr>
                    <a:defRPr sz="1000"/>
                  </a:pPr>
                  <a:t>[CELLRANGE]</a:t>
                </a:fld>
                <a:r>
                  <a:rPr lang="en-US" baseline="0"/>
                  <a:t>  - </a:t>
                </a:r>
                <a:fld id="{64702AF8-EA90-47F8-8FCC-5571EC8C5FA0}" type="VALUE">
                  <a:rPr lang="en-US" baseline="0"/>
                  <a:pPr>
                    <a:defRPr sz="1000"/>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
        <c:idx val="33"/>
        <c:spPr>
          <a:solidFill>
            <a:srgbClr val="88AAD8"/>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A00995F4-4370-4912-BAD2-FBD444CBAF9F}" type="CELLRANGE">
                  <a:rPr lang="en-US"/>
                  <a:pPr>
                    <a:defRPr sz="1000"/>
                  </a:pPr>
                  <a:t>[CELLRANGE]</a:t>
                </a:fld>
                <a:r>
                  <a:rPr lang="en-US" baseline="0"/>
                  <a:t>  - </a:t>
                </a:r>
                <a:fld id="{BD7CFC0E-2261-4052-A73E-3B7A654577E6}" type="VALUE">
                  <a:rPr lang="en-US" baseline="0"/>
                  <a:pPr>
                    <a:defRPr sz="1000"/>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0804665669968432E-3"/>
          <c:y val="9.2753665527178147E-2"/>
          <c:w val="0.92517006802721091"/>
          <c:h val="0.80221285049085955"/>
        </c:manualLayout>
      </c:layout>
      <c:barChart>
        <c:barDir val="col"/>
        <c:grouping val="clustered"/>
        <c:varyColors val="0"/>
        <c:ser>
          <c:idx val="0"/>
          <c:order val="0"/>
          <c:tx>
            <c:strRef>
              <c:f>'PVT &amp; Calculations'!$BF$5:$BF$7</c:f>
              <c:strCache>
                <c:ptCount val="1"/>
                <c:pt idx="0">
                  <c:v>Total</c:v>
                </c:pt>
              </c:strCache>
            </c:strRef>
          </c:tx>
          <c:spPr>
            <a:solidFill>
              <a:srgbClr val="1F3A5F"/>
            </a:solidFill>
            <a:ln>
              <a:noFill/>
            </a:ln>
            <a:effectLst/>
          </c:spPr>
          <c:invertIfNegative val="0"/>
          <c:dPt>
            <c:idx val="0"/>
            <c:invertIfNegative val="0"/>
            <c:bubble3D val="0"/>
            <c:spPr>
              <a:solidFill>
                <a:srgbClr val="BDD0E9"/>
              </a:solidFill>
              <a:ln>
                <a:noFill/>
              </a:ln>
              <a:effectLst/>
            </c:spPr>
            <c:extLst>
              <c:ext xmlns:c16="http://schemas.microsoft.com/office/drawing/2014/chart" uri="{C3380CC4-5D6E-409C-BE32-E72D297353CC}">
                <c16:uniqueId val="{00000000-1035-49B8-AFEA-A18061BBEADD}"/>
              </c:ext>
            </c:extLst>
          </c:dPt>
          <c:dPt>
            <c:idx val="1"/>
            <c:invertIfNegative val="0"/>
            <c:bubble3D val="0"/>
            <c:extLst>
              <c:ext xmlns:c16="http://schemas.microsoft.com/office/drawing/2014/chart" uri="{C3380CC4-5D6E-409C-BE32-E72D297353CC}">
                <c16:uniqueId val="{00000001-1035-49B8-AFEA-A18061BBEADD}"/>
              </c:ext>
            </c:extLst>
          </c:dPt>
          <c:dPt>
            <c:idx val="2"/>
            <c:invertIfNegative val="0"/>
            <c:bubble3D val="0"/>
            <c:spPr>
              <a:solidFill>
                <a:srgbClr val="88AAD8"/>
              </a:solidFill>
              <a:ln>
                <a:noFill/>
              </a:ln>
              <a:effectLst/>
            </c:spPr>
            <c:extLst>
              <c:ext xmlns:c16="http://schemas.microsoft.com/office/drawing/2014/chart" uri="{C3380CC4-5D6E-409C-BE32-E72D297353CC}">
                <c16:uniqueId val="{00000002-1035-49B8-AFEA-A18061BBEADD}"/>
              </c:ext>
            </c:extLst>
          </c:dPt>
          <c:dLbls>
            <c:dLbl>
              <c:idx val="0"/>
              <c:tx>
                <c:rich>
                  <a:bodyPr/>
                  <a:lstStyle/>
                  <a:p>
                    <a:fld id="{A48108BF-A8AE-4D1D-81AA-19E34D6E993E}" type="CELLRANGE">
                      <a:rPr lang="en-US"/>
                      <a:pPr/>
                      <a:t>[CELLRANGE]</a:t>
                    </a:fld>
                    <a:r>
                      <a:rPr lang="en-US" baseline="0"/>
                      <a:t>  - </a:t>
                    </a:r>
                    <a:fld id="{64702AF8-EA90-47F8-8FCC-5571EC8C5FA0}"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035-49B8-AFEA-A18061BBEADD}"/>
                </c:ext>
              </c:extLst>
            </c:dLbl>
            <c:dLbl>
              <c:idx val="1"/>
              <c:tx>
                <c:rich>
                  <a:bodyPr/>
                  <a:lstStyle/>
                  <a:p>
                    <a:fld id="{936B0680-2EA8-4A95-9AAA-CEEBAD41FF7E}" type="CELLRANGE">
                      <a:rPr lang="en-US"/>
                      <a:pPr/>
                      <a:t>[CELLRANGE]</a:t>
                    </a:fld>
                    <a:r>
                      <a:rPr lang="en-US" baseline="0"/>
                      <a:t>  - </a:t>
                    </a:r>
                    <a:fld id="{3D743B71-A3E2-4AF4-943E-C94463F6F443}"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035-49B8-AFEA-A18061BBEADD}"/>
                </c:ext>
              </c:extLst>
            </c:dLbl>
            <c:dLbl>
              <c:idx val="2"/>
              <c:tx>
                <c:rich>
                  <a:bodyPr/>
                  <a:lstStyle/>
                  <a:p>
                    <a:fld id="{A00995F4-4370-4912-BAD2-FBD444CBAF9F}" type="CELLRANGE">
                      <a:rPr lang="en-US"/>
                      <a:pPr/>
                      <a:t>[CELLRANGE]</a:t>
                    </a:fld>
                    <a:r>
                      <a:rPr lang="en-US" baseline="0"/>
                      <a:t>  - </a:t>
                    </a:r>
                    <a:fld id="{BD7CFC0E-2261-4052-A73E-3B7A654577E6}" type="VALUE">
                      <a:rPr lang="en-US" baseline="0"/>
                      <a:pPr/>
                      <a:t>[VALUE]</a:t>
                    </a:fld>
                    <a:endParaRPr lang="en-US" baseline="0"/>
                  </a:p>
                </c:rich>
              </c:tx>
              <c:dLblPos val="outEnd"/>
              <c:showLegendKey val="0"/>
              <c:showVal val="1"/>
              <c:showCatName val="0"/>
              <c:showSerName val="0"/>
              <c:showPercent val="0"/>
              <c:showBubbleSize val="0"/>
              <c:separator>  -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035-49B8-AFEA-A18061BBEAD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eparator>  -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'PVT &amp; Calculations'!$BF$5:$BF$7</c:f>
              <c:strCache>
                <c:ptCount val="3"/>
                <c:pt idx="0">
                  <c:v>Associate</c:v>
                </c:pt>
                <c:pt idx="1">
                  <c:v>Foundation</c:v>
                </c:pt>
                <c:pt idx="2">
                  <c:v>Specialist</c:v>
                </c:pt>
              </c:strCache>
            </c:strRef>
          </c:cat>
          <c:val>
            <c:numRef>
              <c:f>'PVT &amp; Calculations'!$BF$5:$BF$7</c:f>
              <c:numCache>
                <c:formatCode>_(* #,##0_);_(* \(#,##0\);_(* "-"??_);_(@_)</c:formatCode>
                <c:ptCount val="3"/>
                <c:pt idx="0">
                  <c:v>291</c:v>
                </c:pt>
                <c:pt idx="1">
                  <c:v>502</c:v>
                </c:pt>
                <c:pt idx="2">
                  <c:v>230</c:v>
                </c:pt>
              </c:numCache>
            </c:numRef>
          </c:val>
          <c:extLst>
            <c:ext xmlns:c15="http://schemas.microsoft.com/office/drawing/2012/chart" uri="{02D57815-91ED-43cb-92C2-25804820EDAC}">
              <c15:datalabelsRange>
                <c15:f>'PVT &amp; Calculations'!$BF$5:$BF$7</c15:f>
                <c15:dlblRangeCache>
                  <c:ptCount val="3"/>
                  <c:pt idx="0">
                    <c:v>28.4%</c:v>
                  </c:pt>
                  <c:pt idx="1">
                    <c:v>49.1%</c:v>
                  </c:pt>
                  <c:pt idx="2">
                    <c:v>22.5%</c:v>
                  </c:pt>
                </c15:dlblRangeCache>
              </c15:datalabelsRange>
            </c:ext>
            <c:ext xmlns:c16="http://schemas.microsoft.com/office/drawing/2014/chart" uri="{C3380CC4-5D6E-409C-BE32-E72D297353CC}">
              <c16:uniqueId val="{00000003-1035-49B8-AFEA-A18061BBEADD}"/>
            </c:ext>
          </c:extLst>
        </c:ser>
        <c:dLbls>
          <c:dLblPos val="outEnd"/>
          <c:showLegendKey val="0"/>
          <c:showVal val="1"/>
          <c:showCatName val="0"/>
          <c:showSerName val="0"/>
          <c:showPercent val="0"/>
          <c:showBubbleSize val="0"/>
        </c:dLbls>
        <c:gapWidth val="155"/>
        <c:overlap val="-27"/>
        <c:axId val="1577204623"/>
        <c:axId val="1577214703"/>
      </c:barChart>
      <c:catAx>
        <c:axId val="15772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77214703"/>
        <c:crosses val="autoZero"/>
        <c:auto val="1"/>
        <c:lblAlgn val="ctr"/>
        <c:lblOffset val="100"/>
        <c:noMultiLvlLbl val="0"/>
      </c:catAx>
      <c:valAx>
        <c:axId val="1577214703"/>
        <c:scaling>
          <c:orientation val="minMax"/>
        </c:scaling>
        <c:delete val="1"/>
        <c:axPos val="l"/>
        <c:numFmt formatCode="_(* #,##0_);_(* \(#,##0\);_(* &quot;-&quot;??_);_(@_)" sourceLinked="1"/>
        <c:majorTickMark val="none"/>
        <c:minorTickMark val="none"/>
        <c:tickLblPos val="nextTo"/>
        <c:crossAx val="157720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EXAMS ANALYSIS.xlsx]PVT &amp; Calculations!PivotTable2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showDataLabelsRange val="1"/>
            </c:ext>
          </c:extLst>
        </c:dLbl>
      </c:pivotFmt>
      <c:pivotFmt>
        <c:idx val="3"/>
        <c:spPr>
          <a:solidFill>
            <a:schemeClr val="accent6">
              <a:lumMod val="75000"/>
            </a:schemeClr>
          </a:solidFill>
          <a:ln>
            <a:noFill/>
          </a:ln>
          <a:effectLst/>
        </c:spPr>
        <c:dLbl>
          <c:idx val="0"/>
          <c:tx>
            <c:rich>
              <a:bodyPr/>
              <a:lstStyle/>
              <a:p>
                <a:fld id="{95CD45E0-DD81-45BB-9D4C-93084FFE3C1F}" type="CELLRANGE">
                  <a:rPr lang="en-US"/>
                  <a:pPr/>
                  <a:t>[CELLRANGE]</a:t>
                </a:fld>
                <a:r>
                  <a:rPr lang="en-US" baseline="0"/>
                  <a:t> </a:t>
                </a:r>
                <a:fld id="{4E258BA5-B6B2-4E1F-911D-0803D4B5DAC5}"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4"/>
        <c:spPr>
          <a:solidFill>
            <a:srgbClr val="FFFF09"/>
          </a:solidFill>
          <a:ln>
            <a:noFill/>
          </a:ln>
          <a:effectLst/>
        </c:spPr>
        <c:dLbl>
          <c:idx val="0"/>
          <c:tx>
            <c:rich>
              <a:bodyPr/>
              <a:lstStyle/>
              <a:p>
                <a:fld id="{4F9DA878-87FE-4B11-995E-D08B59E78A5A}" type="CELLRANGE">
                  <a:rPr lang="en-US"/>
                  <a:pPr/>
                  <a:t>[CELLRANGE]</a:t>
                </a:fld>
                <a:r>
                  <a:rPr lang="en-US" baseline="0"/>
                  <a:t> </a:t>
                </a:r>
                <a:fld id="{C1EEA9B0-466B-490F-B285-A6B6B623B44C}"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5"/>
        <c:spPr>
          <a:solidFill>
            <a:srgbClr val="FF0000"/>
          </a:solidFill>
          <a:ln>
            <a:noFill/>
          </a:ln>
          <a:effectLst/>
        </c:spPr>
        <c:dLbl>
          <c:idx val="0"/>
          <c:tx>
            <c:rich>
              <a:bodyPr/>
              <a:lstStyle/>
              <a:p>
                <a:fld id="{2EAD947E-EBAB-4898-B291-6ACC1B63AEAC}" type="CELLRANGE">
                  <a:rPr lang="en-US"/>
                  <a:pPr/>
                  <a:t>[CELLRANGE]</a:t>
                </a:fld>
                <a:r>
                  <a:rPr lang="en-US" baseline="0"/>
                  <a:t> </a:t>
                </a:r>
                <a:fld id="{E2C0990C-9D1B-4B8A-A010-4832E8813062}"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6"/>
        <c:spPr>
          <a:solidFill>
            <a:schemeClr val="bg2"/>
          </a:solidFill>
          <a:ln>
            <a:noFill/>
          </a:ln>
          <a:effectLst/>
        </c:spPr>
        <c:dLbl>
          <c:idx val="0"/>
          <c:tx>
            <c:rich>
              <a:bodyPr/>
              <a:lstStyle/>
              <a:p>
                <a:fld id="{6CCF888F-7E4D-4B76-BD67-8940BA06196D}" type="CELLRANGE">
                  <a:rPr lang="en-US"/>
                  <a:pPr/>
                  <a:t>[CELLRANGE]</a:t>
                </a:fld>
                <a:r>
                  <a:rPr lang="en-US" baseline="0"/>
                  <a:t> </a:t>
                </a:r>
                <a:fld id="{A94E86D7-FB05-4986-9670-9595617FC4D0}"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7"/>
        <c:spPr>
          <a:solidFill>
            <a:srgbClr val="9A04B8"/>
          </a:solidFill>
          <a:ln>
            <a:noFill/>
          </a:ln>
          <a:effectLst/>
        </c:spPr>
        <c:dLbl>
          <c:idx val="0"/>
          <c:tx>
            <c:rich>
              <a:bodyPr/>
              <a:lstStyle/>
              <a:p>
                <a:fld id="{B4F92910-3EC8-4A02-9EEF-DE38BE0207E6}" type="CELLRANGE">
                  <a:rPr lang="en-US"/>
                  <a:pPr/>
                  <a:t>[CELLRANGE]</a:t>
                </a:fld>
                <a:r>
                  <a:rPr lang="en-US" baseline="0"/>
                  <a:t> </a:t>
                </a:r>
                <a:fld id="{35A71F6B-3771-468A-B42C-50865B13C8F0}"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8"/>
        <c:dLbl>
          <c:idx val="0"/>
          <c:tx>
            <c:rich>
              <a:bodyPr/>
              <a:lstStyle/>
              <a:p>
                <a:fld id="{9B8D593B-B02E-4D6F-ACEA-A35CE9CEA89F}" type="CELLRANGE">
                  <a:rPr lang="en-US"/>
                  <a:pPr/>
                  <a:t>[CELLRANGE]</a:t>
                </a:fld>
                <a:r>
                  <a:rPr lang="en-US" baseline="0"/>
                  <a:t> </a:t>
                </a:r>
                <a:fld id="{1B63EB97-87E0-49B3-976C-2A7544AE08C9}" type="VALUE">
                  <a:rPr lang="en-US" baseline="0"/>
                  <a:pPr/>
                  <a:t>[VALUE]</a:t>
                </a:fld>
                <a:endParaRPr lang="en-US" baseline="0"/>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C35E222-3E26-4236-AF34-32561ECD1E57}" type="CELLRANGE">
                  <a:rPr lang="en-US"/>
                  <a:pPr>
                    <a:defRPr sz="900" b="0" i="0" u="none" strike="noStrike" kern="1200" baseline="0">
                      <a:solidFill>
                        <a:schemeClr val="bg1"/>
                      </a:solidFill>
                      <a:latin typeface="+mn-lt"/>
                      <a:ea typeface="+mn-ea"/>
                      <a:cs typeface="+mn-cs"/>
                    </a:defRPr>
                  </a:pPr>
                  <a:t>[CELLRANGE]</a:t>
                </a:fld>
                <a:r>
                  <a:rPr lang="en-US" baseline="0"/>
                  <a:t> </a:t>
                </a:r>
                <a:fld id="{6EDCA426-2CF7-44C8-A9DE-9E7876ECF45C}" type="VALUE">
                  <a:rPr lang="en-US" baseline="0"/>
                  <a:pPr>
                    <a:defRPr sz="9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0"/>
        <c:spPr>
          <a:solidFill>
            <a:srgbClr val="1F3A5F"/>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205D7B5-E5A7-4197-8F9D-004BCE2DF02E}" type="CELLRANGE">
                  <a:rPr lang="en-US"/>
                  <a:pPr>
                    <a:defRPr sz="1000" b="0" i="0" u="none" strike="noStrike" kern="1200" baseline="0">
                      <a:solidFill>
                        <a:schemeClr val="bg1"/>
                      </a:solidFill>
                      <a:latin typeface="+mn-lt"/>
                      <a:ea typeface="+mn-ea"/>
                      <a:cs typeface="+mn-cs"/>
                    </a:defRPr>
                  </a:pPr>
                  <a:t>[CELLRANGE]</a:t>
                </a:fld>
                <a:r>
                  <a:rPr lang="en-US" baseline="0"/>
                  <a:t> </a:t>
                </a:r>
                <a:fld id="{9F4FADDC-FDCF-44B4-BD7A-FE2521CE8425}"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1"/>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0821BCD-739C-4B45-A67D-A225E9C84A0E}" type="CELLRANGE">
                  <a:rPr lang="en-US"/>
                  <a:pPr>
                    <a:defRPr sz="1000" b="0" i="0" u="none" strike="noStrike" kern="1200" baseline="0">
                      <a:solidFill>
                        <a:schemeClr val="bg1"/>
                      </a:solidFill>
                      <a:latin typeface="+mn-lt"/>
                      <a:ea typeface="+mn-ea"/>
                      <a:cs typeface="+mn-cs"/>
                    </a:defRPr>
                  </a:pPr>
                  <a:t>[CELLRANGE]</a:t>
                </a:fld>
                <a:r>
                  <a:rPr lang="en-US" baseline="0"/>
                  <a:t> </a:t>
                </a:r>
                <a:fld id="{8387E1DE-B2CB-4244-9FF4-720082203B4E}"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2"/>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5B5A3F84-9C44-4C8C-B81A-2CA92DF51778}" type="CELLRANGE">
                  <a:rPr lang="en-US"/>
                  <a:pPr>
                    <a:defRPr sz="1000" b="0" i="0" u="none" strike="noStrike" kern="1200" baseline="0">
                      <a:solidFill>
                        <a:schemeClr val="bg1"/>
                      </a:solidFill>
                      <a:latin typeface="+mn-lt"/>
                      <a:ea typeface="+mn-ea"/>
                      <a:cs typeface="+mn-cs"/>
                    </a:defRPr>
                  </a:pPr>
                  <a:t>[CELLRANGE]</a:t>
                </a:fld>
                <a:r>
                  <a:rPr lang="en-US" baseline="0"/>
                  <a:t> </a:t>
                </a:r>
                <a:fld id="{359F878C-8314-451B-9821-1A488433FA2F}"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3"/>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A796ECBE-6F36-4939-B812-62FC5E1C925A}" type="CELLRANGE">
                  <a:rPr lang="en-US"/>
                  <a:pPr>
                    <a:defRPr sz="1000" b="0" i="0" u="none" strike="noStrike" kern="1200" baseline="0">
                      <a:solidFill>
                        <a:schemeClr val="bg1"/>
                      </a:solidFill>
                      <a:latin typeface="+mn-lt"/>
                      <a:ea typeface="+mn-ea"/>
                      <a:cs typeface="+mn-cs"/>
                    </a:defRPr>
                  </a:pPr>
                  <a:t>[CELLRANGE]</a:t>
                </a:fld>
                <a:r>
                  <a:rPr lang="en-US" baseline="0"/>
                  <a:t> </a:t>
                </a:r>
                <a:fld id="{6C6D304E-E89C-4956-B482-D942E98FDBF6}"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4"/>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C9BAC0BC-BD13-4E63-8AA8-F13A6441B2BD}" type="CELLRANGE">
                  <a:rPr lang="en-US"/>
                  <a:pPr>
                    <a:defRPr sz="1000" b="0" i="0" u="none" strike="noStrike" kern="1200" baseline="0">
                      <a:solidFill>
                        <a:schemeClr val="bg1"/>
                      </a:solidFill>
                      <a:latin typeface="+mn-lt"/>
                      <a:ea typeface="+mn-ea"/>
                      <a:cs typeface="+mn-cs"/>
                    </a:defRPr>
                  </a:pPr>
                  <a:t>[CELLRANGE]</a:t>
                </a:fld>
                <a:r>
                  <a:rPr lang="en-US" baseline="0"/>
                  <a:t> </a:t>
                </a:r>
                <a:fld id="{687BDFFD-80A3-45CC-B37A-5989EA98BD75}"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5"/>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showDataLabelsRange val="1"/>
            </c:ext>
          </c:extLst>
        </c:dLbl>
      </c:pivotFmt>
      <c:pivotFmt>
        <c:idx val="16"/>
        <c:spPr>
          <a:solidFill>
            <a:srgbClr val="1F3A5F"/>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401F8EBD-3FA0-4F93-A602-AF52FFF492C8}" type="CELLRANGE">
                  <a:rPr lang="en-US"/>
                  <a:pPr>
                    <a:defRPr sz="1000" b="0" i="0" u="none" strike="noStrike" kern="1200" baseline="0">
                      <a:solidFill>
                        <a:schemeClr val="bg1"/>
                      </a:solidFill>
                      <a:latin typeface="+mn-lt"/>
                      <a:ea typeface="+mn-ea"/>
                      <a:cs typeface="+mn-cs"/>
                    </a:defRPr>
                  </a:pPr>
                  <a:t>[CELLRANGE]</a:t>
                </a:fld>
                <a:r>
                  <a:rPr lang="en-US" baseline="0"/>
                  <a:t> </a:t>
                </a:r>
                <a:fld id="{9F40070B-A0A7-49DE-9804-2E554C071692}"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7"/>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8399DC39-5DF7-4421-A030-782CB6A00147}" type="CELLRANGE">
                  <a:rPr lang="en-US"/>
                  <a:pPr>
                    <a:defRPr sz="1000" b="0" i="0" u="none" strike="noStrike" kern="1200" baseline="0">
                      <a:solidFill>
                        <a:schemeClr val="bg1"/>
                      </a:solidFill>
                      <a:latin typeface="+mn-lt"/>
                      <a:ea typeface="+mn-ea"/>
                      <a:cs typeface="+mn-cs"/>
                    </a:defRPr>
                  </a:pPr>
                  <a:t>[CELLRANGE]</a:t>
                </a:fld>
                <a:r>
                  <a:rPr lang="en-US" baseline="0"/>
                  <a:t> </a:t>
                </a:r>
                <a:fld id="{9148B726-0BC7-4271-8E73-1DDC80219787}"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8"/>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B5ABD29-A488-4BF2-AE63-4505B53A6B8F}" type="CELLRANGE">
                  <a:rPr lang="en-US"/>
                  <a:pPr>
                    <a:defRPr sz="1000" b="0" i="0" u="none" strike="noStrike" kern="1200" baseline="0">
                      <a:solidFill>
                        <a:schemeClr val="bg1"/>
                      </a:solidFill>
                      <a:latin typeface="+mn-lt"/>
                      <a:ea typeface="+mn-ea"/>
                      <a:cs typeface="+mn-cs"/>
                    </a:defRPr>
                  </a:pPr>
                  <a:t>[CELLRANGE]</a:t>
                </a:fld>
                <a:r>
                  <a:rPr lang="en-US" baseline="0"/>
                  <a:t> </a:t>
                </a:r>
                <a:fld id="{09C69FBE-77D3-4027-8103-E9B70990334F}"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19"/>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204D1BB2-7299-42DF-B417-3E33DF20FB2D}" type="CELLRANGE">
                  <a:rPr lang="en-US"/>
                  <a:pPr>
                    <a:defRPr sz="1000" b="0" i="0" u="none" strike="noStrike" kern="1200" baseline="0">
                      <a:solidFill>
                        <a:schemeClr val="bg1"/>
                      </a:solidFill>
                      <a:latin typeface="+mn-lt"/>
                      <a:ea typeface="+mn-ea"/>
                      <a:cs typeface="+mn-cs"/>
                    </a:defRPr>
                  </a:pPr>
                  <a:t>[CELLRANGE]</a:t>
                </a:fld>
                <a:r>
                  <a:rPr lang="en-US" baseline="0"/>
                  <a:t> </a:t>
                </a:r>
                <a:fld id="{E115CA2B-DE84-4CB6-9059-3B1FABB5BA02}"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20"/>
        <c:spPr>
          <a:solidFill>
            <a:srgbClr val="000000"/>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D70F5AD0-599A-41C1-BAEB-7BC87293E8E6}" type="CELLRANGE">
                  <a:rPr lang="en-US"/>
                  <a:pPr>
                    <a:defRPr sz="1000" b="0" i="0" u="none" strike="noStrike" kern="1200" baseline="0">
                      <a:solidFill>
                        <a:schemeClr val="bg1"/>
                      </a:solidFill>
                      <a:latin typeface="+mn-lt"/>
                      <a:ea typeface="+mn-ea"/>
                      <a:cs typeface="+mn-cs"/>
                    </a:defRPr>
                  </a:pPr>
                  <a:t>[CELLRANGE]</a:t>
                </a:fld>
                <a:r>
                  <a:rPr lang="en-US" baseline="0"/>
                  <a:t> </a:t>
                </a:r>
                <a:fld id="{1718F041-E50A-46FC-899B-04F854D7CE62}" type="VALUE">
                  <a:rPr lang="en-US" baseline="0"/>
                  <a:pPr>
                    <a:defRPr sz="1000" b="0"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21"/>
        <c:spPr>
          <a:solidFill>
            <a:srgbClr val="000000"/>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Lst>
        </c:dLbl>
      </c:pivotFmt>
      <c:pivotFmt>
        <c:idx val="22"/>
        <c:spPr>
          <a:solidFill>
            <a:srgbClr val="1F3A5F"/>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8797D05-AF2E-4B63-B024-8BAEE265BC14}" type="CELLRANGE">
                  <a:rPr lang="en-US"/>
                  <a:pPr>
                    <a:defRPr sz="1000">
                      <a:solidFill>
                        <a:schemeClr val="bg1"/>
                      </a:solidFill>
                    </a:defRPr>
                  </a:pPr>
                  <a:t>[CELLRANGE]</a:t>
                </a:fld>
                <a:r>
                  <a:rPr lang="en-US" baseline="0"/>
                  <a:t> </a:t>
                </a:r>
                <a:fld id="{4642FA66-5E1D-4158-B672-FE3D037F0A6B}" type="VALUE">
                  <a:rPr lang="en-US" baseline="0"/>
                  <a:pPr>
                    <a:defRPr sz="1000">
                      <a:solidFill>
                        <a:schemeClr val="bg1"/>
                      </a:solidFill>
                    </a:defRPr>
                  </a:pPr>
                  <a:t>[VALUE]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23"/>
        <c:spPr>
          <a:solidFill>
            <a:srgbClr val="BDD0E9"/>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85B7910F-5F60-4A01-A34C-1B5FDB98F10A}" type="CELLRANGE">
                  <a:rPr lang="en-US"/>
                  <a:pPr>
                    <a:defRPr sz="1000">
                      <a:solidFill>
                        <a:schemeClr val="bg1"/>
                      </a:solidFill>
                    </a:defRPr>
                  </a:pPr>
                  <a:t>[CELLRANGE]</a:t>
                </a:fld>
                <a:r>
                  <a:rPr lang="en-US" baseline="0"/>
                  <a:t> </a:t>
                </a:r>
                <a:fld id="{6D290B17-EDD6-41E8-99FA-C76FAD35B140}" type="VALUE">
                  <a:rPr lang="en-US" baseline="0"/>
                  <a:pPr>
                    <a:defRPr sz="1000">
                      <a:solidFill>
                        <a:schemeClr val="bg1"/>
                      </a:solidFill>
                    </a:defRPr>
                  </a:pPr>
                  <a:t>[VALUE]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24"/>
        <c:spPr>
          <a:solidFill>
            <a:srgbClr val="6977E1"/>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4A88A00-CED3-4DC7-9EC3-3042D39B7438}" type="CELLRANGE">
                  <a:rPr lang="en-US"/>
                  <a:pPr>
                    <a:defRPr sz="1000">
                      <a:solidFill>
                        <a:schemeClr val="bg1"/>
                      </a:solidFill>
                    </a:defRPr>
                  </a:pPr>
                  <a:t>[CELLRANGE]</a:t>
                </a:fld>
                <a:r>
                  <a:rPr lang="en-US" baseline="0"/>
                  <a:t> </a:t>
                </a:r>
                <a:fld id="{214C8DF4-5124-45C9-84A2-3CA5B76B3B74}" type="VALUE">
                  <a:rPr lang="en-US" baseline="0"/>
                  <a:pPr>
                    <a:defRPr sz="1000">
                      <a:solidFill>
                        <a:schemeClr val="bg1"/>
                      </a:solidFill>
                    </a:defRPr>
                  </a:pPr>
                  <a:t>[VALUE]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25"/>
        <c:spPr>
          <a:solidFill>
            <a:srgbClr val="88AAD8"/>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1C8B0DB-2708-4A17-A16A-A13360A6EF61}" type="CELLRANGE">
                  <a:rPr lang="en-US"/>
                  <a:pPr>
                    <a:defRPr sz="1000">
                      <a:solidFill>
                        <a:schemeClr val="bg1"/>
                      </a:solidFill>
                    </a:defRPr>
                  </a:pPr>
                  <a:t>[CELLRANGE]</a:t>
                </a:fld>
                <a:r>
                  <a:rPr lang="en-US" baseline="0"/>
                  <a:t> </a:t>
                </a:r>
                <a:fld id="{72C1CC14-562D-4981-ABEE-3C7542FA3D73}" type="VALUE">
                  <a:rPr lang="en-US" baseline="0"/>
                  <a:pPr>
                    <a:defRPr sz="1000">
                      <a:solidFill>
                        <a:schemeClr val="bg1"/>
                      </a:solidFill>
                    </a:defRPr>
                  </a:pPr>
                  <a:t>[VALUE]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
        <c:idx val="26"/>
        <c:spPr>
          <a:solidFill>
            <a:srgbClr val="AFB7EF"/>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05318E62-1931-468D-BE9E-FFD4C8CD45B7}" type="CELLRANGE">
                  <a:rPr lang="en-US"/>
                  <a:pPr>
                    <a:defRPr sz="1000">
                      <a:solidFill>
                        <a:schemeClr val="bg1"/>
                      </a:solidFill>
                    </a:defRPr>
                  </a:pPr>
                  <a:t>[CELLRANGE]</a:t>
                </a:fld>
                <a:r>
                  <a:rPr lang="en-US" baseline="0"/>
                  <a:t> </a:t>
                </a:r>
                <a:fld id="{E0059E37-ED24-470D-821A-39D2923F70BD}" type="VALUE">
                  <a:rPr lang="en-US" baseline="0"/>
                  <a:pPr>
                    <a:defRPr sz="1000">
                      <a:solidFill>
                        <a:schemeClr val="bg1"/>
                      </a:solidFill>
                    </a:defRPr>
                  </a:pPr>
                  <a:t>[VALUE]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6297061783575976"/>
          <c:y val="0.11875838406988468"/>
          <c:w val="0.73702936695945265"/>
          <c:h val="0.8812416159301153"/>
        </c:manualLayout>
      </c:layout>
      <c:barChart>
        <c:barDir val="bar"/>
        <c:grouping val="clustered"/>
        <c:varyColors val="0"/>
        <c:ser>
          <c:idx val="0"/>
          <c:order val="0"/>
          <c:tx>
            <c:strRef>
              <c:f>'PVT &amp; Calculations'!$BB$5:$BB$9</c:f>
              <c:strCache>
                <c:ptCount val="1"/>
                <c:pt idx="0">
                  <c:v>Total</c:v>
                </c:pt>
              </c:strCache>
            </c:strRef>
          </c:tx>
          <c:spPr>
            <a:solidFill>
              <a:srgbClr val="000000"/>
            </a:solidFill>
            <a:ln>
              <a:noFill/>
            </a:ln>
            <a:effectLst/>
          </c:spPr>
          <c:invertIfNegative val="0"/>
          <c:dPt>
            <c:idx val="0"/>
            <c:invertIfNegative val="0"/>
            <c:bubble3D val="0"/>
            <c:spPr>
              <a:solidFill>
                <a:srgbClr val="1F3A5F"/>
              </a:solidFill>
              <a:ln>
                <a:noFill/>
              </a:ln>
              <a:effectLst/>
            </c:spPr>
            <c:extLst>
              <c:ext xmlns:c16="http://schemas.microsoft.com/office/drawing/2014/chart" uri="{C3380CC4-5D6E-409C-BE32-E72D297353CC}">
                <c16:uniqueId val="{00000001-9E82-498E-BD72-8E39766A92CB}"/>
              </c:ext>
            </c:extLst>
          </c:dPt>
          <c:dPt>
            <c:idx val="1"/>
            <c:invertIfNegative val="0"/>
            <c:bubble3D val="0"/>
            <c:spPr>
              <a:solidFill>
                <a:srgbClr val="BDD0E9"/>
              </a:solidFill>
              <a:ln>
                <a:noFill/>
              </a:ln>
              <a:effectLst/>
            </c:spPr>
            <c:extLst>
              <c:ext xmlns:c16="http://schemas.microsoft.com/office/drawing/2014/chart" uri="{C3380CC4-5D6E-409C-BE32-E72D297353CC}">
                <c16:uniqueId val="{00000006-9E82-498E-BD72-8E39766A92CB}"/>
              </c:ext>
            </c:extLst>
          </c:dPt>
          <c:dPt>
            <c:idx val="2"/>
            <c:invertIfNegative val="0"/>
            <c:bubble3D val="0"/>
            <c:spPr>
              <a:solidFill>
                <a:srgbClr val="6977E1"/>
              </a:solidFill>
              <a:ln>
                <a:noFill/>
              </a:ln>
              <a:effectLst/>
            </c:spPr>
            <c:extLst>
              <c:ext xmlns:c16="http://schemas.microsoft.com/office/drawing/2014/chart" uri="{C3380CC4-5D6E-409C-BE32-E72D297353CC}">
                <c16:uniqueId val="{00000002-9E82-498E-BD72-8E39766A92CB}"/>
              </c:ext>
            </c:extLst>
          </c:dPt>
          <c:dPt>
            <c:idx val="3"/>
            <c:invertIfNegative val="0"/>
            <c:bubble3D val="0"/>
            <c:spPr>
              <a:solidFill>
                <a:srgbClr val="88AAD8"/>
              </a:solidFill>
              <a:ln>
                <a:noFill/>
              </a:ln>
              <a:effectLst/>
            </c:spPr>
            <c:extLst>
              <c:ext xmlns:c16="http://schemas.microsoft.com/office/drawing/2014/chart" uri="{C3380CC4-5D6E-409C-BE32-E72D297353CC}">
                <c16:uniqueId val="{00000003-9E82-498E-BD72-8E39766A92CB}"/>
              </c:ext>
            </c:extLst>
          </c:dPt>
          <c:dPt>
            <c:idx val="4"/>
            <c:invertIfNegative val="0"/>
            <c:bubble3D val="0"/>
            <c:spPr>
              <a:solidFill>
                <a:srgbClr val="AFB7EF"/>
              </a:solidFill>
              <a:ln>
                <a:noFill/>
              </a:ln>
              <a:effectLst/>
            </c:spPr>
            <c:extLst>
              <c:ext xmlns:c16="http://schemas.microsoft.com/office/drawing/2014/chart" uri="{C3380CC4-5D6E-409C-BE32-E72D297353CC}">
                <c16:uniqueId val="{00000004-9E82-498E-BD72-8E39766A92CB}"/>
              </c:ext>
            </c:extLst>
          </c:dPt>
          <c:dPt>
            <c:idx val="5"/>
            <c:invertIfNegative val="0"/>
            <c:bubble3D val="0"/>
            <c:extLst>
              <c:ext xmlns:c16="http://schemas.microsoft.com/office/drawing/2014/chart" uri="{C3380CC4-5D6E-409C-BE32-E72D297353CC}">
                <c16:uniqueId val="{00000005-9E82-498E-BD72-8E39766A92CB}"/>
              </c:ext>
            </c:extLst>
          </c:dPt>
          <c:dLbls>
            <c:dLbl>
              <c:idx val="0"/>
              <c:tx>
                <c:rich>
                  <a:bodyPr/>
                  <a:lstStyle/>
                  <a:p>
                    <a:fld id="{B8797D05-AF2E-4B63-B024-8BAEE265BC14}" type="CELLRANGE">
                      <a:rPr lang="en-US"/>
                      <a:pPr/>
                      <a:t>[CELLRANGE]</a:t>
                    </a:fld>
                    <a:r>
                      <a:rPr lang="en-US" baseline="0"/>
                      <a:t> </a:t>
                    </a:r>
                    <a:fld id="{4642FA66-5E1D-4158-B672-FE3D037F0A6B}" type="VALUE">
                      <a:rPr lang="en-US" baseline="0"/>
                      <a:pPr/>
                      <a:t>[VALUE]</a:t>
                    </a:fld>
                    <a:endParaRPr lang="en-US" baseline="0"/>
                  </a:p>
                </c:rich>
              </c:tx>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E82-498E-BD72-8E39766A92CB}"/>
                </c:ext>
              </c:extLst>
            </c:dLbl>
            <c:dLbl>
              <c:idx val="1"/>
              <c:tx>
                <c:rich>
                  <a:bodyPr/>
                  <a:lstStyle/>
                  <a:p>
                    <a:fld id="{85B7910F-5F60-4A01-A34C-1B5FDB98F10A}" type="CELLRANGE">
                      <a:rPr lang="en-US"/>
                      <a:pPr/>
                      <a:t>[CELLRANGE]</a:t>
                    </a:fld>
                    <a:r>
                      <a:rPr lang="en-US" baseline="0"/>
                      <a:t> </a:t>
                    </a:r>
                    <a:fld id="{6D290B17-EDD6-41E8-99FA-C76FAD35B140}" type="VALUE">
                      <a:rPr lang="en-US" baseline="0"/>
                      <a:pPr/>
                      <a:t>[VALUE]</a:t>
                    </a:fld>
                    <a:endParaRPr lang="en-US" baseline="0"/>
                  </a:p>
                </c:rich>
              </c:tx>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E82-498E-BD72-8E39766A92CB}"/>
                </c:ext>
              </c:extLst>
            </c:dLbl>
            <c:dLbl>
              <c:idx val="2"/>
              <c:tx>
                <c:rich>
                  <a:bodyPr/>
                  <a:lstStyle/>
                  <a:p>
                    <a:fld id="{B4A88A00-CED3-4DC7-9EC3-3042D39B7438}" type="CELLRANGE">
                      <a:rPr lang="en-US"/>
                      <a:pPr/>
                      <a:t>[CELLRANGE]</a:t>
                    </a:fld>
                    <a:r>
                      <a:rPr lang="en-US" baseline="0"/>
                      <a:t> </a:t>
                    </a:r>
                    <a:fld id="{214C8DF4-5124-45C9-84A2-3CA5B76B3B74}" type="VALUE">
                      <a:rPr lang="en-US" baseline="0"/>
                      <a:pPr/>
                      <a:t>[VALUE]</a:t>
                    </a:fld>
                    <a:endParaRPr lang="en-US" baseline="0"/>
                  </a:p>
                </c:rich>
              </c:tx>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E82-498E-BD72-8E39766A92CB}"/>
                </c:ext>
              </c:extLst>
            </c:dLbl>
            <c:dLbl>
              <c:idx val="3"/>
              <c:tx>
                <c:rich>
                  <a:bodyPr/>
                  <a:lstStyle/>
                  <a:p>
                    <a:fld id="{B1C8B0DB-2708-4A17-A16A-A13360A6EF61}" type="CELLRANGE">
                      <a:rPr lang="en-US"/>
                      <a:pPr/>
                      <a:t>[CELLRANGE]</a:t>
                    </a:fld>
                    <a:r>
                      <a:rPr lang="en-US" baseline="0"/>
                      <a:t> </a:t>
                    </a:r>
                    <a:fld id="{72C1CC14-562D-4981-ABEE-3C7542FA3D73}" type="VALUE">
                      <a:rPr lang="en-US" baseline="0"/>
                      <a:pPr/>
                      <a:t>[VALUE]</a:t>
                    </a:fld>
                    <a:endParaRPr lang="en-US" baseline="0"/>
                  </a:p>
                </c:rich>
              </c:tx>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E82-498E-BD72-8E39766A92CB}"/>
                </c:ext>
              </c:extLst>
            </c:dLbl>
            <c:dLbl>
              <c:idx val="4"/>
              <c:tx>
                <c:rich>
                  <a:bodyPr/>
                  <a:lstStyle/>
                  <a:p>
                    <a:fld id="{05318E62-1931-468D-BE9E-FFD4C8CD45B7}" type="CELLRANGE">
                      <a:rPr lang="en-US"/>
                      <a:pPr/>
                      <a:t>[CELLRANGE]</a:t>
                    </a:fld>
                    <a:r>
                      <a:rPr lang="en-US" baseline="0"/>
                      <a:t> </a:t>
                    </a:r>
                    <a:fld id="{E0059E37-ED24-470D-821A-39D2923F70BD}" type="VALUE">
                      <a:rPr lang="en-US" baseline="0"/>
                      <a:pPr/>
                      <a:t>[VALUE]</a:t>
                    </a:fld>
                    <a:endParaRPr lang="en-US" baseline="0"/>
                  </a:p>
                </c:rich>
              </c:tx>
              <c:dLblPos val="inEnd"/>
              <c:showLegendKey val="0"/>
              <c:showVal val="1"/>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E82-498E-BD72-8E39766A92C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LID4096"/>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'PVT &amp; Calculations'!$BB$5:$BB$9</c:f>
              <c:strCache>
                <c:ptCount val="5"/>
                <c:pt idx="0">
                  <c:v>Clinical Medicine</c:v>
                </c:pt>
                <c:pt idx="1">
                  <c:v>Population Health</c:v>
                </c:pt>
                <c:pt idx="2">
                  <c:v>Behavioral Health</c:v>
                </c:pt>
                <c:pt idx="3">
                  <c:v>Child Health</c:v>
                </c:pt>
                <c:pt idx="4">
                  <c:v>Primary Care</c:v>
                </c:pt>
              </c:strCache>
            </c:strRef>
          </c:cat>
          <c:val>
            <c:numRef>
              <c:f>'PVT &amp; Calculations'!$BB$5:$BB$9</c:f>
              <c:numCache>
                <c:formatCode>_(* #,##0_);_(* \(#,##0\);_(* "-"??_);_(@_)</c:formatCode>
                <c:ptCount val="5"/>
                <c:pt idx="0">
                  <c:v>294</c:v>
                </c:pt>
                <c:pt idx="1">
                  <c:v>243</c:v>
                </c:pt>
                <c:pt idx="2">
                  <c:v>120</c:v>
                </c:pt>
                <c:pt idx="3">
                  <c:v>273</c:v>
                </c:pt>
                <c:pt idx="4">
                  <c:v>93</c:v>
                </c:pt>
              </c:numCache>
            </c:numRef>
          </c:val>
          <c:extLst>
            <c:ext xmlns:c15="http://schemas.microsoft.com/office/drawing/2012/chart" uri="{02D57815-91ED-43cb-92C2-25804820EDAC}">
              <c15:datalabelsRange>
                <c15:f>'PVT &amp; Calculations'!$BB$5:$BB$9</c15:f>
                <c15:dlblRangeCache>
                  <c:ptCount val="5"/>
                  <c:pt idx="0">
                    <c:v>28.7%</c:v>
                  </c:pt>
                  <c:pt idx="1">
                    <c:v>23.8%</c:v>
                  </c:pt>
                  <c:pt idx="2">
                    <c:v>11.7%</c:v>
                  </c:pt>
                  <c:pt idx="3">
                    <c:v>26.7%</c:v>
                  </c:pt>
                  <c:pt idx="4">
                    <c:v>9.1%</c:v>
                  </c:pt>
                </c15:dlblRangeCache>
              </c15:datalabelsRange>
            </c:ext>
            <c:ext xmlns:c16="http://schemas.microsoft.com/office/drawing/2014/chart" uri="{C3380CC4-5D6E-409C-BE32-E72D297353CC}">
              <c16:uniqueId val="{00000007-9E82-498E-BD72-8E39766A92CB}"/>
            </c:ext>
          </c:extLst>
        </c:ser>
        <c:dLbls>
          <c:dLblPos val="outEnd"/>
          <c:showLegendKey val="0"/>
          <c:showVal val="1"/>
          <c:showCatName val="0"/>
          <c:showSerName val="0"/>
          <c:showPercent val="0"/>
          <c:showBubbleSize val="0"/>
        </c:dLbls>
        <c:gapWidth val="51"/>
        <c:overlap val="20"/>
        <c:axId val="1382884047"/>
        <c:axId val="1382875887"/>
      </c:barChart>
      <c:catAx>
        <c:axId val="138288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82875887"/>
        <c:crosses val="autoZero"/>
        <c:auto val="1"/>
        <c:lblAlgn val="ctr"/>
        <c:lblOffset val="100"/>
        <c:noMultiLvlLbl val="0"/>
      </c:catAx>
      <c:valAx>
        <c:axId val="1382875887"/>
        <c:scaling>
          <c:orientation val="minMax"/>
        </c:scaling>
        <c:delete val="1"/>
        <c:axPos val="b"/>
        <c:numFmt formatCode="_(* #,##0_);_(* \(#,##0\);_(* &quot;-&quot;??_);_(@_)" sourceLinked="1"/>
        <c:majorTickMark val="none"/>
        <c:minorTickMark val="none"/>
        <c:tickLblPos val="nextTo"/>
        <c:crossAx val="138288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png"/><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544285</xdr:colOff>
      <xdr:row>0</xdr:row>
      <xdr:rowOff>89646</xdr:rowOff>
    </xdr:from>
    <xdr:to>
      <xdr:col>23</xdr:col>
      <xdr:colOff>582705</xdr:colOff>
      <xdr:row>42</xdr:row>
      <xdr:rowOff>108857</xdr:rowOff>
    </xdr:to>
    <xdr:sp macro="" textlink="">
      <xdr:nvSpPr>
        <xdr:cNvPr id="2" name="Rectangle: Rounded Corners 1">
          <a:extLst>
            <a:ext uri="{FF2B5EF4-FFF2-40B4-BE49-F238E27FC236}">
              <a16:creationId xmlns:a16="http://schemas.microsoft.com/office/drawing/2014/main" id="{E385CC22-3B57-46E0-8B8B-1E6BBDEE6E8C}"/>
            </a:ext>
          </a:extLst>
        </xdr:cNvPr>
        <xdr:cNvSpPr/>
      </xdr:nvSpPr>
      <xdr:spPr>
        <a:xfrm>
          <a:off x="4830535" y="89646"/>
          <a:ext cx="9835563" cy="8020211"/>
        </a:xfrm>
        <a:prstGeom prst="roundRect">
          <a:avLst>
            <a:gd name="adj" fmla="val 1072"/>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10</xdr:col>
      <xdr:colOff>493059</xdr:colOff>
      <xdr:row>1</xdr:row>
      <xdr:rowOff>22412</xdr:rowOff>
    </xdr:from>
    <xdr:to>
      <xdr:col>23</xdr:col>
      <xdr:colOff>470647</xdr:colOff>
      <xdr:row>34</xdr:row>
      <xdr:rowOff>168088</xdr:rowOff>
    </xdr:to>
    <xdr:sp macro="" textlink="">
      <xdr:nvSpPr>
        <xdr:cNvPr id="3" name="Rectangle: Rounded Corners 2">
          <a:extLst>
            <a:ext uri="{FF2B5EF4-FFF2-40B4-BE49-F238E27FC236}">
              <a16:creationId xmlns:a16="http://schemas.microsoft.com/office/drawing/2014/main" id="{DCEEF9CA-C619-48D9-A9F9-A5D051AA7B99}"/>
            </a:ext>
          </a:extLst>
        </xdr:cNvPr>
        <xdr:cNvSpPr/>
      </xdr:nvSpPr>
      <xdr:spPr>
        <a:xfrm>
          <a:off x="6589059" y="212912"/>
          <a:ext cx="7902388" cy="6432176"/>
        </a:xfrm>
        <a:prstGeom prst="roundRect">
          <a:avLst>
            <a:gd name="adj" fmla="val 697"/>
          </a:avLst>
        </a:prstGeom>
        <a:solidFill>
          <a:srgbClr val="F4F6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10</xdr:col>
      <xdr:colOff>571501</xdr:colOff>
      <xdr:row>9</xdr:row>
      <xdr:rowOff>66675</xdr:rowOff>
    </xdr:from>
    <xdr:to>
      <xdr:col>17</xdr:col>
      <xdr:colOff>112059</xdr:colOff>
      <xdr:row>21</xdr:row>
      <xdr:rowOff>66675</xdr:rowOff>
    </xdr:to>
    <xdr:sp macro="" textlink="">
      <xdr:nvSpPr>
        <xdr:cNvPr id="4" name="Rectangle: Rounded Corners 3">
          <a:extLst>
            <a:ext uri="{FF2B5EF4-FFF2-40B4-BE49-F238E27FC236}">
              <a16:creationId xmlns:a16="http://schemas.microsoft.com/office/drawing/2014/main" id="{065A4E10-C6D9-4FD4-82EB-6794FAA44C01}"/>
            </a:ext>
          </a:extLst>
        </xdr:cNvPr>
        <xdr:cNvSpPr/>
      </xdr:nvSpPr>
      <xdr:spPr>
        <a:xfrm>
          <a:off x="6667501" y="1781175"/>
          <a:ext cx="3807758" cy="2286000"/>
        </a:xfrm>
        <a:prstGeom prst="roundRect">
          <a:avLst>
            <a:gd name="adj" fmla="val 1895"/>
          </a:avLst>
        </a:prstGeom>
        <a:solidFill>
          <a:srgbClr val="E0E0E0"/>
        </a:solidFill>
        <a:ln>
          <a:noFill/>
        </a:ln>
        <a:effectLst>
          <a:outerShdw blurRad="50800" algn="ctr" rotWithShape="0">
            <a:schemeClr val="bg1">
              <a:alpha val="0"/>
            </a:schemeClr>
          </a:outerShdw>
        </a:effectLst>
        <a:scene3d>
          <a:camera prst="orthographicFront"/>
          <a:lightRig rig="threePt" dir="t"/>
        </a:scene3d>
        <a:sp3d>
          <a:bevelT w="3810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17</xdr:col>
      <xdr:colOff>179294</xdr:colOff>
      <xdr:row>9</xdr:row>
      <xdr:rowOff>56029</xdr:rowOff>
    </xdr:from>
    <xdr:to>
      <xdr:col>23</xdr:col>
      <xdr:colOff>381000</xdr:colOff>
      <xdr:row>34</xdr:row>
      <xdr:rowOff>112059</xdr:rowOff>
    </xdr:to>
    <xdr:sp macro="" textlink="">
      <xdr:nvSpPr>
        <xdr:cNvPr id="5" name="Rectangle: Rounded Corners 4">
          <a:extLst>
            <a:ext uri="{FF2B5EF4-FFF2-40B4-BE49-F238E27FC236}">
              <a16:creationId xmlns:a16="http://schemas.microsoft.com/office/drawing/2014/main" id="{F0A0ADBC-4221-4E74-BF7B-408394A950E4}"/>
            </a:ext>
          </a:extLst>
        </xdr:cNvPr>
        <xdr:cNvSpPr/>
      </xdr:nvSpPr>
      <xdr:spPr>
        <a:xfrm>
          <a:off x="10542494" y="1770529"/>
          <a:ext cx="3859306" cy="4818530"/>
        </a:xfrm>
        <a:prstGeom prst="roundRect">
          <a:avLst>
            <a:gd name="adj" fmla="val 999"/>
          </a:avLst>
        </a:prstGeom>
        <a:solidFill>
          <a:srgbClr val="E0E0E0"/>
        </a:solidFill>
        <a:ln>
          <a:noFill/>
        </a:ln>
        <a:scene3d>
          <a:camera prst="orthographicFront"/>
          <a:lightRig rig="threePt" dir="t"/>
        </a:scene3d>
        <a:sp3d extrusionH="76200" contourW="12700">
          <a:bevelT w="38100" h="38100" prst="angle"/>
          <a:extrusionClr>
            <a:schemeClr val="bg1"/>
          </a:extrusionClr>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16</xdr:col>
      <xdr:colOff>333594</xdr:colOff>
      <xdr:row>4</xdr:row>
      <xdr:rowOff>95249</xdr:rowOff>
    </xdr:from>
    <xdr:to>
      <xdr:col>19</xdr:col>
      <xdr:colOff>133349</xdr:colOff>
      <xdr:row>8</xdr:row>
      <xdr:rowOff>174497</xdr:rowOff>
    </xdr:to>
    <xdr:grpSp>
      <xdr:nvGrpSpPr>
        <xdr:cNvPr id="6" name="Group 5">
          <a:extLst>
            <a:ext uri="{FF2B5EF4-FFF2-40B4-BE49-F238E27FC236}">
              <a16:creationId xmlns:a16="http://schemas.microsoft.com/office/drawing/2014/main" id="{F82FB90A-318B-43D1-BC9C-337CE7BFC1F1}"/>
            </a:ext>
          </a:extLst>
        </xdr:cNvPr>
        <xdr:cNvGrpSpPr/>
      </xdr:nvGrpSpPr>
      <xdr:grpSpPr>
        <a:xfrm>
          <a:off x="10130737" y="857249"/>
          <a:ext cx="1636719" cy="841248"/>
          <a:chOff x="10677525" y="885825"/>
          <a:chExt cx="1609725" cy="838200"/>
        </a:xfrm>
        <a:effectLst>
          <a:outerShdw blurRad="25400" dist="25400" dir="5400000" sx="98000" sy="98000" algn="ctr" rotWithShape="0">
            <a:srgbClr val="E0E0E0"/>
          </a:outerShdw>
        </a:effectLst>
      </xdr:grpSpPr>
      <xdr:sp macro="" textlink="">
        <xdr:nvSpPr>
          <xdr:cNvPr id="7" name="Rectangle: Rounded Corners 6">
            <a:extLst>
              <a:ext uri="{FF2B5EF4-FFF2-40B4-BE49-F238E27FC236}">
                <a16:creationId xmlns:a16="http://schemas.microsoft.com/office/drawing/2014/main" id="{4F0D9D96-E62C-B1D4-5D97-E1B8061AEFA7}"/>
              </a:ext>
            </a:extLst>
          </xdr:cNvPr>
          <xdr:cNvSpPr/>
        </xdr:nvSpPr>
        <xdr:spPr>
          <a:xfrm>
            <a:off x="10677525" y="885825"/>
            <a:ext cx="1609725" cy="838200"/>
          </a:xfrm>
          <a:prstGeom prst="roundRect">
            <a:avLst>
              <a:gd name="adj" fmla="val 6440"/>
            </a:avLst>
          </a:prstGeom>
          <a:solidFill>
            <a:srgbClr val="E0E0E0"/>
          </a:solidFill>
          <a:ln>
            <a:noFill/>
          </a:ln>
          <a:effectLst>
            <a:outerShdw blurRad="50800" dist="25400" dir="16800000" algn="ctr" rotWithShape="0">
              <a:srgbClr val="0F1F3D">
                <a:alpha val="72000"/>
              </a:srgbClr>
            </a:outerShdw>
          </a:effectLst>
          <a:scene3d>
            <a:camera prst="orthographicFront"/>
            <a:lightRig rig="threePt" dir="t"/>
          </a:scene3d>
          <a:sp3d>
            <a:bevelT w="38100" h="381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PVT &amp; Calculations'!A31">
        <xdr:nvSpPr>
          <xdr:cNvPr id="8" name="TextBox 7">
            <a:extLst>
              <a:ext uri="{FF2B5EF4-FFF2-40B4-BE49-F238E27FC236}">
                <a16:creationId xmlns:a16="http://schemas.microsoft.com/office/drawing/2014/main" id="{9CE27617-A351-4DB4-4902-26C16E2C67D1}"/>
              </a:ext>
            </a:extLst>
          </xdr:cNvPr>
          <xdr:cNvSpPr txBox="1"/>
        </xdr:nvSpPr>
        <xdr:spPr>
          <a:xfrm>
            <a:off x="10953765" y="896879"/>
            <a:ext cx="1122039" cy="333375"/>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CAE101-A412-459B-BD66-0605FC4DF460}" type="TxLink">
              <a:rPr lang="en-US" sz="1100" b="0" i="0" u="none" strike="noStrike">
                <a:solidFill>
                  <a:srgbClr val="000000"/>
                </a:solidFill>
                <a:latin typeface="Aptos Narrow"/>
              </a:rPr>
              <a:pPr/>
              <a:t>Total Candidates</a:t>
            </a:fld>
            <a:endParaRPr lang="LID4096" sz="1100"/>
          </a:p>
        </xdr:txBody>
      </xdr:sp>
      <xdr:sp macro="" textlink="'PVT &amp; Calculations'!B31">
        <xdr:nvSpPr>
          <xdr:cNvPr id="9" name="TextBox 8">
            <a:extLst>
              <a:ext uri="{FF2B5EF4-FFF2-40B4-BE49-F238E27FC236}">
                <a16:creationId xmlns:a16="http://schemas.microsoft.com/office/drawing/2014/main" id="{5B0537F9-0E41-AAB9-15AE-A98DD1FC15C1}"/>
              </a:ext>
            </a:extLst>
          </xdr:cNvPr>
          <xdr:cNvSpPr txBox="1"/>
        </xdr:nvSpPr>
        <xdr:spPr>
          <a:xfrm>
            <a:off x="11191657" y="1190833"/>
            <a:ext cx="923924" cy="390524"/>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B7F8A6-A532-4B74-89CF-F7B4894D8C66}" type="TxLink">
              <a:rPr lang="en-US" sz="2000" b="1" i="0" u="none" strike="noStrike">
                <a:solidFill>
                  <a:srgbClr val="1F3A5F"/>
                </a:solidFill>
                <a:latin typeface="Aptos Narrow"/>
              </a:rPr>
              <a:pPr/>
              <a:t>1023</a:t>
            </a:fld>
            <a:endParaRPr lang="LID4096" sz="4400" b="1">
              <a:solidFill>
                <a:srgbClr val="1F3A5F"/>
              </a:solidFill>
            </a:endParaRPr>
          </a:p>
        </xdr:txBody>
      </xdr:sp>
    </xdr:grpSp>
    <xdr:clientData/>
  </xdr:twoCellAnchor>
  <xdr:twoCellAnchor>
    <xdr:from>
      <xdr:col>19</xdr:col>
      <xdr:colOff>238125</xdr:colOff>
      <xdr:row>4</xdr:row>
      <xdr:rowOff>85725</xdr:rowOff>
    </xdr:from>
    <xdr:to>
      <xdr:col>23</xdr:col>
      <xdr:colOff>380999</xdr:colOff>
      <xdr:row>8</xdr:row>
      <xdr:rowOff>164973</xdr:rowOff>
    </xdr:to>
    <xdr:sp macro="" textlink="">
      <xdr:nvSpPr>
        <xdr:cNvPr id="10" name="Rectangle: Rounded Corners 9">
          <a:extLst>
            <a:ext uri="{FF2B5EF4-FFF2-40B4-BE49-F238E27FC236}">
              <a16:creationId xmlns:a16="http://schemas.microsoft.com/office/drawing/2014/main" id="{BAF3526B-A523-4AD7-B34D-931FB5609CEA}"/>
            </a:ext>
          </a:extLst>
        </xdr:cNvPr>
        <xdr:cNvSpPr/>
      </xdr:nvSpPr>
      <xdr:spPr>
        <a:xfrm>
          <a:off x="11820525" y="847725"/>
          <a:ext cx="2581274" cy="841248"/>
        </a:xfrm>
        <a:prstGeom prst="roundRect">
          <a:avLst>
            <a:gd name="adj" fmla="val 6440"/>
          </a:avLst>
        </a:prstGeom>
        <a:solidFill>
          <a:srgbClr val="E0E0E0"/>
        </a:solidFill>
        <a:ln>
          <a:noFill/>
        </a:ln>
        <a:effectLst>
          <a:outerShdw blurRad="25400" dist="25400" dir="16800000" algn="ctr" rotWithShape="0">
            <a:srgbClr val="1F3A5F">
              <a:alpha val="72000"/>
            </a:srgbClr>
          </a:outerShdw>
        </a:effectLst>
        <a:scene3d>
          <a:camera prst="orthographicFront"/>
          <a:lightRig rig="threePt" dir="t"/>
        </a:scene3d>
        <a:sp3d>
          <a:bevelT w="38100" h="381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20</xdr:col>
      <xdr:colOff>248223</xdr:colOff>
      <xdr:row>6</xdr:row>
      <xdr:rowOff>36616</xdr:rowOff>
    </xdr:from>
    <xdr:to>
      <xdr:col>21</xdr:col>
      <xdr:colOff>190500</xdr:colOff>
      <xdr:row>7</xdr:row>
      <xdr:rowOff>180976</xdr:rowOff>
    </xdr:to>
    <xdr:sp macro="" textlink="'PVT &amp; Calculations'!B33">
      <xdr:nvSpPr>
        <xdr:cNvPr id="11" name="TextBox 10">
          <a:extLst>
            <a:ext uri="{FF2B5EF4-FFF2-40B4-BE49-F238E27FC236}">
              <a16:creationId xmlns:a16="http://schemas.microsoft.com/office/drawing/2014/main" id="{ED4DD0B6-7455-4FD1-8288-D56E135A2D22}"/>
            </a:ext>
          </a:extLst>
        </xdr:cNvPr>
        <xdr:cNvSpPr txBox="1"/>
      </xdr:nvSpPr>
      <xdr:spPr>
        <a:xfrm>
          <a:off x="12440223" y="1179616"/>
          <a:ext cx="551877" cy="334860"/>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55EB19-0478-4C26-B21D-CA285DFE5D33}" type="TxLink">
            <a:rPr lang="en-US" sz="1600" b="1" i="0" u="none" strike="noStrike">
              <a:solidFill>
                <a:srgbClr val="1F3A5F"/>
              </a:solidFill>
              <a:latin typeface="Aptos Narrow"/>
            </a:rPr>
            <a:pPr/>
            <a:t>571</a:t>
          </a:fld>
          <a:endParaRPr lang="LID4096" sz="2400" b="1">
            <a:solidFill>
              <a:srgbClr val="1F3A5F"/>
            </a:solidFill>
          </a:endParaRPr>
        </a:p>
      </xdr:txBody>
    </xdr:sp>
    <xdr:clientData/>
  </xdr:twoCellAnchor>
  <xdr:twoCellAnchor>
    <xdr:from>
      <xdr:col>20</xdr:col>
      <xdr:colOff>179903</xdr:colOff>
      <xdr:row>4</xdr:row>
      <xdr:rowOff>109348</xdr:rowOff>
    </xdr:from>
    <xdr:to>
      <xdr:col>21</xdr:col>
      <xdr:colOff>212910</xdr:colOff>
      <xdr:row>6</xdr:row>
      <xdr:rowOff>28576</xdr:rowOff>
    </xdr:to>
    <xdr:sp macro="" textlink="'PVT &amp; Calculations'!A33">
      <xdr:nvSpPr>
        <xdr:cNvPr id="12" name="TextBox 11">
          <a:extLst>
            <a:ext uri="{FF2B5EF4-FFF2-40B4-BE49-F238E27FC236}">
              <a16:creationId xmlns:a16="http://schemas.microsoft.com/office/drawing/2014/main" id="{D3D6E054-FCBD-4BC2-8905-13B25A58A3DB}"/>
            </a:ext>
          </a:extLst>
        </xdr:cNvPr>
        <xdr:cNvSpPr txBox="1"/>
      </xdr:nvSpPr>
      <xdr:spPr>
        <a:xfrm>
          <a:off x="12371903" y="871348"/>
          <a:ext cx="642607" cy="300228"/>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E2F5CE-ED97-45AF-BB5A-18E90AACE043}" type="TxLink">
            <a:rPr lang="en-US" sz="1100" b="0" i="0" u="none" strike="noStrike">
              <a:solidFill>
                <a:srgbClr val="000000"/>
              </a:solidFill>
              <a:latin typeface="Aptos Narrow"/>
            </a:rPr>
            <a:pPr/>
            <a:t>Female</a:t>
          </a:fld>
          <a:endParaRPr lang="LID4096" sz="1100"/>
        </a:p>
      </xdr:txBody>
    </xdr:sp>
    <xdr:clientData/>
  </xdr:twoCellAnchor>
  <xdr:twoCellAnchor>
    <xdr:from>
      <xdr:col>21</xdr:col>
      <xdr:colOff>439227</xdr:colOff>
      <xdr:row>6</xdr:row>
      <xdr:rowOff>35627</xdr:rowOff>
    </xdr:from>
    <xdr:to>
      <xdr:col>22</xdr:col>
      <xdr:colOff>361951</xdr:colOff>
      <xdr:row>7</xdr:row>
      <xdr:rowOff>171450</xdr:rowOff>
    </xdr:to>
    <xdr:sp macro="" textlink="'PVT &amp; Calculations'!B34">
      <xdr:nvSpPr>
        <xdr:cNvPr id="13" name="TextBox 12">
          <a:extLst>
            <a:ext uri="{FF2B5EF4-FFF2-40B4-BE49-F238E27FC236}">
              <a16:creationId xmlns:a16="http://schemas.microsoft.com/office/drawing/2014/main" id="{FEA0094A-475C-4F07-80D4-183456468ED1}"/>
            </a:ext>
          </a:extLst>
        </xdr:cNvPr>
        <xdr:cNvSpPr txBox="1"/>
      </xdr:nvSpPr>
      <xdr:spPr>
        <a:xfrm>
          <a:off x="13240827" y="1178627"/>
          <a:ext cx="532324" cy="326323"/>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358B34-0E42-45E5-909A-2DDD17DFCED5}" type="TxLink">
            <a:rPr lang="en-US" sz="1600" b="1" i="0" u="none" strike="noStrike">
              <a:solidFill>
                <a:srgbClr val="1F3A5F"/>
              </a:solidFill>
              <a:latin typeface="Aptos Narrow"/>
            </a:rPr>
            <a:pPr/>
            <a:t>452</a:t>
          </a:fld>
          <a:endParaRPr lang="LID4096" sz="3600" b="1">
            <a:solidFill>
              <a:srgbClr val="1F3A5F"/>
            </a:solidFill>
          </a:endParaRPr>
        </a:p>
      </xdr:txBody>
    </xdr:sp>
    <xdr:clientData/>
  </xdr:twoCellAnchor>
  <xdr:twoCellAnchor>
    <xdr:from>
      <xdr:col>21</xdr:col>
      <xdr:colOff>466829</xdr:colOff>
      <xdr:row>4</xdr:row>
      <xdr:rowOff>97156</xdr:rowOff>
    </xdr:from>
    <xdr:to>
      <xdr:col>22</xdr:col>
      <xdr:colOff>342900</xdr:colOff>
      <xdr:row>6</xdr:row>
      <xdr:rowOff>9526</xdr:rowOff>
    </xdr:to>
    <xdr:sp macro="" textlink="'PVT &amp; Calculations'!A34">
      <xdr:nvSpPr>
        <xdr:cNvPr id="14" name="TextBox 13">
          <a:extLst>
            <a:ext uri="{FF2B5EF4-FFF2-40B4-BE49-F238E27FC236}">
              <a16:creationId xmlns:a16="http://schemas.microsoft.com/office/drawing/2014/main" id="{470C2E9B-3A67-4334-A86A-5001E847802B}"/>
            </a:ext>
          </a:extLst>
        </xdr:cNvPr>
        <xdr:cNvSpPr txBox="1"/>
      </xdr:nvSpPr>
      <xdr:spPr>
        <a:xfrm>
          <a:off x="13268429" y="859156"/>
          <a:ext cx="485671" cy="293370"/>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B15830-9ED1-4F26-AE21-E1A9F8B96AAE}" type="TxLink">
            <a:rPr lang="en-US" sz="1100" b="0" i="0" u="none" strike="noStrike">
              <a:solidFill>
                <a:srgbClr val="000000"/>
              </a:solidFill>
              <a:latin typeface="Aptos Narrow"/>
            </a:rPr>
            <a:pPr/>
            <a:t>Male</a:t>
          </a:fld>
          <a:endParaRPr lang="LID4096" sz="1100"/>
        </a:p>
      </xdr:txBody>
    </xdr:sp>
    <xdr:clientData/>
  </xdr:twoCellAnchor>
  <xdr:twoCellAnchor>
    <xdr:from>
      <xdr:col>11</xdr:col>
      <xdr:colOff>95250</xdr:colOff>
      <xdr:row>10</xdr:row>
      <xdr:rowOff>9525</xdr:rowOff>
    </xdr:from>
    <xdr:to>
      <xdr:col>17</xdr:col>
      <xdr:colOff>28575</xdr:colOff>
      <xdr:row>21</xdr:row>
      <xdr:rowOff>0</xdr:rowOff>
    </xdr:to>
    <xdr:graphicFrame macro="">
      <xdr:nvGraphicFramePr>
        <xdr:cNvPr id="15" name="Chart 14">
          <a:extLst>
            <a:ext uri="{FF2B5EF4-FFF2-40B4-BE49-F238E27FC236}">
              <a16:creationId xmlns:a16="http://schemas.microsoft.com/office/drawing/2014/main" id="{270B66F5-05A2-4DB3-AED3-AA4E0347F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577103</xdr:colOff>
      <xdr:row>9</xdr:row>
      <xdr:rowOff>71718</xdr:rowOff>
    </xdr:from>
    <xdr:to>
      <xdr:col>14</xdr:col>
      <xdr:colOff>403412</xdr:colOff>
      <xdr:row>11</xdr:row>
      <xdr:rowOff>14568</xdr:rowOff>
    </xdr:to>
    <xdr:sp macro="" textlink="'PVT &amp; Calculations'!B39">
      <xdr:nvSpPr>
        <xdr:cNvPr id="19" name="TextBox 18">
          <a:extLst>
            <a:ext uri="{FF2B5EF4-FFF2-40B4-BE49-F238E27FC236}">
              <a16:creationId xmlns:a16="http://schemas.microsoft.com/office/drawing/2014/main" id="{0CC69F03-0A6D-4478-BC5D-4D2884287B59}"/>
            </a:ext>
          </a:extLst>
        </xdr:cNvPr>
        <xdr:cNvSpPr txBox="1"/>
      </xdr:nvSpPr>
      <xdr:spPr>
        <a:xfrm>
          <a:off x="6673103" y="1786218"/>
          <a:ext cx="226470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1A4C2C-5E68-4065-B585-7931C8741CE0}" type="TxLink">
            <a:rPr lang="en-US" sz="1100" b="0" i="0" u="none" strike="noStrike">
              <a:solidFill>
                <a:srgbClr val="000000"/>
              </a:solidFill>
              <a:latin typeface="Calibri" panose="020F0502020204030204" pitchFamily="34" charset="0"/>
              <a:cs typeface="Calibri" panose="020F0502020204030204" pitchFamily="34" charset="0"/>
            </a:rPr>
            <a:pPr/>
            <a:t>Candidates Distriution by Gender</a:t>
          </a:fld>
          <a:endParaRPr lang="LID4096" sz="1100" b="0">
            <a:latin typeface="Calibri" panose="020F0502020204030204" pitchFamily="34" charset="0"/>
            <a:cs typeface="Calibri" panose="020F0502020204030204" pitchFamily="34" charset="0"/>
          </a:endParaRPr>
        </a:p>
      </xdr:txBody>
    </xdr:sp>
    <xdr:clientData/>
  </xdr:twoCellAnchor>
  <xdr:twoCellAnchor>
    <xdr:from>
      <xdr:col>7</xdr:col>
      <xdr:colOff>521872</xdr:colOff>
      <xdr:row>35</xdr:row>
      <xdr:rowOff>66591</xdr:rowOff>
    </xdr:from>
    <xdr:to>
      <xdr:col>23</xdr:col>
      <xdr:colOff>302237</xdr:colOff>
      <xdr:row>38</xdr:row>
      <xdr:rowOff>164086</xdr:rowOff>
    </xdr:to>
    <xdr:sp macro="" textlink="">
      <xdr:nvSpPr>
        <xdr:cNvPr id="20" name="Rectangle: Top Corners Rounded 19">
          <a:extLst>
            <a:ext uri="{FF2B5EF4-FFF2-40B4-BE49-F238E27FC236}">
              <a16:creationId xmlns:a16="http://schemas.microsoft.com/office/drawing/2014/main" id="{1EAEA3E7-6857-40D6-8308-73AE7AD68ABB}"/>
            </a:ext>
          </a:extLst>
        </xdr:cNvPr>
        <xdr:cNvSpPr/>
      </xdr:nvSpPr>
      <xdr:spPr>
        <a:xfrm rot="10800000">
          <a:off x="4808122" y="6734091"/>
          <a:ext cx="9577508" cy="668995"/>
        </a:xfrm>
        <a:prstGeom prst="round2SameRect">
          <a:avLst>
            <a:gd name="adj1" fmla="val 20619"/>
            <a:gd name="adj2" fmla="val 0"/>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10</xdr:col>
      <xdr:colOff>552450</xdr:colOff>
      <xdr:row>4</xdr:row>
      <xdr:rowOff>100693</xdr:rowOff>
    </xdr:from>
    <xdr:to>
      <xdr:col>13</xdr:col>
      <xdr:colOff>332994</xdr:colOff>
      <xdr:row>9</xdr:row>
      <xdr:rowOff>47625</xdr:rowOff>
    </xdr:to>
    <xdr:grpSp>
      <xdr:nvGrpSpPr>
        <xdr:cNvPr id="21" name="Group 20">
          <a:extLst>
            <a:ext uri="{FF2B5EF4-FFF2-40B4-BE49-F238E27FC236}">
              <a16:creationId xmlns:a16="http://schemas.microsoft.com/office/drawing/2014/main" id="{61A84DF3-478D-4FBE-B6A6-18CBCBB659E4}"/>
            </a:ext>
          </a:extLst>
        </xdr:cNvPr>
        <xdr:cNvGrpSpPr/>
      </xdr:nvGrpSpPr>
      <xdr:grpSpPr>
        <a:xfrm>
          <a:off x="6675664" y="862693"/>
          <a:ext cx="1617509" cy="899432"/>
          <a:chOff x="6648450" y="862693"/>
          <a:chExt cx="1619250" cy="899432"/>
        </a:xfrm>
        <a:effectLst>
          <a:outerShdw blurRad="25400" dist="25400" dir="5400000" sx="98000" sy="98000" algn="ctr" rotWithShape="0">
            <a:srgbClr val="E0E0E0"/>
          </a:outerShdw>
        </a:effectLst>
      </xdr:grpSpPr>
      <xdr:sp macro="" textlink="">
        <xdr:nvSpPr>
          <xdr:cNvPr id="22" name="Rectangle: Rounded Corners 21">
            <a:extLst>
              <a:ext uri="{FF2B5EF4-FFF2-40B4-BE49-F238E27FC236}">
                <a16:creationId xmlns:a16="http://schemas.microsoft.com/office/drawing/2014/main" id="{D8B2A181-CBDD-6F4C-ACB5-BCCC02A37BAA}"/>
              </a:ext>
            </a:extLst>
          </xdr:cNvPr>
          <xdr:cNvSpPr/>
        </xdr:nvSpPr>
        <xdr:spPr>
          <a:xfrm>
            <a:off x="6648450" y="866775"/>
            <a:ext cx="1609725" cy="838200"/>
          </a:xfrm>
          <a:prstGeom prst="roundRect">
            <a:avLst>
              <a:gd name="adj" fmla="val 6440"/>
            </a:avLst>
          </a:prstGeom>
          <a:solidFill>
            <a:srgbClr val="E0E0E0"/>
          </a:solidFill>
          <a:ln>
            <a:noFill/>
          </a:ln>
          <a:effectLst>
            <a:outerShdw blurRad="50800" dist="25400" dir="16800000" algn="ctr" rotWithShape="0">
              <a:srgbClr val="1F3A5F">
                <a:alpha val="72000"/>
              </a:srgbClr>
            </a:outerShdw>
          </a:effectLst>
          <a:scene3d>
            <a:camera prst="orthographicFront"/>
            <a:lightRig rig="threePt" dir="t"/>
          </a:scene3d>
          <a:sp3d>
            <a:bevelT w="38100" h="381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PVT &amp; Calculations'!A28">
        <xdr:nvSpPr>
          <xdr:cNvPr id="23" name="TextBox 22">
            <a:extLst>
              <a:ext uri="{FF2B5EF4-FFF2-40B4-BE49-F238E27FC236}">
                <a16:creationId xmlns:a16="http://schemas.microsoft.com/office/drawing/2014/main" id="{A981D808-1023-7905-C9BA-461668F100F7}"/>
              </a:ext>
            </a:extLst>
          </xdr:cNvPr>
          <xdr:cNvSpPr txBox="1"/>
        </xdr:nvSpPr>
        <xdr:spPr>
          <a:xfrm>
            <a:off x="6802077" y="862693"/>
            <a:ext cx="1200378" cy="333375"/>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EB4372-9C11-4C3D-ACFF-E3E34827A21B}" type="TxLink">
              <a:rPr lang="en-US" sz="1100" b="0" i="0" u="none" strike="noStrike">
                <a:solidFill>
                  <a:srgbClr val="000000"/>
                </a:solidFill>
                <a:latin typeface="Aptos Narrow"/>
              </a:rPr>
              <a:pPr/>
              <a:t>Regional Revenue</a:t>
            </a:fld>
            <a:endParaRPr lang="LID4096" sz="1100"/>
          </a:p>
        </xdr:txBody>
      </xdr:sp>
      <xdr:grpSp>
        <xdr:nvGrpSpPr>
          <xdr:cNvPr id="24" name="Group 23">
            <a:extLst>
              <a:ext uri="{FF2B5EF4-FFF2-40B4-BE49-F238E27FC236}">
                <a16:creationId xmlns:a16="http://schemas.microsoft.com/office/drawing/2014/main" id="{CB1F1B5D-4F84-1237-F95B-58FD97D3BDC2}"/>
              </a:ext>
            </a:extLst>
          </xdr:cNvPr>
          <xdr:cNvGrpSpPr/>
        </xdr:nvGrpSpPr>
        <xdr:grpSpPr>
          <a:xfrm>
            <a:off x="6724650" y="1162051"/>
            <a:ext cx="1543050" cy="600074"/>
            <a:chOff x="6667500" y="1171576"/>
            <a:chExt cx="1543050" cy="600074"/>
          </a:xfrm>
        </xdr:grpSpPr>
        <xdr:sp macro="" textlink="'PVT &amp; Calculations'!B28">
          <xdr:nvSpPr>
            <xdr:cNvPr id="25" name="TextBox 24">
              <a:extLst>
                <a:ext uri="{FF2B5EF4-FFF2-40B4-BE49-F238E27FC236}">
                  <a16:creationId xmlns:a16="http://schemas.microsoft.com/office/drawing/2014/main" id="{7E58B4CD-4E4B-9A98-C386-B5A9DE0C80FD}"/>
                </a:ext>
              </a:extLst>
            </xdr:cNvPr>
            <xdr:cNvSpPr txBox="1"/>
          </xdr:nvSpPr>
          <xdr:spPr>
            <a:xfrm>
              <a:off x="6905625" y="1171576"/>
              <a:ext cx="1304925" cy="600074"/>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1776BC-A8A1-484F-8050-BF512717E421}" type="TxLink">
                <a:rPr lang="en-US" sz="2000" b="1" i="0" u="none" strike="noStrike">
                  <a:solidFill>
                    <a:srgbClr val="1F3A5F"/>
                  </a:solidFill>
                  <a:latin typeface="Aptos Narrow"/>
                </a:rPr>
                <a:pPr/>
                <a:t>438.9 M</a:t>
              </a:fld>
              <a:endParaRPr lang="LID4096" sz="2000" b="1">
                <a:solidFill>
                  <a:srgbClr val="1F3A5F"/>
                </a:solidFill>
              </a:endParaRPr>
            </a:p>
          </xdr:txBody>
        </xdr:sp>
        <xdr:sp macro="" textlink="'PVT &amp; Calculations'!C28">
          <xdr:nvSpPr>
            <xdr:cNvPr id="26" name="TextBox 25">
              <a:extLst>
                <a:ext uri="{FF2B5EF4-FFF2-40B4-BE49-F238E27FC236}">
                  <a16:creationId xmlns:a16="http://schemas.microsoft.com/office/drawing/2014/main" id="{E219E0FD-167A-EF16-381D-A631FA3E9136}"/>
                </a:ext>
              </a:extLst>
            </xdr:cNvPr>
            <xdr:cNvSpPr txBox="1"/>
          </xdr:nvSpPr>
          <xdr:spPr>
            <a:xfrm>
              <a:off x="6667500" y="1181101"/>
              <a:ext cx="333375" cy="333374"/>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F38DC2-CC50-45FD-87E6-F1C4CED0749B}" type="TxLink">
                <a:rPr lang="en-US" sz="2000" b="1" i="0" u="none" strike="noStrike">
                  <a:solidFill>
                    <a:srgbClr val="1F3A5F"/>
                  </a:solidFill>
                  <a:latin typeface="Aptos Narrow"/>
                </a:rPr>
                <a:pPr/>
                <a:t>₦</a:t>
              </a:fld>
              <a:r>
                <a:rPr lang="en-NG" sz="4000" b="1">
                  <a:solidFill>
                    <a:srgbClr val="1F3A5F"/>
                  </a:solidFill>
                </a:rPr>
                <a:t>₦</a:t>
              </a:r>
              <a:endParaRPr lang="LID4096" sz="4000" b="1">
                <a:solidFill>
                  <a:srgbClr val="1F3A5F"/>
                </a:solidFill>
              </a:endParaRPr>
            </a:p>
          </xdr:txBody>
        </xdr:sp>
      </xdr:grpSp>
    </xdr:grpSp>
    <xdr:clientData/>
  </xdr:twoCellAnchor>
  <xdr:twoCellAnchor>
    <xdr:from>
      <xdr:col>13</xdr:col>
      <xdr:colOff>438150</xdr:colOff>
      <xdr:row>4</xdr:row>
      <xdr:rowOff>96610</xdr:rowOff>
    </xdr:from>
    <xdr:to>
      <xdr:col>16</xdr:col>
      <xdr:colOff>219075</xdr:colOff>
      <xdr:row>8</xdr:row>
      <xdr:rowOff>180975</xdr:rowOff>
    </xdr:to>
    <xdr:grpSp>
      <xdr:nvGrpSpPr>
        <xdr:cNvPr id="27" name="Group 26">
          <a:extLst>
            <a:ext uri="{FF2B5EF4-FFF2-40B4-BE49-F238E27FC236}">
              <a16:creationId xmlns:a16="http://schemas.microsoft.com/office/drawing/2014/main" id="{44495D45-2778-41DA-8C4F-575BC8DA6530}"/>
            </a:ext>
          </a:extLst>
        </xdr:cNvPr>
        <xdr:cNvGrpSpPr/>
      </xdr:nvGrpSpPr>
      <xdr:grpSpPr>
        <a:xfrm>
          <a:off x="8398329" y="858610"/>
          <a:ext cx="1617889" cy="846365"/>
          <a:chOff x="8362950" y="858610"/>
          <a:chExt cx="1609725" cy="846365"/>
        </a:xfrm>
        <a:effectLst>
          <a:outerShdw blurRad="25400" dist="25400" dir="5400000" sx="98000" sy="98000" algn="ctr" rotWithShape="0">
            <a:srgbClr val="E0E0E0"/>
          </a:outerShdw>
        </a:effectLst>
      </xdr:grpSpPr>
      <xdr:sp macro="" textlink="">
        <xdr:nvSpPr>
          <xdr:cNvPr id="28" name="Rectangle: Rounded Corners 27">
            <a:extLst>
              <a:ext uri="{FF2B5EF4-FFF2-40B4-BE49-F238E27FC236}">
                <a16:creationId xmlns:a16="http://schemas.microsoft.com/office/drawing/2014/main" id="{B2DE14A9-809D-0DFE-22D3-08C70FEEB727}"/>
              </a:ext>
            </a:extLst>
          </xdr:cNvPr>
          <xdr:cNvSpPr/>
        </xdr:nvSpPr>
        <xdr:spPr>
          <a:xfrm>
            <a:off x="8362950" y="866775"/>
            <a:ext cx="1609725" cy="838200"/>
          </a:xfrm>
          <a:prstGeom prst="roundRect">
            <a:avLst>
              <a:gd name="adj" fmla="val 6440"/>
            </a:avLst>
          </a:prstGeom>
          <a:solidFill>
            <a:srgbClr val="E0E0E0"/>
          </a:solidFill>
          <a:ln>
            <a:noFill/>
          </a:ln>
          <a:effectLst>
            <a:outerShdw blurRad="50800" dist="25400" dir="16800000" algn="ctr" rotWithShape="0">
              <a:srgbClr val="1F3A5F">
                <a:alpha val="72000"/>
              </a:srgbClr>
            </a:outerShdw>
          </a:effectLst>
          <a:scene3d>
            <a:camera prst="orthographicFront"/>
            <a:lightRig rig="threePt" dir="t"/>
          </a:scene3d>
          <a:sp3d>
            <a:bevelT w="38100" h="381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sp macro="" textlink="'PVT &amp; Calculations'!A29">
        <xdr:nvSpPr>
          <xdr:cNvPr id="29" name="TextBox 28">
            <a:extLst>
              <a:ext uri="{FF2B5EF4-FFF2-40B4-BE49-F238E27FC236}">
                <a16:creationId xmlns:a16="http://schemas.microsoft.com/office/drawing/2014/main" id="{4D501111-42C9-44AB-4AC4-C1902466E279}"/>
              </a:ext>
            </a:extLst>
          </xdr:cNvPr>
          <xdr:cNvSpPr txBox="1"/>
        </xdr:nvSpPr>
        <xdr:spPr>
          <a:xfrm>
            <a:off x="8495763" y="858610"/>
            <a:ext cx="1407864" cy="333375"/>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FAAFC5-6561-4A19-A603-58F56650F8BC}" type="TxLink">
              <a:rPr lang="en-US" sz="1100" b="0" i="0" u="none" strike="noStrike">
                <a:solidFill>
                  <a:srgbClr val="000000"/>
                </a:solidFill>
                <a:latin typeface="Aptos Narrow"/>
              </a:rPr>
              <a:pPr/>
              <a:t>International Revenue</a:t>
            </a:fld>
            <a:endParaRPr lang="LID4096" sz="1100"/>
          </a:p>
        </xdr:txBody>
      </xdr:sp>
      <xdr:grpSp>
        <xdr:nvGrpSpPr>
          <xdr:cNvPr id="30" name="Group 29">
            <a:extLst>
              <a:ext uri="{FF2B5EF4-FFF2-40B4-BE49-F238E27FC236}">
                <a16:creationId xmlns:a16="http://schemas.microsoft.com/office/drawing/2014/main" id="{D2745EDE-8F8C-32E3-1EAE-55A5939A3383}"/>
              </a:ext>
            </a:extLst>
          </xdr:cNvPr>
          <xdr:cNvGrpSpPr/>
        </xdr:nvGrpSpPr>
        <xdr:grpSpPr>
          <a:xfrm>
            <a:off x="8724900" y="1181100"/>
            <a:ext cx="1181100" cy="390525"/>
            <a:chOff x="8591550" y="1181100"/>
            <a:chExt cx="1276350" cy="390525"/>
          </a:xfrm>
        </xdr:grpSpPr>
        <xdr:sp macro="" textlink="'PVT &amp; Calculations'!B29">
          <xdr:nvSpPr>
            <xdr:cNvPr id="31" name="TextBox 30">
              <a:extLst>
                <a:ext uri="{FF2B5EF4-FFF2-40B4-BE49-F238E27FC236}">
                  <a16:creationId xmlns:a16="http://schemas.microsoft.com/office/drawing/2014/main" id="{DC8F2141-D361-5D87-A496-CB2D2BF2DEDA}"/>
                </a:ext>
              </a:extLst>
            </xdr:cNvPr>
            <xdr:cNvSpPr txBox="1"/>
          </xdr:nvSpPr>
          <xdr:spPr>
            <a:xfrm>
              <a:off x="8782051" y="1181101"/>
              <a:ext cx="1085849" cy="390524"/>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B0ED11-F3C9-407D-8669-911075BF3539}" type="TxLink">
                <a:rPr lang="en-US" sz="2000" b="1" i="0" u="none" strike="noStrike">
                  <a:solidFill>
                    <a:srgbClr val="1F3A5F"/>
                  </a:solidFill>
                  <a:latin typeface="Aptos Narrow"/>
                </a:rPr>
                <a:pPr/>
                <a:t>36.2 K</a:t>
              </a:fld>
              <a:endParaRPr lang="LID4096" sz="3200" b="1">
                <a:solidFill>
                  <a:srgbClr val="1F3A5F"/>
                </a:solidFill>
              </a:endParaRPr>
            </a:p>
          </xdr:txBody>
        </xdr:sp>
        <xdr:sp macro="" textlink="'PVT &amp; Calculations'!C29">
          <xdr:nvSpPr>
            <xdr:cNvPr id="32" name="TextBox 31">
              <a:extLst>
                <a:ext uri="{FF2B5EF4-FFF2-40B4-BE49-F238E27FC236}">
                  <a16:creationId xmlns:a16="http://schemas.microsoft.com/office/drawing/2014/main" id="{D7352C46-517F-A34B-A577-1D9041B7EB85}"/>
                </a:ext>
              </a:extLst>
            </xdr:cNvPr>
            <xdr:cNvSpPr txBox="1"/>
          </xdr:nvSpPr>
          <xdr:spPr>
            <a:xfrm>
              <a:off x="8591550" y="1181100"/>
              <a:ext cx="333375" cy="333374"/>
            </a:xfrm>
            <a:prstGeom prst="rect">
              <a:avLst/>
            </a:prstGeom>
            <a:noFill/>
            <a:ln w="9525" cmpd="sng">
              <a:noFill/>
            </a:ln>
            <a:scene3d>
              <a:camera prst="orthographicFront"/>
              <a:lightRig rig="threePt" dir="t"/>
            </a:scene3d>
            <a:sp3d>
              <a:bevelT w="381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F7C7B2-DBE3-4718-94E9-AD44B1910056}" type="TxLink">
                <a:rPr lang="en-US" sz="2000" b="1" i="0" u="none" strike="noStrike">
                  <a:solidFill>
                    <a:srgbClr val="1F3A5F"/>
                  </a:solidFill>
                  <a:latin typeface="Aptos Narrow"/>
                </a:rPr>
                <a:pPr/>
                <a:t>$</a:t>
              </a:fld>
              <a:endParaRPr lang="LID4096" sz="6600" b="1">
                <a:solidFill>
                  <a:srgbClr val="1F3A5F"/>
                </a:solidFill>
              </a:endParaRPr>
            </a:p>
          </xdr:txBody>
        </xdr:sp>
      </xdr:grpSp>
    </xdr:grpSp>
    <xdr:clientData/>
  </xdr:twoCellAnchor>
  <xdr:twoCellAnchor>
    <xdr:from>
      <xdr:col>10</xdr:col>
      <xdr:colOff>561975</xdr:colOff>
      <xdr:row>21</xdr:row>
      <xdr:rowOff>136071</xdr:rowOff>
    </xdr:from>
    <xdr:to>
      <xdr:col>23</xdr:col>
      <xdr:colOff>272143</xdr:colOff>
      <xdr:row>34</xdr:row>
      <xdr:rowOff>123265</xdr:rowOff>
    </xdr:to>
    <xdr:grpSp>
      <xdr:nvGrpSpPr>
        <xdr:cNvPr id="33" name="Group 32">
          <a:extLst>
            <a:ext uri="{FF2B5EF4-FFF2-40B4-BE49-F238E27FC236}">
              <a16:creationId xmlns:a16="http://schemas.microsoft.com/office/drawing/2014/main" id="{EDCD3D96-6123-478A-98A1-2FB60A61BCC1}"/>
            </a:ext>
          </a:extLst>
        </xdr:cNvPr>
        <xdr:cNvGrpSpPr/>
      </xdr:nvGrpSpPr>
      <xdr:grpSpPr>
        <a:xfrm>
          <a:off x="6685189" y="4136571"/>
          <a:ext cx="7670347" cy="2463694"/>
          <a:chOff x="6613151" y="4101353"/>
          <a:chExt cx="7506261" cy="2498912"/>
        </a:xfrm>
      </xdr:grpSpPr>
      <xdr:sp macro="" textlink="">
        <xdr:nvSpPr>
          <xdr:cNvPr id="34" name="Rectangle: Rounded Corners 33">
            <a:extLst>
              <a:ext uri="{FF2B5EF4-FFF2-40B4-BE49-F238E27FC236}">
                <a16:creationId xmlns:a16="http://schemas.microsoft.com/office/drawing/2014/main" id="{E0B649BF-4F65-CBDB-5130-4A6F4440237B}"/>
              </a:ext>
            </a:extLst>
          </xdr:cNvPr>
          <xdr:cNvSpPr/>
        </xdr:nvSpPr>
        <xdr:spPr>
          <a:xfrm>
            <a:off x="6613151" y="4101353"/>
            <a:ext cx="3785908" cy="2498912"/>
          </a:xfrm>
          <a:prstGeom prst="roundRect">
            <a:avLst>
              <a:gd name="adj" fmla="val 155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LID4096" sz="1100" b="0" i="0" u="none" strike="noStrike">
              <a:solidFill>
                <a:srgbClr val="000000"/>
              </a:solidFill>
              <a:latin typeface="Calibri" panose="020F0502020204030204" pitchFamily="34" charset="0"/>
              <a:ea typeface="+mn-ea"/>
              <a:cs typeface="Calibri" panose="020F0502020204030204" pitchFamily="34" charset="0"/>
            </a:endParaRPr>
          </a:p>
        </xdr:txBody>
      </xdr:sp>
      <xdr:sp macro="" textlink="'PVT &amp; Calculations'!B37">
        <xdr:nvSpPr>
          <xdr:cNvPr id="35" name="TextBox 34">
            <a:extLst>
              <a:ext uri="{FF2B5EF4-FFF2-40B4-BE49-F238E27FC236}">
                <a16:creationId xmlns:a16="http://schemas.microsoft.com/office/drawing/2014/main" id="{F1296779-8EC7-7C91-4E06-A3971D4AD482}"/>
              </a:ext>
            </a:extLst>
          </xdr:cNvPr>
          <xdr:cNvSpPr txBox="1"/>
        </xdr:nvSpPr>
        <xdr:spPr>
          <a:xfrm>
            <a:off x="10413160" y="4154433"/>
            <a:ext cx="1691528"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73913F-69AE-47B5-A44E-0BEFF65BBFC0}"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Candidates by Nationality</a:t>
            </a:fld>
            <a:endParaRPr lang="LID4096" sz="1100" b="0" i="0" u="none" strike="noStrike">
              <a:solidFill>
                <a:srgbClr val="000000"/>
              </a:solidFill>
              <a:latin typeface="Calibri" panose="020F0502020204030204" pitchFamily="34" charset="0"/>
              <a:ea typeface="+mn-ea"/>
              <a:cs typeface="Calibri" panose="020F0502020204030204" pitchFamily="34" charset="0"/>
            </a:endParaRPr>
          </a:p>
        </xdr:txBody>
      </xdr:sp>
      <xdr:graphicFrame macro="">
        <xdr:nvGraphicFramePr>
          <xdr:cNvPr id="36" name="Chart 35">
            <a:extLst>
              <a:ext uri="{FF2B5EF4-FFF2-40B4-BE49-F238E27FC236}">
                <a16:creationId xmlns:a16="http://schemas.microsoft.com/office/drawing/2014/main" id="{AB6794B5-5195-2CC9-F635-95ED1B942B3C}"/>
              </a:ext>
            </a:extLst>
          </xdr:cNvPr>
          <xdr:cNvGraphicFramePr>
            <a:graphicFrameLocks/>
          </xdr:cNvGraphicFramePr>
        </xdr:nvGraphicFramePr>
        <xdr:xfrm>
          <a:off x="10466294" y="4403913"/>
          <a:ext cx="3653118" cy="208429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488896</xdr:colOff>
      <xdr:row>1</xdr:row>
      <xdr:rowOff>15609</xdr:rowOff>
    </xdr:from>
    <xdr:to>
      <xdr:col>18</xdr:col>
      <xdr:colOff>571499</xdr:colOff>
      <xdr:row>3</xdr:row>
      <xdr:rowOff>25134</xdr:rowOff>
    </xdr:to>
    <xdr:sp macro="" textlink="">
      <xdr:nvSpPr>
        <xdr:cNvPr id="40" name="TextBox 39">
          <a:extLst>
            <a:ext uri="{FF2B5EF4-FFF2-40B4-BE49-F238E27FC236}">
              <a16:creationId xmlns:a16="http://schemas.microsoft.com/office/drawing/2014/main" id="{FFAE032B-21D1-4B58-9D9A-70D43142BCCB}"/>
            </a:ext>
          </a:extLst>
        </xdr:cNvPr>
        <xdr:cNvSpPr txBox="1"/>
      </xdr:nvSpPr>
      <xdr:spPr>
        <a:xfrm>
          <a:off x="6612110" y="206109"/>
          <a:ext cx="49811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1F3A5F"/>
              </a:solidFill>
            </a:rPr>
            <a:t>Healthcare Examination Analytics Dashboard</a:t>
          </a:r>
          <a:endParaRPr lang="en-US" sz="4000" b="1">
            <a:solidFill>
              <a:srgbClr val="1F3A5F"/>
            </a:solidFill>
            <a:effectLst/>
          </a:endParaRPr>
        </a:p>
      </xdr:txBody>
    </xdr:sp>
    <xdr:clientData/>
  </xdr:twoCellAnchor>
  <xdr:twoCellAnchor editAs="oneCell">
    <xdr:from>
      <xdr:col>22</xdr:col>
      <xdr:colOff>295276</xdr:colOff>
      <xdr:row>4</xdr:row>
      <xdr:rowOff>155241</xdr:rowOff>
    </xdr:from>
    <xdr:to>
      <xdr:col>23</xdr:col>
      <xdr:colOff>171450</xdr:colOff>
      <xdr:row>7</xdr:row>
      <xdr:rowOff>130849</xdr:rowOff>
    </xdr:to>
    <xdr:pic>
      <xdr:nvPicPr>
        <xdr:cNvPr id="41" name="Picture 40">
          <a:extLst>
            <a:ext uri="{FF2B5EF4-FFF2-40B4-BE49-F238E27FC236}">
              <a16:creationId xmlns:a16="http://schemas.microsoft.com/office/drawing/2014/main" id="{3E74EB4D-8D64-4CC7-9567-DBDD22D81FA0}"/>
            </a:ext>
          </a:extLst>
        </xdr:cNvPr>
        <xdr:cNvPicPr>
          <a:picLocks noChangeAspect="1"/>
        </xdr:cNvPicPr>
      </xdr:nvPicPr>
      <xdr:blipFill>
        <a:blip xmlns:r="http://schemas.openxmlformats.org/officeDocument/2006/relationships" r:embed="rId3" cstate="print">
          <a:alphaModFix amt="50000"/>
          <a:extLst>
            <a:ext uri="{28A0092B-C50C-407E-A947-70E740481C1C}">
              <a14:useLocalDpi xmlns:a14="http://schemas.microsoft.com/office/drawing/2010/main" val="0"/>
            </a:ext>
          </a:extLst>
        </a:blip>
        <a:stretch>
          <a:fillRect/>
        </a:stretch>
      </xdr:blipFill>
      <xdr:spPr>
        <a:xfrm>
          <a:off x="13706476" y="917241"/>
          <a:ext cx="485774" cy="547108"/>
        </a:xfrm>
        <a:prstGeom prst="rect">
          <a:avLst/>
        </a:prstGeom>
      </xdr:spPr>
    </xdr:pic>
    <xdr:clientData/>
  </xdr:twoCellAnchor>
  <xdr:twoCellAnchor editAs="oneCell">
    <xdr:from>
      <xdr:col>19</xdr:col>
      <xdr:colOff>257177</xdr:colOff>
      <xdr:row>4</xdr:row>
      <xdr:rowOff>138928</xdr:rowOff>
    </xdr:from>
    <xdr:to>
      <xdr:col>20</xdr:col>
      <xdr:colOff>142875</xdr:colOff>
      <xdr:row>7</xdr:row>
      <xdr:rowOff>76878</xdr:rowOff>
    </xdr:to>
    <xdr:pic>
      <xdr:nvPicPr>
        <xdr:cNvPr id="42" name="Picture 41">
          <a:extLst>
            <a:ext uri="{FF2B5EF4-FFF2-40B4-BE49-F238E27FC236}">
              <a16:creationId xmlns:a16="http://schemas.microsoft.com/office/drawing/2014/main" id="{C59FB741-FC7C-4BFD-8579-DB88AB7660C2}"/>
            </a:ext>
          </a:extLst>
        </xdr:cNvPr>
        <xdr:cNvPicPr>
          <a:picLocks noChangeAspect="1"/>
        </xdr:cNvPicPr>
      </xdr:nvPicPr>
      <xdr:blipFill>
        <a:blip xmlns:r="http://schemas.openxmlformats.org/officeDocument/2006/relationships" r:embed="rId4" cstate="print">
          <a:alphaModFix amt="50000"/>
          <a:extLst>
            <a:ext uri="{28A0092B-C50C-407E-A947-70E740481C1C}">
              <a14:useLocalDpi xmlns:a14="http://schemas.microsoft.com/office/drawing/2010/main" val="0"/>
            </a:ext>
          </a:extLst>
        </a:blip>
        <a:stretch>
          <a:fillRect/>
        </a:stretch>
      </xdr:blipFill>
      <xdr:spPr>
        <a:xfrm>
          <a:off x="11839577" y="900928"/>
          <a:ext cx="495298" cy="509450"/>
        </a:xfrm>
        <a:prstGeom prst="rect">
          <a:avLst/>
        </a:prstGeom>
      </xdr:spPr>
    </xdr:pic>
    <xdr:clientData/>
  </xdr:twoCellAnchor>
  <xdr:twoCellAnchor>
    <xdr:from>
      <xdr:col>10</xdr:col>
      <xdr:colOff>407654</xdr:colOff>
      <xdr:row>35</xdr:row>
      <xdr:rowOff>93529</xdr:rowOff>
    </xdr:from>
    <xdr:to>
      <xdr:col>12</xdr:col>
      <xdr:colOff>326572</xdr:colOff>
      <xdr:row>36</xdr:row>
      <xdr:rowOff>182288</xdr:rowOff>
    </xdr:to>
    <xdr:grpSp>
      <xdr:nvGrpSpPr>
        <xdr:cNvPr id="44" name="Group 43">
          <a:extLst>
            <a:ext uri="{FF2B5EF4-FFF2-40B4-BE49-F238E27FC236}">
              <a16:creationId xmlns:a16="http://schemas.microsoft.com/office/drawing/2014/main" id="{88CC1C13-4B79-BF5A-22D2-BE8586D64C12}"/>
            </a:ext>
          </a:extLst>
        </xdr:cNvPr>
        <xdr:cNvGrpSpPr/>
      </xdr:nvGrpSpPr>
      <xdr:grpSpPr>
        <a:xfrm>
          <a:off x="6530868" y="6761029"/>
          <a:ext cx="1143561" cy="279259"/>
          <a:chOff x="9915525" y="6534150"/>
          <a:chExt cx="1133202" cy="279259"/>
        </a:xfrm>
      </xdr:grpSpPr>
      <xdr:sp macro="" textlink="">
        <xdr:nvSpPr>
          <xdr:cNvPr id="48" name="TextBox 47">
            <a:extLst>
              <a:ext uri="{FF2B5EF4-FFF2-40B4-BE49-F238E27FC236}">
                <a16:creationId xmlns:a16="http://schemas.microsoft.com/office/drawing/2014/main" id="{07BD9918-14EC-B4E5-D484-41E60F6D3A7F}"/>
              </a:ext>
            </a:extLst>
          </xdr:cNvPr>
          <xdr:cNvSpPr txBox="1"/>
        </xdr:nvSpPr>
        <xdr:spPr>
          <a:xfrm>
            <a:off x="10029824" y="6534150"/>
            <a:ext cx="1018903" cy="260258"/>
          </a:xfrm>
          <a:prstGeom prst="rect">
            <a:avLst/>
          </a:prstGeom>
          <a:solidFill>
            <a:srgbClr val="E0E0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1F3A5F"/>
                </a:solidFill>
              </a:rPr>
              <a:t>Key </a:t>
            </a:r>
            <a:r>
              <a:rPr lang="en-US" sz="1400">
                <a:solidFill>
                  <a:srgbClr val="1F3A5F"/>
                </a:solidFill>
              </a:rPr>
              <a:t>Insights</a:t>
            </a:r>
            <a:r>
              <a:rPr lang="en-US">
                <a:solidFill>
                  <a:srgbClr val="1F3A5F"/>
                </a:solidFill>
              </a:rPr>
              <a:t>:</a:t>
            </a:r>
            <a:endParaRPr lang="LID4096" sz="1100">
              <a:solidFill>
                <a:srgbClr val="1F3A5F"/>
              </a:solidFill>
            </a:endParaRPr>
          </a:p>
        </xdr:txBody>
      </xdr:sp>
      <xdr:pic>
        <xdr:nvPicPr>
          <xdr:cNvPr id="49" name="Picture 48">
            <a:extLst>
              <a:ext uri="{FF2B5EF4-FFF2-40B4-BE49-F238E27FC236}">
                <a16:creationId xmlns:a16="http://schemas.microsoft.com/office/drawing/2014/main" id="{14714655-53E8-8DDD-D777-9E30812300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flipV="1">
            <a:off x="9915525" y="6581774"/>
            <a:ext cx="173826" cy="231635"/>
          </a:xfrm>
          <a:prstGeom prst="rect">
            <a:avLst/>
          </a:prstGeom>
        </xdr:spPr>
      </xdr:pic>
    </xdr:grpSp>
    <xdr:clientData/>
  </xdr:twoCellAnchor>
  <xdr:twoCellAnchor>
    <xdr:from>
      <xdr:col>8</xdr:col>
      <xdr:colOff>73960</xdr:colOff>
      <xdr:row>1</xdr:row>
      <xdr:rowOff>22412</xdr:rowOff>
    </xdr:from>
    <xdr:to>
      <xdr:col>10</xdr:col>
      <xdr:colOff>403413</xdr:colOff>
      <xdr:row>34</xdr:row>
      <xdr:rowOff>168088</xdr:rowOff>
    </xdr:to>
    <xdr:sp macro="" textlink="">
      <xdr:nvSpPr>
        <xdr:cNvPr id="50" name="Rectangle: Rounded Corners 49">
          <a:extLst>
            <a:ext uri="{FF2B5EF4-FFF2-40B4-BE49-F238E27FC236}">
              <a16:creationId xmlns:a16="http://schemas.microsoft.com/office/drawing/2014/main" id="{14B1E9A8-DDFA-4376-AC0D-00FBF8714DB6}"/>
            </a:ext>
          </a:extLst>
        </xdr:cNvPr>
        <xdr:cNvSpPr/>
      </xdr:nvSpPr>
      <xdr:spPr>
        <a:xfrm>
          <a:off x="4950760" y="212912"/>
          <a:ext cx="1548653" cy="6432176"/>
        </a:xfrm>
        <a:prstGeom prst="roundRect">
          <a:avLst>
            <a:gd name="adj" fmla="val 2911"/>
          </a:avLst>
        </a:prstGeom>
        <a:solidFill>
          <a:srgbClr val="F4F6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bbbbbbbbbbbbbbbbbbbbbbbbbbbbbbbbbbbbbbbbbbbbbbbbbbbbbbbbbbbbbbbbbbbbbbbbbbbbbbbbbbbbbbbbbbbbbbbbbbbbbbbbbbbbbbbbbbbbbbbbbbbbbbbbbbbbbbbbbbbbbbbbbbbbbbbbbbbbbbbbbbbbbbbbbbbbbbbbbbbb</a:t>
          </a:r>
          <a:endParaRPr lang="LID4096" sz="1100"/>
        </a:p>
      </xdr:txBody>
    </xdr:sp>
    <xdr:clientData/>
  </xdr:twoCellAnchor>
  <xdr:twoCellAnchor>
    <xdr:from>
      <xdr:col>8</xdr:col>
      <xdr:colOff>143998</xdr:colOff>
      <xdr:row>16</xdr:row>
      <xdr:rowOff>77321</xdr:rowOff>
    </xdr:from>
    <xdr:to>
      <xdr:col>10</xdr:col>
      <xdr:colOff>347383</xdr:colOff>
      <xdr:row>33</xdr:row>
      <xdr:rowOff>11204</xdr:rowOff>
    </xdr:to>
    <xdr:grpSp>
      <xdr:nvGrpSpPr>
        <xdr:cNvPr id="51" name="Group 50">
          <a:extLst>
            <a:ext uri="{FF2B5EF4-FFF2-40B4-BE49-F238E27FC236}">
              <a16:creationId xmlns:a16="http://schemas.microsoft.com/office/drawing/2014/main" id="{4272C202-9202-4031-A84C-5FF3CB2A63CD}"/>
            </a:ext>
          </a:extLst>
        </xdr:cNvPr>
        <xdr:cNvGrpSpPr/>
      </xdr:nvGrpSpPr>
      <xdr:grpSpPr>
        <a:xfrm>
          <a:off x="5042569" y="3125321"/>
          <a:ext cx="1428028" cy="3172383"/>
          <a:chOff x="4940115" y="2598645"/>
          <a:chExt cx="1413620" cy="3172383"/>
        </a:xfrm>
      </xdr:grpSpPr>
      <mc:AlternateContent xmlns:mc="http://schemas.openxmlformats.org/markup-compatibility/2006" xmlns:a14="http://schemas.microsoft.com/office/drawing/2010/main">
        <mc:Choice Requires="a14">
          <xdr:graphicFrame macro="">
            <xdr:nvGraphicFramePr>
              <xdr:cNvPr id="52" name="Nationality 1">
                <a:extLst>
                  <a:ext uri="{FF2B5EF4-FFF2-40B4-BE49-F238E27FC236}">
                    <a16:creationId xmlns:a16="http://schemas.microsoft.com/office/drawing/2014/main" id="{FBCF3159-576D-6AFD-9988-2C269B290644}"/>
                  </a:ext>
                </a:extLst>
              </xdr:cNvPr>
              <xdr:cNvGraphicFramePr>
                <a:graphicFrameLocks/>
              </xdr:cNvGraphicFramePr>
            </xdr:nvGraphicFramePr>
            <xdr:xfrm>
              <a:off x="4940115" y="2598645"/>
              <a:ext cx="1413620" cy="1917325"/>
            </xdr:xfrm>
            <a:graphic>
              <a:graphicData uri="http://schemas.microsoft.com/office/drawing/2010/slicer">
                <sle:slicer xmlns:sle="http://schemas.microsoft.com/office/drawing/2010/slicer" name="Nationality 1"/>
              </a:graphicData>
            </a:graphic>
          </xdr:graphicFrame>
        </mc:Choice>
        <mc:Fallback xmlns="">
          <xdr:sp macro="" textlink="">
            <xdr:nvSpPr>
              <xdr:cNvPr id="0" name=""/>
              <xdr:cNvSpPr>
                <a:spLocks noTextEdit="1"/>
              </xdr:cNvSpPr>
            </xdr:nvSpPr>
            <xdr:spPr>
              <a:xfrm>
                <a:off x="5042569" y="3125321"/>
                <a:ext cx="1428028" cy="191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Examinations 2">
                <a:extLst>
                  <a:ext uri="{FF2B5EF4-FFF2-40B4-BE49-F238E27FC236}">
                    <a16:creationId xmlns:a16="http://schemas.microsoft.com/office/drawing/2014/main" id="{1BEAF291-8BC8-0617-D0D8-AD4A2F333184}"/>
                  </a:ext>
                </a:extLst>
              </xdr:cNvPr>
              <xdr:cNvGraphicFramePr/>
            </xdr:nvGraphicFramePr>
            <xdr:xfrm>
              <a:off x="4969249" y="4455457"/>
              <a:ext cx="1200709" cy="1315571"/>
            </xdr:xfrm>
            <a:graphic>
              <a:graphicData uri="http://schemas.microsoft.com/office/drawing/2010/slicer">
                <sle:slicer xmlns:sle="http://schemas.microsoft.com/office/drawing/2010/slicer" name="Examinations 2"/>
              </a:graphicData>
            </a:graphic>
          </xdr:graphicFrame>
        </mc:Choice>
        <mc:Fallback xmlns="">
          <xdr:sp macro="" textlink="">
            <xdr:nvSpPr>
              <xdr:cNvPr id="0" name=""/>
              <xdr:cNvSpPr>
                <a:spLocks noTextEdit="1"/>
              </xdr:cNvSpPr>
            </xdr:nvSpPr>
            <xdr:spPr>
              <a:xfrm>
                <a:off x="5072000" y="4982133"/>
                <a:ext cx="1212947" cy="1315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302559</xdr:colOff>
      <xdr:row>8</xdr:row>
      <xdr:rowOff>67234</xdr:rowOff>
    </xdr:from>
    <xdr:to>
      <xdr:col>10</xdr:col>
      <xdr:colOff>118783</xdr:colOff>
      <xdr:row>14</xdr:row>
      <xdr:rowOff>96371</xdr:rowOff>
    </xdr:to>
    <xdr:grpSp>
      <xdr:nvGrpSpPr>
        <xdr:cNvPr id="55" name="Group 54">
          <a:extLst>
            <a:ext uri="{FF2B5EF4-FFF2-40B4-BE49-F238E27FC236}">
              <a16:creationId xmlns:a16="http://schemas.microsoft.com/office/drawing/2014/main" id="{41491D86-080D-4EEA-AD4E-96E6FA23E33D}"/>
            </a:ext>
          </a:extLst>
        </xdr:cNvPr>
        <xdr:cNvGrpSpPr/>
      </xdr:nvGrpSpPr>
      <xdr:grpSpPr>
        <a:xfrm>
          <a:off x="5201130" y="1591234"/>
          <a:ext cx="1040867" cy="1172137"/>
          <a:chOff x="5009030" y="1109381"/>
          <a:chExt cx="1026459" cy="1172137"/>
        </a:xfrm>
      </xdr:grpSpPr>
      <xdr:grpSp>
        <xdr:nvGrpSpPr>
          <xdr:cNvPr id="56" name="Group 55">
            <a:extLst>
              <a:ext uri="{FF2B5EF4-FFF2-40B4-BE49-F238E27FC236}">
                <a16:creationId xmlns:a16="http://schemas.microsoft.com/office/drawing/2014/main" id="{7AE9EFD5-7D0E-8002-147B-E26559FA442C}"/>
              </a:ext>
            </a:extLst>
          </xdr:cNvPr>
          <xdr:cNvGrpSpPr/>
        </xdr:nvGrpSpPr>
        <xdr:grpSpPr>
          <a:xfrm>
            <a:off x="5009030" y="1109381"/>
            <a:ext cx="1019735" cy="324971"/>
            <a:chOff x="5020236" y="1983440"/>
            <a:chExt cx="1019735" cy="324971"/>
          </a:xfrm>
        </xdr:grpSpPr>
        <xdr:sp macro="" textlink="">
          <xdr:nvSpPr>
            <xdr:cNvPr id="63" name="Rectangle 62">
              <a:extLst>
                <a:ext uri="{FF2B5EF4-FFF2-40B4-BE49-F238E27FC236}">
                  <a16:creationId xmlns:a16="http://schemas.microsoft.com/office/drawing/2014/main" id="{0071A53D-60C0-60F9-8E00-401E1527E5EC}"/>
                </a:ext>
              </a:extLst>
            </xdr:cNvPr>
            <xdr:cNvSpPr/>
          </xdr:nvSpPr>
          <xdr:spPr>
            <a:xfrm>
              <a:off x="5020236" y="1983440"/>
              <a:ext cx="1019735" cy="324971"/>
            </a:xfrm>
            <a:prstGeom prst="rect">
              <a:avLst/>
            </a:prstGeom>
            <a:solidFill>
              <a:srgbClr val="1F3A5F"/>
            </a:solidFill>
            <a:ln>
              <a:noFill/>
            </a:ln>
            <a:effectLst/>
            <a:scene3d>
              <a:camera prst="orthographicFront"/>
              <a:lightRig rig="threePt" dir="t"/>
            </a:scene3d>
            <a:sp3d>
              <a:bevelT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CCBC649B-1641-7BF9-2C0A-EBB64B56B930}"/>
                </a:ext>
              </a:extLst>
            </xdr:cNvPr>
            <xdr:cNvSpPr txBox="1"/>
          </xdr:nvSpPr>
          <xdr:spPr>
            <a:xfrm>
              <a:off x="5123329" y="1994647"/>
              <a:ext cx="860611"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bg1"/>
                  </a:solidFill>
                  <a:effectLst/>
                  <a:latin typeface="+mn-lt"/>
                  <a:ea typeface="+mn-ea"/>
                  <a:cs typeface="+mn-cs"/>
                </a:rPr>
                <a:t>Dashboard</a:t>
              </a:r>
              <a:endParaRPr lang="en-US" sz="1100" b="1">
                <a:solidFill>
                  <a:schemeClr val="bg1"/>
                </a:solidFill>
              </a:endParaRPr>
            </a:p>
          </xdr:txBody>
        </xdr:sp>
      </xdr:grpSp>
      <xdr:grpSp>
        <xdr:nvGrpSpPr>
          <xdr:cNvPr id="57" name="Group 56">
            <a:extLst>
              <a:ext uri="{FF2B5EF4-FFF2-40B4-BE49-F238E27FC236}">
                <a16:creationId xmlns:a16="http://schemas.microsoft.com/office/drawing/2014/main" id="{245EB707-4857-B61C-F782-8D531B909182}"/>
              </a:ext>
            </a:extLst>
          </xdr:cNvPr>
          <xdr:cNvGrpSpPr/>
        </xdr:nvGrpSpPr>
        <xdr:grpSpPr>
          <a:xfrm>
            <a:off x="5015753" y="1530722"/>
            <a:ext cx="1019735" cy="324971"/>
            <a:chOff x="5020236" y="1983440"/>
            <a:chExt cx="1019735" cy="324971"/>
          </a:xfrm>
        </xdr:grpSpPr>
        <xdr:sp macro="" textlink="">
          <xdr:nvSpPr>
            <xdr:cNvPr id="61" name="Rectangle 60">
              <a:extLst>
                <a:ext uri="{FF2B5EF4-FFF2-40B4-BE49-F238E27FC236}">
                  <a16:creationId xmlns:a16="http://schemas.microsoft.com/office/drawing/2014/main" id="{6B6C9E6C-5D9A-E44B-4642-F5B215203D89}"/>
                </a:ext>
              </a:extLst>
            </xdr:cNvPr>
            <xdr:cNvSpPr/>
          </xdr:nvSpPr>
          <xdr:spPr>
            <a:xfrm>
              <a:off x="5020236" y="1983440"/>
              <a:ext cx="1019735" cy="324971"/>
            </a:xfrm>
            <a:prstGeom prst="rect">
              <a:avLst/>
            </a:prstGeom>
            <a:solidFill>
              <a:srgbClr val="E0E0E0"/>
            </a:solidFill>
            <a:ln>
              <a:noFill/>
            </a:ln>
            <a:effectLst/>
            <a:scene3d>
              <a:camera prst="orthographicFront"/>
              <a:lightRig rig="threePt" dir="t"/>
            </a:scene3d>
            <a:sp3d>
              <a:bevelT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CD92D1A9-AE0C-D316-7774-6D7745EA35EB}"/>
                </a:ext>
              </a:extLst>
            </xdr:cNvPr>
            <xdr:cNvSpPr txBox="1"/>
          </xdr:nvSpPr>
          <xdr:spPr>
            <a:xfrm>
              <a:off x="5190565" y="1994647"/>
              <a:ext cx="674595"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Analysis</a:t>
              </a:r>
              <a:endParaRPr lang="en-US" sz="1100" b="1"/>
            </a:p>
          </xdr:txBody>
        </xdr:sp>
      </xdr:grpSp>
      <xdr:grpSp>
        <xdr:nvGrpSpPr>
          <xdr:cNvPr id="58" name="Group 57">
            <a:extLst>
              <a:ext uri="{FF2B5EF4-FFF2-40B4-BE49-F238E27FC236}">
                <a16:creationId xmlns:a16="http://schemas.microsoft.com/office/drawing/2014/main" id="{CDC86716-642E-9C39-265D-C4C5FA5D92B4}"/>
              </a:ext>
            </a:extLst>
          </xdr:cNvPr>
          <xdr:cNvGrpSpPr/>
        </xdr:nvGrpSpPr>
        <xdr:grpSpPr>
          <a:xfrm>
            <a:off x="5015754" y="1956547"/>
            <a:ext cx="1019735" cy="324971"/>
            <a:chOff x="5031442" y="1983440"/>
            <a:chExt cx="1019735" cy="324971"/>
          </a:xfrm>
        </xdr:grpSpPr>
        <xdr:sp macro="" textlink="">
          <xdr:nvSpPr>
            <xdr:cNvPr id="59" name="Rectangle 58">
              <a:extLst>
                <a:ext uri="{FF2B5EF4-FFF2-40B4-BE49-F238E27FC236}">
                  <a16:creationId xmlns:a16="http://schemas.microsoft.com/office/drawing/2014/main" id="{BD6EC852-0E81-4863-E582-7A64059A773F}"/>
                </a:ext>
              </a:extLst>
            </xdr:cNvPr>
            <xdr:cNvSpPr/>
          </xdr:nvSpPr>
          <xdr:spPr>
            <a:xfrm>
              <a:off x="5031442" y="1983440"/>
              <a:ext cx="1019735" cy="324971"/>
            </a:xfrm>
            <a:prstGeom prst="rect">
              <a:avLst/>
            </a:prstGeom>
            <a:solidFill>
              <a:srgbClr val="E0E0E0"/>
            </a:solidFill>
            <a:ln>
              <a:noFill/>
            </a:ln>
            <a:effectLst/>
            <a:scene3d>
              <a:camera prst="orthographicFront"/>
              <a:lightRig rig="threePt" dir="t"/>
            </a:scene3d>
            <a:sp3d>
              <a:bevelT w="381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6CD58129-2BEC-00F1-4D6A-9133E78F31CB}"/>
                </a:ext>
              </a:extLst>
            </xdr:cNvPr>
            <xdr:cNvSpPr txBox="1"/>
          </xdr:nvSpPr>
          <xdr:spPr>
            <a:xfrm>
              <a:off x="5212976" y="2005852"/>
              <a:ext cx="708212"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Datasets</a:t>
              </a:r>
              <a:endParaRPr lang="en-US" sz="1100" b="1"/>
            </a:p>
          </xdr:txBody>
        </xdr:sp>
      </xdr:grpSp>
    </xdr:grpSp>
    <xdr:clientData/>
  </xdr:twoCellAnchor>
  <xdr:twoCellAnchor editAs="oneCell">
    <xdr:from>
      <xdr:col>8</xdr:col>
      <xdr:colOff>170490</xdr:colOff>
      <xdr:row>1</xdr:row>
      <xdr:rowOff>76840</xdr:rowOff>
    </xdr:from>
    <xdr:to>
      <xdr:col>10</xdr:col>
      <xdr:colOff>158065</xdr:colOff>
      <xdr:row>6</xdr:row>
      <xdr:rowOff>81643</xdr:rowOff>
    </xdr:to>
    <xdr:pic>
      <xdr:nvPicPr>
        <xdr:cNvPr id="65" name="Picture 64">
          <a:extLst>
            <a:ext uri="{FF2B5EF4-FFF2-40B4-BE49-F238E27FC236}">
              <a16:creationId xmlns:a16="http://schemas.microsoft.com/office/drawing/2014/main" id="{89B7152E-3354-42DB-9D2B-A321F767732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69061" y="267340"/>
          <a:ext cx="1212218" cy="957303"/>
        </a:xfrm>
        <a:prstGeom prst="rect">
          <a:avLst/>
        </a:prstGeom>
      </xdr:spPr>
    </xdr:pic>
    <xdr:clientData/>
  </xdr:twoCellAnchor>
  <xdr:twoCellAnchor>
    <xdr:from>
      <xdr:col>10</xdr:col>
      <xdr:colOff>578223</xdr:colOff>
      <xdr:row>21</xdr:row>
      <xdr:rowOff>100853</xdr:rowOff>
    </xdr:from>
    <xdr:to>
      <xdr:col>17</xdr:col>
      <xdr:colOff>118781</xdr:colOff>
      <xdr:row>34</xdr:row>
      <xdr:rowOff>118222</xdr:rowOff>
    </xdr:to>
    <xdr:sp macro="" textlink="">
      <xdr:nvSpPr>
        <xdr:cNvPr id="66" name="Rectangle: Rounded Corners 65">
          <a:extLst>
            <a:ext uri="{FF2B5EF4-FFF2-40B4-BE49-F238E27FC236}">
              <a16:creationId xmlns:a16="http://schemas.microsoft.com/office/drawing/2014/main" id="{78AF6E81-B0F1-4C8D-BF0D-699037157A30}"/>
            </a:ext>
          </a:extLst>
        </xdr:cNvPr>
        <xdr:cNvSpPr/>
      </xdr:nvSpPr>
      <xdr:spPr>
        <a:xfrm>
          <a:off x="6674223" y="4101353"/>
          <a:ext cx="3807758" cy="2493869"/>
        </a:xfrm>
        <a:prstGeom prst="roundRect">
          <a:avLst>
            <a:gd name="adj" fmla="val 1895"/>
          </a:avLst>
        </a:prstGeom>
        <a:solidFill>
          <a:srgbClr val="E0E0E0"/>
        </a:solidFill>
        <a:ln>
          <a:noFill/>
        </a:ln>
        <a:effectLst>
          <a:outerShdw blurRad="50800" algn="ctr" rotWithShape="0">
            <a:schemeClr val="bg1">
              <a:alpha val="0"/>
            </a:schemeClr>
          </a:outerShdw>
        </a:effectLst>
        <a:scene3d>
          <a:camera prst="orthographicFront"/>
          <a:lightRig rig="threePt" dir="t"/>
        </a:scene3d>
        <a:sp3d>
          <a:bevelT w="38100" h="381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10</xdr:col>
      <xdr:colOff>578223</xdr:colOff>
      <xdr:row>22</xdr:row>
      <xdr:rowOff>33618</xdr:rowOff>
    </xdr:from>
    <xdr:to>
      <xdr:col>17</xdr:col>
      <xdr:colOff>49305</xdr:colOff>
      <xdr:row>34</xdr:row>
      <xdr:rowOff>22971</xdr:rowOff>
    </xdr:to>
    <xdr:graphicFrame macro="">
      <xdr:nvGraphicFramePr>
        <xdr:cNvPr id="67" name="Chart 66">
          <a:extLst>
            <a:ext uri="{FF2B5EF4-FFF2-40B4-BE49-F238E27FC236}">
              <a16:creationId xmlns:a16="http://schemas.microsoft.com/office/drawing/2014/main" id="{2B241BF4-B8C1-4D1D-A1ED-A8BA1D7A5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586626</xdr:colOff>
      <xdr:row>21</xdr:row>
      <xdr:rowOff>122944</xdr:rowOff>
    </xdr:from>
    <xdr:to>
      <xdr:col>13</xdr:col>
      <xdr:colOff>481853</xdr:colOff>
      <xdr:row>23</xdr:row>
      <xdr:rowOff>65794</xdr:rowOff>
    </xdr:to>
    <xdr:sp macro="" textlink="'PVT &amp; Calculations'!B40">
      <xdr:nvSpPr>
        <xdr:cNvPr id="68" name="TextBox 67">
          <a:extLst>
            <a:ext uri="{FF2B5EF4-FFF2-40B4-BE49-F238E27FC236}">
              <a16:creationId xmlns:a16="http://schemas.microsoft.com/office/drawing/2014/main" id="{E85E9302-978A-4E52-9935-FD8A3DA988AA}"/>
            </a:ext>
          </a:extLst>
        </xdr:cNvPr>
        <xdr:cNvSpPr txBox="1"/>
      </xdr:nvSpPr>
      <xdr:spPr>
        <a:xfrm>
          <a:off x="6709840" y="4123444"/>
          <a:ext cx="1732192"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449463-B351-4860-BFD5-9DCFF612B370}"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Candidates by Exams Type</a:t>
          </a:fld>
          <a:endParaRPr lang="LID4096" sz="1100" b="0"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editAs="oneCell">
    <xdr:from>
      <xdr:col>8</xdr:col>
      <xdr:colOff>96052</xdr:colOff>
      <xdr:row>36</xdr:row>
      <xdr:rowOff>134471</xdr:rowOff>
    </xdr:from>
    <xdr:to>
      <xdr:col>9</xdr:col>
      <xdr:colOff>263158</xdr:colOff>
      <xdr:row>40</xdr:row>
      <xdr:rowOff>122465</xdr:rowOff>
    </xdr:to>
    <xdr:pic>
      <xdr:nvPicPr>
        <xdr:cNvPr id="69" name="Picture 68">
          <a:extLst>
            <a:ext uri="{FF2B5EF4-FFF2-40B4-BE49-F238E27FC236}">
              <a16:creationId xmlns:a16="http://schemas.microsoft.com/office/drawing/2014/main" id="{B2033B3B-21E6-4D14-AF35-4DED286D26F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994623" y="6992471"/>
          <a:ext cx="779428" cy="749994"/>
        </a:xfrm>
        <a:prstGeom prst="rect">
          <a:avLst/>
        </a:prstGeom>
      </xdr:spPr>
    </xdr:pic>
    <xdr:clientData/>
  </xdr:twoCellAnchor>
  <xdr:twoCellAnchor>
    <xdr:from>
      <xdr:col>10</xdr:col>
      <xdr:colOff>547646</xdr:colOff>
      <xdr:row>2</xdr:row>
      <xdr:rowOff>134391</xdr:rowOff>
    </xdr:from>
    <xdr:to>
      <xdr:col>17</xdr:col>
      <xdr:colOff>571499</xdr:colOff>
      <xdr:row>4</xdr:row>
      <xdr:rowOff>0</xdr:rowOff>
    </xdr:to>
    <xdr:sp macro="" textlink="">
      <xdr:nvSpPr>
        <xdr:cNvPr id="72" name="TextBox 71">
          <a:extLst>
            <a:ext uri="{FF2B5EF4-FFF2-40B4-BE49-F238E27FC236}">
              <a16:creationId xmlns:a16="http://schemas.microsoft.com/office/drawing/2014/main" id="{2C2CE07B-CCA8-4330-B31B-E274362D70D9}"/>
            </a:ext>
          </a:extLst>
        </xdr:cNvPr>
        <xdr:cNvSpPr txBox="1"/>
      </xdr:nvSpPr>
      <xdr:spPr>
        <a:xfrm>
          <a:off x="6670860" y="515391"/>
          <a:ext cx="4310103" cy="24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t>Regional Healthcare Examination Performance &amp; Candidate Insights</a:t>
          </a:r>
          <a:endParaRPr lang="en-US" sz="1150" b="0" i="1">
            <a:effectLst/>
          </a:endParaRPr>
        </a:p>
      </xdr:txBody>
    </xdr:sp>
    <xdr:clientData/>
  </xdr:twoCellAnchor>
  <xdr:twoCellAnchor>
    <xdr:from>
      <xdr:col>12</xdr:col>
      <xdr:colOff>384044</xdr:colOff>
      <xdr:row>34</xdr:row>
      <xdr:rowOff>179295</xdr:rowOff>
    </xdr:from>
    <xdr:to>
      <xdr:col>23</xdr:col>
      <xdr:colOff>440871</xdr:colOff>
      <xdr:row>42</xdr:row>
      <xdr:rowOff>68036</xdr:rowOff>
    </xdr:to>
    <xdr:grpSp>
      <xdr:nvGrpSpPr>
        <xdr:cNvPr id="75" name="Group 74">
          <a:extLst>
            <a:ext uri="{FF2B5EF4-FFF2-40B4-BE49-F238E27FC236}">
              <a16:creationId xmlns:a16="http://schemas.microsoft.com/office/drawing/2014/main" id="{0D4E3E11-9032-FD7D-26CE-2AF42EBE7957}"/>
            </a:ext>
          </a:extLst>
        </xdr:cNvPr>
        <xdr:cNvGrpSpPr/>
      </xdr:nvGrpSpPr>
      <xdr:grpSpPr>
        <a:xfrm>
          <a:off x="7731901" y="6656295"/>
          <a:ext cx="6792363" cy="1412741"/>
          <a:chOff x="7037937" y="6629080"/>
          <a:chExt cx="6792363" cy="1412741"/>
        </a:xfrm>
      </xdr:grpSpPr>
      <xdr:sp macro="" textlink="">
        <xdr:nvSpPr>
          <xdr:cNvPr id="38" name="TextBox 37">
            <a:extLst>
              <a:ext uri="{FF2B5EF4-FFF2-40B4-BE49-F238E27FC236}">
                <a16:creationId xmlns:a16="http://schemas.microsoft.com/office/drawing/2014/main" id="{85D5B601-175E-4537-872B-C27319B80912}"/>
              </a:ext>
            </a:extLst>
          </xdr:cNvPr>
          <xdr:cNvSpPr txBox="1"/>
        </xdr:nvSpPr>
        <xdr:spPr>
          <a:xfrm>
            <a:off x="7037937" y="6629080"/>
            <a:ext cx="6786920" cy="324170"/>
          </a:xfrm>
          <a:prstGeom prst="rect">
            <a:avLst/>
          </a:prstGeom>
          <a:solidFill>
            <a:srgbClr val="E0E0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 </a:t>
            </a:r>
            <a:r>
              <a:rPr lang="en-US" sz="1200" i="1"/>
              <a:t>Nigeria accounts for 84.1% of all registrations, making it the dominant candidate nation by a wide margin</a:t>
            </a:r>
            <a:endParaRPr lang="LID4096" sz="1200">
              <a:solidFill>
                <a:srgbClr val="1F3A5F"/>
              </a:solidFill>
            </a:endParaRPr>
          </a:p>
        </xdr:txBody>
      </xdr:sp>
      <xdr:sp macro="" textlink="">
        <xdr:nvSpPr>
          <xdr:cNvPr id="73" name="TextBox 72">
            <a:extLst>
              <a:ext uri="{FF2B5EF4-FFF2-40B4-BE49-F238E27FC236}">
                <a16:creationId xmlns:a16="http://schemas.microsoft.com/office/drawing/2014/main" id="{6815EAA1-63FE-48A4-A548-3A95C6428B2B}"/>
              </a:ext>
            </a:extLst>
          </xdr:cNvPr>
          <xdr:cNvSpPr txBox="1"/>
        </xdr:nvSpPr>
        <xdr:spPr>
          <a:xfrm>
            <a:off x="7040658" y="6971980"/>
            <a:ext cx="6786920" cy="498341"/>
          </a:xfrm>
          <a:prstGeom prst="rect">
            <a:avLst/>
          </a:prstGeom>
          <a:solidFill>
            <a:srgbClr val="E0E0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t>
            </a:r>
            <a:r>
              <a:rPr lang="en-US" sz="1200"/>
              <a:t> </a:t>
            </a:r>
            <a:r>
              <a:rPr lang="en-US" sz="1200" i="1"/>
              <a:t>Foundation-level exams attract the highest participation (49.1%) but generate the lowest revenue per candidate,</a:t>
            </a:r>
            <a:r>
              <a:rPr lang="en-US" sz="1200" i="1" baseline="0"/>
              <a:t> </a:t>
            </a:r>
            <a:r>
              <a:rPr lang="en-US" sz="1200" i="1"/>
              <a:t>suggesting a pricing review opportunity</a:t>
            </a:r>
            <a:endParaRPr lang="LID4096" sz="1200">
              <a:solidFill>
                <a:srgbClr val="1F3A5F"/>
              </a:solidFill>
            </a:endParaRPr>
          </a:p>
        </xdr:txBody>
      </xdr:sp>
      <xdr:sp macro="" textlink="">
        <xdr:nvSpPr>
          <xdr:cNvPr id="74" name="TextBox 73">
            <a:extLst>
              <a:ext uri="{FF2B5EF4-FFF2-40B4-BE49-F238E27FC236}">
                <a16:creationId xmlns:a16="http://schemas.microsoft.com/office/drawing/2014/main" id="{E3117AF4-42CC-4EAD-8F99-819AB40DDE37}"/>
              </a:ext>
            </a:extLst>
          </xdr:cNvPr>
          <xdr:cNvSpPr txBox="1"/>
        </xdr:nvSpPr>
        <xdr:spPr>
          <a:xfrm>
            <a:off x="7043380" y="7478165"/>
            <a:ext cx="6786920" cy="563656"/>
          </a:xfrm>
          <a:prstGeom prst="rect">
            <a:avLst/>
          </a:prstGeom>
          <a:solidFill>
            <a:srgbClr val="E0E0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t>
            </a:r>
            <a:r>
              <a:rPr lang="en-US" sz="1200"/>
              <a:t> </a:t>
            </a:r>
            <a:r>
              <a:rPr lang="en-US" sz="1200" i="1"/>
              <a:t>Female candidates lead in 4 of 5 disciplines, with the largest gap in Child Health where they account for an estimated 65%+ of entries</a:t>
            </a:r>
            <a:endParaRPr lang="LID4096" sz="1200">
              <a:solidFill>
                <a:srgbClr val="1F3A5F"/>
              </a:solidFill>
            </a:endParaRPr>
          </a:p>
        </xdr:txBody>
      </xdr:sp>
    </xdr:grpSp>
    <xdr:clientData/>
  </xdr:twoCellAnchor>
  <xdr:twoCellAnchor>
    <xdr:from>
      <xdr:col>8</xdr:col>
      <xdr:colOff>54429</xdr:colOff>
      <xdr:row>40</xdr:row>
      <xdr:rowOff>136071</xdr:rowOff>
    </xdr:from>
    <xdr:to>
      <xdr:col>9</xdr:col>
      <xdr:colOff>367393</xdr:colOff>
      <xdr:row>42</xdr:row>
      <xdr:rowOff>13607</xdr:rowOff>
    </xdr:to>
    <xdr:sp macro="" textlink="">
      <xdr:nvSpPr>
        <xdr:cNvPr id="79" name="TextBox 78">
          <a:extLst>
            <a:ext uri="{FF2B5EF4-FFF2-40B4-BE49-F238E27FC236}">
              <a16:creationId xmlns:a16="http://schemas.microsoft.com/office/drawing/2014/main" id="{9033BF3F-574A-92F7-0661-02E3769CA737}"/>
            </a:ext>
          </a:extLst>
        </xdr:cNvPr>
        <xdr:cNvSpPr txBox="1"/>
      </xdr:nvSpPr>
      <xdr:spPr>
        <a:xfrm>
          <a:off x="4895370" y="7756071"/>
          <a:ext cx="918082"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F3A5F"/>
              </a:solidFill>
            </a:rPr>
            <a:t>Kehinde</a:t>
          </a:r>
          <a:r>
            <a:rPr lang="en-US" sz="1200" baseline="0">
              <a:solidFill>
                <a:srgbClr val="1F3A5F"/>
              </a:solidFill>
            </a:rPr>
            <a:t> Ojo</a:t>
          </a:r>
          <a:endParaRPr lang="en-US" sz="1200">
            <a:solidFill>
              <a:srgbClr val="1F3A5F"/>
            </a:solidFill>
          </a:endParaRPr>
        </a:p>
      </xdr:txBody>
    </xdr:sp>
    <xdr:clientData/>
  </xdr:twoCellAnchor>
  <xdr:twoCellAnchor>
    <xdr:from>
      <xdr:col>17</xdr:col>
      <xdr:colOff>176894</xdr:colOff>
      <xdr:row>9</xdr:row>
      <xdr:rowOff>68036</xdr:rowOff>
    </xdr:from>
    <xdr:to>
      <xdr:col>21</xdr:col>
      <xdr:colOff>96210</xdr:colOff>
      <xdr:row>11</xdr:row>
      <xdr:rowOff>10886</xdr:rowOff>
    </xdr:to>
    <xdr:sp macro="" textlink="'PVT &amp; Calculations'!B38">
      <xdr:nvSpPr>
        <xdr:cNvPr id="83" name="TextBox 82">
          <a:extLst>
            <a:ext uri="{FF2B5EF4-FFF2-40B4-BE49-F238E27FC236}">
              <a16:creationId xmlns:a16="http://schemas.microsoft.com/office/drawing/2014/main" id="{1E298EC0-4310-9235-4024-67C202660981}"/>
            </a:ext>
          </a:extLst>
        </xdr:cNvPr>
        <xdr:cNvSpPr txBox="1"/>
      </xdr:nvSpPr>
      <xdr:spPr>
        <a:xfrm>
          <a:off x="10463894" y="1782536"/>
          <a:ext cx="233978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0FA849-ACC0-4400-A74B-377F162CCD72}" type="TxLink">
            <a:rPr lang="en-US" sz="1100" b="0" i="0" u="none" strike="noStrike">
              <a:solidFill>
                <a:srgbClr val="000000"/>
              </a:solidFill>
              <a:latin typeface="Calibri" panose="020F0502020204030204" pitchFamily="34" charset="0"/>
              <a:ea typeface="+mn-ea"/>
              <a:cs typeface="Calibri" panose="020F0502020204030204" pitchFamily="34" charset="0"/>
            </a:rPr>
            <a:pPr marL="0" indent="0"/>
            <a:t>Candidates by Professional Discipline</a:t>
          </a:fld>
          <a:endParaRPr lang="LID4096" sz="1100" b="0" i="0" u="none" strike="noStrike">
            <a:solidFill>
              <a:srgbClr val="000000"/>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210513</xdr:colOff>
      <xdr:row>9</xdr:row>
      <xdr:rowOff>143046</xdr:rowOff>
    </xdr:from>
    <xdr:to>
      <xdr:col>23</xdr:col>
      <xdr:colOff>231322</xdr:colOff>
      <xdr:row>21</xdr:row>
      <xdr:rowOff>113660</xdr:rowOff>
    </xdr:to>
    <xdr:graphicFrame macro="">
      <xdr:nvGraphicFramePr>
        <xdr:cNvPr id="87" name="Chart 86">
          <a:extLst>
            <a:ext uri="{FF2B5EF4-FFF2-40B4-BE49-F238E27FC236}">
              <a16:creationId xmlns:a16="http://schemas.microsoft.com/office/drawing/2014/main" id="{14C474DB-CE1D-40D3-4B84-BA93B7FEC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hinde ojo" refreshedDate="46170.607622337964" createdVersion="8" refreshedVersion="8" minRefreshableVersion="3" recordCount="1023" xr:uid="{AB4E5660-1C8E-46DA-8CB6-5405047F8B49}">
  <cacheSource type="worksheet">
    <worksheetSource name="Table1"/>
  </cacheSource>
  <cacheFields count="21">
    <cacheField name="Exams_ID" numFmtId="0">
      <sharedItems containsSemiMixedTypes="0" containsString="0" containsNumber="1" containsInteger="1" minValue="1" maxValue="1045"/>
    </cacheField>
    <cacheField name="UserID" numFmtId="0">
      <sharedItems containsMixedTypes="1" containsNumber="1" containsInteger="1" minValue="195" maxValue="24610"/>
    </cacheField>
    <cacheField name="Email" numFmtId="0">
      <sharedItems/>
    </cacheField>
    <cacheField name="Full Name" numFmtId="0">
      <sharedItems/>
    </cacheField>
    <cacheField name="Address" numFmtId="0">
      <sharedItems containsMixedTypes="1" containsNumber="1" containsInteger="1" minValue="220" maxValue="2348088898205"/>
    </cacheField>
    <cacheField name="Gender" numFmtId="0">
      <sharedItems containsMixedTypes="1" containsNumber="1" containsInteger="1" minValue="0" maxValue="0" count="3">
        <s v="Female"/>
        <s v="Male"/>
        <n v="0" u="1"/>
      </sharedItems>
    </cacheField>
    <cacheField name="Institution" numFmtId="0">
      <sharedItems/>
    </cacheField>
    <cacheField name="Nationality" numFmtId="0">
      <sharedItems count="6">
        <s v="Gambia"/>
        <s v="Nigeria"/>
        <s v="Ghana"/>
        <s v="Sierra Leone"/>
        <s v="Liberia"/>
        <s v="New Gambia" u="1"/>
      </sharedItems>
    </cacheField>
    <cacheField name="Telephone" numFmtId="1">
      <sharedItems containsMixedTypes="1" containsNumber="1" minValue="-7038433181" maxValue="8.0350196310802498E+20"/>
    </cacheField>
    <cacheField name="Viewform" numFmtId="0">
      <sharedItems/>
    </cacheField>
    <cacheField name="Examinations" numFmtId="0">
      <sharedItems count="6">
        <s v="Associate"/>
        <s v="Foundation"/>
        <s v="Specialist"/>
        <s v="Membership" u="1"/>
        <s v="Primary" u="1"/>
        <s v="Fellowship" u="1"/>
      </sharedItems>
    </cacheField>
    <cacheField name="Faculty" numFmtId="0">
      <sharedItems count="25">
        <s v="Clinical Medicine"/>
        <s v="Population Health"/>
        <s v="Behavioral Health"/>
        <s v="Child Health"/>
        <s v="Primary Care"/>
        <s v="Laboratory Medicine" u="1"/>
        <s v="Paediatrics" u="1"/>
        <s v="Community Health" u="1"/>
        <s v="Internal Medicine" u="1"/>
        <s v="Psychiatry" u="1"/>
        <s v="Family Medicine" u="1"/>
        <s v="Laboratory Medicine-CHEMICAL PATHOLOGY" u="1"/>
        <s v="Internal Medicine-CARDIOLOGY" u="1"/>
        <s v="Internal Medicine-ENDOCRINOLGY" u="1"/>
        <s v="Internal Medicine-DERMATOLOGY" u="1"/>
        <s v="Internal Medicine-GASTROENTEROLOGY" u="1"/>
        <s v="Internal Medicine-NEPHROLOGY" u="1"/>
        <s v="Laboratory Medicine-ANATOMIC PATHOLOGY" u="1"/>
        <s v="Laboratory Medicine-MEDICAL MICROBIOLOGY" u="1"/>
        <s v="Internal Medicine-INFECTIOUS DISEASES" u="1"/>
        <s v="Paediatrics-CARDIOLOGY" u="1"/>
        <s v="Internal Medicine-RHEUMATOLOGY" u="1"/>
        <s v="Laboratory Medicine-HAEMATOLOGY" u="1"/>
        <s v="Internal Medicine-NEUROLOGY" u="1"/>
        <s v="Paediatrics-INFECTIOUS DISEASES" u="1"/>
      </sharedItems>
    </cacheField>
    <cacheField name="Exam Centre" numFmtId="0">
      <sharedItems/>
    </cacheField>
    <cacheField name="Currency" numFmtId="0">
      <sharedItems/>
    </cacheField>
    <cacheField name="Exam Fee (=N=)" numFmtId="43">
      <sharedItems containsMixedTypes="1" containsNumber="1" containsInteger="1" minValue="195000" maxValue="812500"/>
    </cacheField>
    <cacheField name="Exam Fee ($)" numFmtId="43">
      <sharedItems containsMixedTypes="1" containsNumber="1" containsInteger="1" minValue="150" maxValue="625"/>
    </cacheField>
    <cacheField name="Practical (=N=)" numFmtId="43">
      <sharedItems containsMixedTypes="1" containsNumber="1" containsInteger="1" minValue="0" maxValue="110500"/>
    </cacheField>
    <cacheField name="Practical ($)" numFmtId="43">
      <sharedItems containsMixedTypes="1" containsNumber="1" containsInteger="1" minValue="0" maxValue="85"/>
    </cacheField>
    <cacheField name="Dissertation (=N=)" numFmtId="43">
      <sharedItems containsMixedTypes="1" containsNumber="1" containsInteger="1" minValue="0" maxValue="162500"/>
    </cacheField>
    <cacheField name="Dissertation ($)" numFmtId="43">
      <sharedItems containsMixedTypes="1" containsNumber="1" containsInteger="1" minValue="0" maxValue="125"/>
    </cacheField>
    <cacheField name="Reference" numFmtId="0">
      <sharedItems/>
    </cacheField>
  </cacheFields>
  <extLst>
    <ext xmlns:x14="http://schemas.microsoft.com/office/spreadsheetml/2009/9/main" uri="{725AE2AE-9491-48be-B2B4-4EB974FC3084}">
      <x14:pivotCacheDefinition pivotCacheId="209547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3">
  <r>
    <n v="1"/>
    <n v="19234"/>
    <s v="ummhanzallah2018@gmail.com"/>
    <s v="CHORR Barkisu  "/>
    <s v="Tallinding "/>
    <x v="0"/>
    <s v="Edward Francis small teaching hospital "/>
    <x v="0"/>
    <n v="2202141199"/>
    <s v="firstsitting"/>
    <x v="0"/>
    <x v="0"/>
    <s v="Banjul"/>
    <s v="NGN"/>
    <n v="552500"/>
    <s v=""/>
    <n v="110500"/>
    <s v=""/>
    <n v="0"/>
    <s v=""/>
    <s v="1923411WACP811575687"/>
  </r>
  <r>
    <n v="2"/>
    <n v="22613"/>
    <s v="mercyabuyebo@gmail.com"/>
    <s v="ABU Mercy Yebo"/>
    <s v="Behind Gowons Lodge, GRA Bida, Niger State"/>
    <x v="0"/>
    <s v="Bingham University "/>
    <x v="1"/>
    <s v="07063515758"/>
    <s v="resitting"/>
    <x v="1"/>
    <x v="1"/>
    <s v="Abuja"/>
    <s v="NGN"/>
    <n v="195000"/>
    <s v=""/>
    <n v="0"/>
    <s v=""/>
    <n v="0"/>
    <s v=""/>
    <s v="2261312WACP92682366"/>
  </r>
  <r>
    <n v="3"/>
    <n v="23966"/>
    <s v="etuaweri@gmail.com"/>
    <s v="TUAWERI Ebiye Phillip"/>
    <s v="19A Covenant Garden Estate, Apo-Duste, Lokogoma, Abuja, Federal Capital Territory, Nigeria"/>
    <x v="1"/>
    <s v="China Medical University"/>
    <x v="1"/>
    <n v="2348071267724"/>
    <s v="firstsitting"/>
    <x v="1"/>
    <x v="2"/>
    <s v="Abuja"/>
    <s v="NGN"/>
    <n v="195000"/>
    <s v=""/>
    <n v="0"/>
    <s v=""/>
    <n v="0"/>
    <s v=""/>
    <s v="2396613WACP403188134"/>
  </r>
  <r>
    <n v="4"/>
    <n v="23989"/>
    <s v="iadegoke697@gmail.com"/>
    <s v="IBRAHEEM Basiru Adegoke"/>
    <s v="4 Bole Zone, Wakajaye, Ibadan, Oyo State, Nigeria"/>
    <x v="1"/>
    <s v="Obafemi Awolowo University(OAU) Ife Osun State NIgeria"/>
    <x v="1"/>
    <s v="07063611172"/>
    <s v="firstsitting"/>
    <x v="1"/>
    <x v="3"/>
    <s v="Ibadan"/>
    <s v="NGN"/>
    <n v="195000"/>
    <s v=""/>
    <n v="0"/>
    <s v=""/>
    <n v="0"/>
    <s v=""/>
    <s v="2398914WACP993284822"/>
  </r>
  <r>
    <n v="5"/>
    <n v="5042"/>
    <s v="revdressien@gmail.com"/>
    <s v="ESSIEN Celine  Etim"/>
    <s v="Internal. Medicine. UUTH. PMB 1136. Uyo"/>
    <x v="0"/>
    <s v="UUTH, Uyo. Akwa Ibom State"/>
    <x v="1"/>
    <n v="8030989439"/>
    <s v="passedboth"/>
    <x v="2"/>
    <x v="3"/>
    <s v="Abuja"/>
    <s v="NGN"/>
    <n v="812500"/>
    <s v=""/>
    <n v="0"/>
    <s v=""/>
    <n v="0"/>
    <s v=""/>
    <s v="504215WACP664712963"/>
  </r>
  <r>
    <n v="6"/>
    <n v="23990"/>
    <s v="chukwufaith111@gmail.com"/>
    <s v="CHUKWU faith uchechi"/>
    <s v="ENO 27,beside prison road, kuje, abuja"/>
    <x v="0"/>
    <s v="university of medical sciences, ondo, ondo state"/>
    <x v="1"/>
    <s v="08135017143"/>
    <s v="firstsitting"/>
    <x v="1"/>
    <x v="4"/>
    <s v="Abuja"/>
    <s v="NGN"/>
    <n v="195000"/>
    <s v=""/>
    <n v="0"/>
    <s v=""/>
    <n v="0"/>
    <s v=""/>
    <s v="2399016WACP119636770"/>
  </r>
  <r>
    <n v="7"/>
    <n v="23988"/>
    <s v="okongwuchinenye904@gmail.com"/>
    <s v="OKONGWU Chinenye Ngozi"/>
    <s v="NNAMDI AZIKIWE UNIVERSITY TEACHING HOSPITAL NNEWI"/>
    <x v="0"/>
    <s v="NNAMDI AZIKIWE UNIVERSITY TEACHING HOSPITAL NNEWI"/>
    <x v="1"/>
    <s v="07064810150"/>
    <s v="firstsitting"/>
    <x v="1"/>
    <x v="0"/>
    <s v="Enugu"/>
    <s v="NGN"/>
    <n v="195000"/>
    <s v=""/>
    <n v="0"/>
    <s v=""/>
    <n v="0"/>
    <s v=""/>
    <s v="2398817WACP498517530"/>
  </r>
  <r>
    <n v="8"/>
    <n v="19326"/>
    <s v="teemeehips@gmail.com"/>
    <s v="Yunusa Fatima Aliyu"/>
    <s v="Department of Population Health ,University of Maiduguri teaching Hospital, Maiduguri, Borno State"/>
    <x v="0"/>
    <s v="University of Maiduguri Teaching Hospital"/>
    <x v="1"/>
    <s v="08134992196"/>
    <s v="resitting"/>
    <x v="1"/>
    <x v="1"/>
    <s v="Abuja"/>
    <s v="NGN"/>
    <n v="195000"/>
    <s v=""/>
    <n v="0"/>
    <s v=""/>
    <n v="0"/>
    <s v=""/>
    <s v="1932618WACP620948579"/>
  </r>
  <r>
    <n v="9"/>
    <n v="23825"/>
    <s v="kennymodilim@gmail.com"/>
    <s v="MODILIM Kenechukwu Dave"/>
    <s v="41 Dogwood Cresecent, Northern Foreshore Estate, Off Chevron Drive, Lekki, Lagos, Nigeria"/>
    <x v="1"/>
    <s v="Eti-Osa Maternal and Child Centre, Off Ogombo Road, Ajah, Lagos, Nigeria"/>
    <x v="1"/>
    <n v="2348120518645"/>
    <s v="firstsitting"/>
    <x v="1"/>
    <x v="0"/>
    <s v="Ibadan"/>
    <s v="NGN"/>
    <n v="195000"/>
    <s v=""/>
    <n v="0"/>
    <s v=""/>
    <n v="0"/>
    <s v=""/>
    <s v="2382519WACP505462036"/>
  </r>
  <r>
    <n v="10"/>
    <n v="23977"/>
    <s v="drstephenogwuche888@gmail.com"/>
    <s v="OGWUCHE Stephen "/>
    <s v="Angwan Nepa, Keffi, Nasarawa state, Nigeria"/>
    <x v="1"/>
    <s v="College of Health Sciences, University of Jos, Nigeria"/>
    <x v="1"/>
    <s v="07031604760"/>
    <s v="firstsitting"/>
    <x v="1"/>
    <x v="3"/>
    <s v="Abuja"/>
    <s v="NGN"/>
    <n v="195000"/>
    <s v=""/>
    <n v="0"/>
    <s v=""/>
    <n v="0"/>
    <s v=""/>
    <s v="23977110WACP161074878"/>
  </r>
  <r>
    <n v="11"/>
    <n v="958"/>
    <s v="ejiko_nelco@yahoo.com"/>
    <s v="UGWU Nelson ejike"/>
    <s v="Department of Child Health, ESUT Teching Hospital, Parklane, Enugu"/>
    <x v="1"/>
    <s v="ESUT Teaching Hospital, Parklane, Enugu"/>
    <x v="1"/>
    <n v="8062995811"/>
    <s v="resitting"/>
    <x v="0"/>
    <x v="3"/>
    <s v="Enugu"/>
    <s v="NGN"/>
    <n v="552500"/>
    <s v=""/>
    <n v="0"/>
    <s v=""/>
    <n v="0"/>
    <s v=""/>
    <s v="958111WACP2879498"/>
  </r>
  <r>
    <n v="12"/>
    <n v="23359"/>
    <s v="ugwokepeaceololo@gmail.com"/>
    <s v="EYA Peace Chinenye"/>
    <s v="No 5 Okinyi Street, off Enugu Road, Nsukka, Enugu State, c/off, Alex Iduh,"/>
    <x v="0"/>
    <s v="Enugu State University of Science and Technology, Enugu"/>
    <x v="1"/>
    <s v="07060608103"/>
    <s v="resitting"/>
    <x v="1"/>
    <x v="3"/>
    <s v="Enugu"/>
    <s v="NGN"/>
    <n v="195000"/>
    <s v=""/>
    <n v="0"/>
    <s v=""/>
    <n v="0"/>
    <s v=""/>
    <s v="23359112WACP261064212"/>
  </r>
  <r>
    <n v="13"/>
    <n v="23978"/>
    <s v="bellepinkroses@yahoo.co.uk"/>
    <s v="KOULAGNA Rosemary Erhemwanarhue"/>
    <s v="Plot 105, Undermercy Filling Station off Rukuba road Agingi Bassa LGA Plateau State Nigeria"/>
    <x v="0"/>
    <s v="Plateau State Specialist Hospital"/>
    <x v="1"/>
    <s v="09032392618"/>
    <s v="firstsitting"/>
    <x v="1"/>
    <x v="0"/>
    <s v="Abuja"/>
    <s v="USD"/>
    <s v=""/>
    <n v="150"/>
    <s v=""/>
    <n v="0"/>
    <s v=""/>
    <n v="0"/>
    <s v="23978113WACP530480360"/>
  </r>
  <r>
    <n v="14"/>
    <n v="488"/>
    <s v="mydocmyke@gmail.com"/>
    <s v="NWADIOKWU Michael Ehima"/>
    <s v="29 OTEKILEH STREET AGBOR, DELTA STATE"/>
    <x v="1"/>
    <s v="EKU BAPTIST GOVERNMENT HOSPITAL, DELTA STATE "/>
    <x v="1"/>
    <s v="08067870223"/>
    <s v="resitting"/>
    <x v="0"/>
    <x v="0"/>
    <s v="Ibadan"/>
    <s v="NGN"/>
    <n v="552500"/>
    <s v=""/>
    <n v="0"/>
    <s v=""/>
    <n v="0"/>
    <s v=""/>
    <s v="488114WACP571116747"/>
  </r>
  <r>
    <n v="15"/>
    <n v="19036"/>
    <s v="abimbola.o.onifade@gmail.com"/>
    <s v="ONIFADE Abimbola Olusegun"/>
    <s v="8 Olusegun Obasanjo Street, Peace Court Estate, Lokogoma Abuja "/>
    <x v="1"/>
    <s v="Igbinedion University Okada "/>
    <x v="1"/>
    <s v="08065648866"/>
    <s v="firstsitting"/>
    <x v="1"/>
    <x v="4"/>
    <s v="Ibadan"/>
    <s v="NGN"/>
    <n v="195000"/>
    <s v=""/>
    <n v="0"/>
    <s v=""/>
    <n v="0"/>
    <s v=""/>
    <s v="19036115WACP253851288"/>
  </r>
  <r>
    <n v="16"/>
    <n v="24036"/>
    <s v="ladelnathan@gmail.com"/>
    <s v="LADOKUN  nathanael ayokunnu"/>
    <s v="Alphabeta Hospital And Maternity, No 5 Jibowu Crescent, Iyaganku, Ibadan."/>
    <x v="1"/>
    <s v="Alphabeta Hospital And Maternity, No 5 Jibowu Crescent, Iyaganku, Ibadan"/>
    <x v="1"/>
    <s v="09030624260"/>
    <s v="firstsitting"/>
    <x v="1"/>
    <x v="0"/>
    <s v="Ibadan"/>
    <s v="NGN"/>
    <n v="195000"/>
    <s v=""/>
    <n v="0"/>
    <s v=""/>
    <n v="0"/>
    <s v=""/>
    <s v="24036116WACP331470548"/>
  </r>
  <r>
    <n v="17"/>
    <n v="9413"/>
    <s v="mwuesekuna13@gmail.com"/>
    <s v="KUNA Oluwaseun Mwuese"/>
    <s v="A three bedroom estate, along prof olu Longe road, Salami Estate, Ikolaba "/>
    <x v="0"/>
    <s v="Alpha Beta hospital and Maternity hospital"/>
    <x v="1"/>
    <s v="08055300649"/>
    <s v="resitting"/>
    <x v="1"/>
    <x v="1"/>
    <s v="Ibadan"/>
    <s v="NGN"/>
    <n v="195000"/>
    <s v=""/>
    <n v="0"/>
    <s v=""/>
    <n v="0"/>
    <s v=""/>
    <s v="9413117WACP223398777"/>
  </r>
  <r>
    <n v="18"/>
    <n v="2369"/>
    <s v="ezyman2u@yahoo.com"/>
    <s v="DAVID Ezekiel  "/>
    <s v="Federal Neuropsychiatric Hospital, Maiduguri "/>
    <x v="1"/>
    <s v="Federal Neuropsychiatric Hospital, Maiduguri"/>
    <x v="1"/>
    <s v="08030694905"/>
    <s v="firstsitting"/>
    <x v="0"/>
    <x v="4"/>
    <s v="Abuja"/>
    <s v="NGN"/>
    <n v="552500"/>
    <s v=""/>
    <n v="0"/>
    <s v=""/>
    <n v="0"/>
    <s v=""/>
    <s v="2369118WACP789728223"/>
  </r>
  <r>
    <n v="19"/>
    <n v="7343"/>
    <s v="kwetishe76@gmail.com"/>
    <s v="KWETISHE Elisha Enoch"/>
    <s v="FEDERAL NEUROPSYCHIATRIC HOSPITAL, MAIDUGURI. BORNO STATE"/>
    <x v="1"/>
    <s v="FEDERAL NEUROPSYCHIATRIC HOSPITAL, MAIDUGURI. BORNO STATE"/>
    <x v="1"/>
    <s v="08163338239"/>
    <s v="firstsitting"/>
    <x v="2"/>
    <x v="4"/>
    <s v="Ibadan"/>
    <s v="NGN"/>
    <n v="812500"/>
    <s v=""/>
    <n v="0"/>
    <s v=""/>
    <n v="162500"/>
    <s v=""/>
    <s v="7343119WACP134822762"/>
  </r>
  <r>
    <n v="20"/>
    <n v="23981"/>
    <s v="jamesirogho@gmail.com"/>
    <s v="IROGHO James Ovbare"/>
    <s v="No 22 Ugba Quarters Ihievbe Owan East, Edo state"/>
    <x v="1"/>
    <s v="JUTH"/>
    <x v="1"/>
    <s v="08034504949"/>
    <s v="firstsitting"/>
    <x v="1"/>
    <x v="3"/>
    <s v="Abuja"/>
    <s v="NGN"/>
    <n v="195000"/>
    <s v=""/>
    <n v="0"/>
    <s v=""/>
    <n v="0"/>
    <s v=""/>
    <s v="23981120WACP802842580"/>
  </r>
  <r>
    <n v="21"/>
    <n v="18872"/>
    <s v="momeghachukwuemeka@yahoo.com"/>
    <s v="MOMEGHA Chukwuemeka Ekene"/>
    <s v="Department of Primary Care UCH, Ibadan - Oyo state. "/>
    <x v="1"/>
    <s v="University College Hospital Ibadan"/>
    <x v="1"/>
    <n v="23409077945775"/>
    <s v="firstsitting"/>
    <x v="0"/>
    <x v="4"/>
    <s v="Ibadan"/>
    <s v="NGN"/>
    <n v="552500"/>
    <s v=""/>
    <n v="0"/>
    <s v=""/>
    <n v="0"/>
    <s v=""/>
    <s v="18872121WACP648752475"/>
  </r>
  <r>
    <n v="22"/>
    <n v="3709"/>
    <s v="otarumud@gmail.com"/>
    <s v="OTARU  Muhammedtahir"/>
    <s v="DEPARTMENT OF Population Health "/>
    <x v="1"/>
    <s v="FEDERAL TEACHING HOSPITAL, KATSINA "/>
    <x v="1"/>
    <s v="08036142979"/>
    <s v="resitting"/>
    <x v="2"/>
    <x v="1"/>
    <s v="Abuja"/>
    <s v="NGN"/>
    <n v="812500"/>
    <s v=""/>
    <n v="0"/>
    <s v=""/>
    <n v="162500"/>
    <s v=""/>
    <s v="3709122WACP301769538"/>
  </r>
  <r>
    <n v="23"/>
    <n v="24045"/>
    <s v="nekkyzie@gmail.com"/>
    <s v="MADU Nneka Lovina"/>
    <s v="5 Bishop&amp;#039;s close Ukwu Orji, Agu-Awka, Awka, Anambra State"/>
    <x v="0"/>
    <s v="Nnamdi Azikiwe University"/>
    <x v="1"/>
    <s v="08039540610"/>
    <s v="firstsitting"/>
    <x v="1"/>
    <x v="1"/>
    <s v="Enugu"/>
    <s v="NGN"/>
    <n v="195000"/>
    <s v=""/>
    <n v="0"/>
    <s v=""/>
    <n v="0"/>
    <s v=""/>
    <s v="24045123WACP657287384"/>
  </r>
  <r>
    <n v="24"/>
    <n v="24008"/>
    <s v="zaharaddinlawal@gmail.com"/>
    <s v="LAWAL Zaharaddin Maishanu"/>
    <s v="Famfom maishanu area Gusau Zamfara state."/>
    <x v="1"/>
    <s v="Usmanu Danfodio University Sokoto"/>
    <x v="1"/>
    <s v="07064319910"/>
    <s v="firstsitting"/>
    <x v="1"/>
    <x v="0"/>
    <s v="Abuja"/>
    <s v="NGN"/>
    <n v="195000"/>
    <s v=""/>
    <n v="0"/>
    <s v=""/>
    <n v="0"/>
    <s v=""/>
    <s v="24008124WACP936825199"/>
  </r>
  <r>
    <n v="25"/>
    <n v="20784"/>
    <s v="docsamtee38@gmail.com"/>
    <s v="TAYO Segun Samuel "/>
    <s v="No 1 Regent school Ekpan,Delta state "/>
    <x v="1"/>
    <s v="Asaba specialist hospital,Asaba"/>
    <x v="1"/>
    <s v="07062784875"/>
    <s v="firstsitting"/>
    <x v="0"/>
    <x v="1"/>
    <s v="Abuja"/>
    <s v="NGN"/>
    <n v="552500"/>
    <s v=""/>
    <n v="0"/>
    <s v=""/>
    <n v="0"/>
    <s v=""/>
    <s v="20784125WACP903481522"/>
  </r>
  <r>
    <n v="26"/>
    <n v="24072"/>
    <s v="joshuaajoggar@yahoo.com"/>
    <s v="AJOGGAR Joshua Eseoghene"/>
    <s v="No 7 New Mikel Amadi Layout Off Airport Road Rukpokwu Port Harcourt,River State,Nigeria"/>
    <x v="1"/>
    <s v="Afe Babalola University Ado Ekiti, Ekiti State"/>
    <x v="1"/>
    <s v="08162033579"/>
    <s v="firstsitting"/>
    <x v="1"/>
    <x v="3"/>
    <s v="Enugu"/>
    <s v="NGN"/>
    <n v="195000"/>
    <s v=""/>
    <n v="0"/>
    <s v=""/>
    <n v="0"/>
    <s v=""/>
    <s v="24072126WACP374008903"/>
  </r>
  <r>
    <n v="27"/>
    <n v="23957"/>
    <s v="maryamhamza284@gmail.com"/>
    <s v="HAMZA Maryam "/>
    <s v="No. 17 Dikwa Road, Tudun Nupawa Kaduna"/>
    <x v="0"/>
    <s v="Elrazi University"/>
    <x v="1"/>
    <n v="2347085014434"/>
    <s v="firstsitting"/>
    <x v="1"/>
    <x v="4"/>
    <s v="Abuja"/>
    <s v="NGN"/>
    <n v="195000"/>
    <s v=""/>
    <n v="0"/>
    <s v=""/>
    <n v="0"/>
    <s v=""/>
    <s v="23957127WACP304233690"/>
  </r>
  <r>
    <n v="28"/>
    <n v="6263"/>
    <s v="bisifaboyinde@yahoo.com"/>
    <s v="FABOYINDE OLABISI JUMOKE"/>
    <s v="DEPARTMENT OF Child Health,LAGOS UNIVERSITY TEACHING HOSPITAL, IDI-ARABA"/>
    <x v="0"/>
    <s v="LAGOS UNIVERSITY TEACHING HOSPITAL,IDII-ARABA"/>
    <x v="1"/>
    <s v="08038514841"/>
    <s v="passeddissert"/>
    <x v="2"/>
    <x v="3"/>
    <s v="Ibadan"/>
    <s v="NGN"/>
    <n v="812500"/>
    <s v=""/>
    <n v="0"/>
    <s v=""/>
    <n v="0"/>
    <s v=""/>
    <s v="6263128WACP327815336"/>
  </r>
  <r>
    <n v="29"/>
    <n v="22620"/>
    <s v="Bakareolaoluwa@gmail.com"/>
    <s v="BAKARE Olaoluwa Olumide"/>
    <s v="No 35 Ifesowapo Estate Adebomi Ayegun Oleyo Road Ibadan"/>
    <x v="1"/>
    <s v="Federal Teaching Hospital Ido Ekiti"/>
    <x v="1"/>
    <s v="09032303306"/>
    <s v="firstsitting"/>
    <x v="1"/>
    <x v="2"/>
    <s v="Ibadan"/>
    <s v="NGN"/>
    <n v="195000"/>
    <s v=""/>
    <n v="0"/>
    <s v=""/>
    <n v="0"/>
    <s v=""/>
    <s v="22620129WACP511614256"/>
  </r>
  <r>
    <n v="30"/>
    <n v="24007"/>
    <s v="chinenyeodikaesieme@gmail.com"/>
    <s v="ODIKAESIEME  Chinenye Jennifer"/>
    <s v="S13 Isaac okoroafor street FHA, Lugbe, Abuja"/>
    <x v="0"/>
    <s v="Nisa premier hospital"/>
    <x v="1"/>
    <s v="08138262856"/>
    <s v="firstsitting"/>
    <x v="1"/>
    <x v="1"/>
    <s v="Abuja"/>
    <s v="NGN"/>
    <n v="195000"/>
    <s v=""/>
    <n v="0"/>
    <s v=""/>
    <n v="0"/>
    <s v=""/>
    <s v="24007130WACP589212557"/>
  </r>
  <r>
    <n v="31"/>
    <n v="24049"/>
    <s v="pelumi4d@gmail.com"/>
    <s v="FALANA Oluwapelumi Victor"/>
    <s v="2, Atilade street, off daddy savage, Fagba, Lagos"/>
    <x v="1"/>
    <s v="College of Medicine, University of Lagos"/>
    <x v="1"/>
    <s v="08051729094"/>
    <s v="firstsitting"/>
    <x v="1"/>
    <x v="0"/>
    <s v="Ibadan"/>
    <s v="NGN"/>
    <n v="195000"/>
    <s v=""/>
    <n v="0"/>
    <s v=""/>
    <n v="0"/>
    <s v=""/>
    <s v="24049131WACP796431223"/>
  </r>
  <r>
    <n v="32"/>
    <n v="24006"/>
    <s v="favouroyewole00@gmail.com"/>
    <s v="Oyewole Favour Ikeoluwa"/>
    <s v="House 7, Rd 12b, OAU quarters. Ife"/>
    <x v="0"/>
    <s v="Federal Neuropsychiatric Hospital"/>
    <x v="1"/>
    <s v="08169706796"/>
    <s v="firstsitting"/>
    <x v="1"/>
    <x v="4"/>
    <s v="Ibadan"/>
    <s v="NGN"/>
    <n v="195000"/>
    <s v=""/>
    <n v="0"/>
    <s v=""/>
    <n v="0"/>
    <s v=""/>
    <s v="24006132WACP790610685"/>
  </r>
  <r>
    <n v="33"/>
    <n v="24074"/>
    <s v="folasayomiajumobi@gmail.com"/>
    <s v="Oluwafolasayomi Ajumobi "/>
    <s v="No8,Lane 1,aare Oluyole Estate, Ring Road.Ibadan. Oyo State"/>
    <x v="0"/>
    <s v="Medical Doctor"/>
    <x v="1"/>
    <s v="09020556901"/>
    <s v="firstsitting"/>
    <x v="1"/>
    <x v="2"/>
    <s v="Ibadan"/>
    <s v="NGN"/>
    <n v="195000"/>
    <s v=""/>
    <n v="0"/>
    <s v=""/>
    <n v="0"/>
    <s v=""/>
    <s v="24074133WACP155980424"/>
  </r>
  <r>
    <n v="34"/>
    <n v="23979"/>
    <s v="adekoyaolaitan@gmail.com"/>
    <s v="ADEKOYA Ridwanallah Abisoye"/>
    <s v="23 Shodimu Street Omo-Oye busstop Abaranje Ikotun Lagos"/>
    <x v="0"/>
    <s v="University of Ilorin"/>
    <x v="1"/>
    <s v="08081323775"/>
    <s v="firstsitting"/>
    <x v="1"/>
    <x v="3"/>
    <s v="Ibadan"/>
    <s v="NGN"/>
    <n v="195000"/>
    <s v=""/>
    <n v="0"/>
    <s v=""/>
    <n v="0"/>
    <s v=""/>
    <s v="23979134WACP998814901"/>
  </r>
  <r>
    <n v="35"/>
    <n v="6616"/>
    <s v="udennaka@gmail.com"/>
    <s v="UDENNAKA Chimezie Calistus"/>
    <s v="Department of Child Health Nnamdi Azikiwe university teaching hospital Nnewi Anambra state"/>
    <x v="1"/>
    <s v="Nnamdi Azikiwe University teaching hospital nnewi "/>
    <x v="1"/>
    <n v="8034274871"/>
    <s v="passeddissert"/>
    <x v="2"/>
    <x v="3"/>
    <s v="Ibadan"/>
    <s v="NGN"/>
    <n v="812500"/>
    <s v=""/>
    <n v="0"/>
    <s v=""/>
    <n v="0"/>
    <s v=""/>
    <s v="6616135WACP550121244"/>
  </r>
  <r>
    <n v="37"/>
    <n v="23974"/>
    <s v="victorobisomtochi@gmail.com"/>
    <s v="VICTOR-OBI Somtochi Promise"/>
    <s v="Agbara Estate, Ogun State"/>
    <x v="1"/>
    <s v="Babcock University"/>
    <x v="1"/>
    <s v="08137051155"/>
    <s v="firstsitting"/>
    <x v="1"/>
    <x v="0"/>
    <s v="Ibadan"/>
    <s v="NGN"/>
    <n v="195000"/>
    <s v=""/>
    <n v="0"/>
    <s v=""/>
    <n v="0"/>
    <s v=""/>
    <s v="23974137WACP517214281"/>
  </r>
  <r>
    <n v="39"/>
    <n v="1785"/>
    <s v="akanmuolaoluwa99@yahoo.com"/>
    <s v="AKANMU Wasiu  Olaoluwa"/>
    <s v="No 18 Alhaji Azeez street Mafoluku Oshodi Ikeja Lagos"/>
    <x v="1"/>
    <s v="Lagos State University Teaching Hospital "/>
    <x v="1"/>
    <n v="7030319335"/>
    <s v="dissertation"/>
    <x v="2"/>
    <x v="0"/>
    <s v="Ibadan"/>
    <s v="NGN"/>
    <n v="812500"/>
    <s v=""/>
    <n v="0"/>
    <s v=""/>
    <n v="162500"/>
    <s v=""/>
    <s v="1785139WACP610201396"/>
  </r>
  <r>
    <n v="40"/>
    <n v="19228"/>
    <s v="dr.eselemondi@gmail.com"/>
    <s v="ESELEMONDI Amos Arebimo"/>
    <s v="Behind prison Okaka Yenagoa Bayelsa state"/>
    <x v="1"/>
    <s v="University of Port Harcourt"/>
    <x v="1"/>
    <s v="07038832035"/>
    <s v="firstsitting"/>
    <x v="0"/>
    <x v="3"/>
    <s v="Enugu"/>
    <s v="NGN"/>
    <n v="552500"/>
    <s v=""/>
    <n v="0"/>
    <s v=""/>
    <n v="0"/>
    <s v=""/>
    <s v="19228140WACP5024995"/>
  </r>
  <r>
    <n v="41"/>
    <n v="24030"/>
    <s v="roseviday@gmail.com"/>
    <s v="YAWSON Rosevida Akyeama "/>
    <s v="+220 3187877"/>
    <x v="0"/>
    <s v="Polyclinic"/>
    <x v="0"/>
    <n v="3187877"/>
    <s v="firstsitting"/>
    <x v="1"/>
    <x v="0"/>
    <s v="Banjul"/>
    <s v="NGN"/>
    <n v="195000"/>
    <s v=""/>
    <n v="0"/>
    <s v=""/>
    <n v="0"/>
    <s v=""/>
    <s v="24030141WACP181319534"/>
  </r>
  <r>
    <n v="42"/>
    <n v="22577"/>
    <s v="kemix19@gmail.com"/>
    <s v="ALESINLOYE Oluwakemi Temitayo"/>
    <s v="No 11, Church Road Agwanserki Orozo Abuja."/>
    <x v="0"/>
    <s v="National Hospital Abuja."/>
    <x v="1"/>
    <s v="08081445906"/>
    <s v="resitting"/>
    <x v="1"/>
    <x v="4"/>
    <s v="Abuja"/>
    <s v="NGN"/>
    <n v="195000"/>
    <s v=""/>
    <n v="0"/>
    <s v=""/>
    <n v="0"/>
    <s v=""/>
    <s v="22577142WACP875581860"/>
  </r>
  <r>
    <n v="43"/>
    <n v="4163"/>
    <s v="emekaonukogu@yahoo.com"/>
    <s v="ONUKOGU Emeka Philip"/>
    <s v="UCHENDU HOSPITAL, 83 DOUGLAS ROAD, OWERRI, IMO STATE, NIGERIA"/>
    <x v="1"/>
    <s v="IMO STATE UNIVERSITY"/>
    <x v="1"/>
    <n v="8038662941"/>
    <s v="firstsitting"/>
    <x v="0"/>
    <x v="3"/>
    <s v="Abuja"/>
    <s v="NGN"/>
    <n v="552500"/>
    <s v=""/>
    <n v="0"/>
    <s v=""/>
    <n v="0"/>
    <s v=""/>
    <s v="4163143WACP580223447"/>
  </r>
  <r>
    <n v="44"/>
    <n v="24105"/>
    <s v="esthermuomareghen@gmail.com"/>
    <s v="MUOMAREGHEN Esther Ogheneufuoma"/>
    <s v="Dr Asemota&amp;#039;s Compound Behind University of Abuja Teaching hospital, Gwagwalada, Abuja"/>
    <x v="0"/>
    <s v="Southwestern University Phinma, Philippines"/>
    <x v="1"/>
    <s v="08141272514"/>
    <s v="firstsitting"/>
    <x v="1"/>
    <x v="1"/>
    <s v="Abuja"/>
    <s v="NGN"/>
    <n v="195000"/>
    <s v=""/>
    <n v="0"/>
    <s v=""/>
    <n v="0"/>
    <s v=""/>
    <s v="24105144WACP301081023"/>
  </r>
  <r>
    <n v="45"/>
    <n v="24078"/>
    <s v="idowuoluwasegun7271@gmail.com"/>
    <s v="IDOWU oluwasegun toluwase"/>
    <s v="no.1, oja-iya street, taiwo road, ilorin"/>
    <x v="1"/>
    <s v="no.1, oja-iya street, taiwo road, ilorin"/>
    <x v="1"/>
    <s v="07026460216"/>
    <s v="firstsitting"/>
    <x v="1"/>
    <x v="0"/>
    <s v="Ibadan"/>
    <s v="NGN"/>
    <n v="195000"/>
    <s v=""/>
    <n v="0"/>
    <s v=""/>
    <n v="0"/>
    <s v=""/>
    <s v="24078145WACP522203933"/>
  </r>
  <r>
    <n v="46"/>
    <n v="24098"/>
    <s v="asadeeq06@gmail.com"/>
    <s v="HARUNA Abubakar Musa"/>
    <s v="Yan Awaki, Unguwa Uku"/>
    <x v="1"/>
    <s v="Bayero University Kano"/>
    <x v="1"/>
    <s v="08067735437"/>
    <s v="firstsitting"/>
    <x v="1"/>
    <x v="0"/>
    <s v="Abuja"/>
    <s v="NGN"/>
    <n v="195000"/>
    <s v=""/>
    <n v="0"/>
    <s v=""/>
    <n v="0"/>
    <s v=""/>
    <s v="24098146WACP55058728"/>
  </r>
  <r>
    <n v="47"/>
    <n v="24080"/>
    <s v="mssfertymer96@yahoo.com"/>
    <s v="MUHAMMAD Fatima Naima"/>
    <s v="No 6 Bauchi Road Gra Birnin Kebbi, Kebbi staye"/>
    <x v="0"/>
    <s v="Sir Yahaya Memorial Hospital"/>
    <x v="1"/>
    <n v="2349036808868"/>
    <s v="firstsitting"/>
    <x v="1"/>
    <x v="3"/>
    <s v="Abuja"/>
    <s v="NGN"/>
    <n v="195000"/>
    <s v=""/>
    <n v="0"/>
    <s v=""/>
    <n v="0"/>
    <s v=""/>
    <s v="24080147WACP474731585"/>
  </r>
  <r>
    <n v="48"/>
    <n v="23906"/>
    <s v="ese1ujevs@gmail.com"/>
    <s v="UJEVBIRUVBE Ese-Oghene Gift"/>
    <s v="No. 11 Ekinigbo Street, Off NTA link road, Rumuigbo Port Harcourt Rivers State"/>
    <x v="0"/>
    <s v="Afe Babalola University"/>
    <x v="1"/>
    <s v="09060156113"/>
    <s v="firstsitting"/>
    <x v="1"/>
    <x v="0"/>
    <s v="Enugu"/>
    <s v="NGN"/>
    <n v="195000"/>
    <s v=""/>
    <n v="0"/>
    <s v=""/>
    <n v="0"/>
    <s v=""/>
    <s v="23906148WACP923609115"/>
  </r>
  <r>
    <n v="49"/>
    <n v="24119"/>
    <s v="mrabdulmajidmuhammad@gmail.com"/>
    <s v="ISA Abdulmajid Muhammad"/>
    <s v="D17 Dabo Aliyu Housing Estate Damaturu Yobe State"/>
    <x v="1"/>
    <s v="Yobe State University Teaching Hospital"/>
    <x v="1"/>
    <n v="2347068017522"/>
    <s v="firstsitting"/>
    <x v="1"/>
    <x v="2"/>
    <s v="Abuja"/>
    <s v="NGN"/>
    <n v="195000"/>
    <s v=""/>
    <n v="0"/>
    <s v=""/>
    <n v="0"/>
    <s v=""/>
    <s v="24119149WACP848156799"/>
  </r>
  <r>
    <n v="50"/>
    <n v="24123"/>
    <s v="ojoboruk@gmail.com"/>
    <s v="OJOBOR Blessing Ukamaka"/>
    <s v="30 Onwuakpa Street, Marlum Quarters, Trans-ekulu, Enugu State"/>
    <x v="0"/>
    <s v="Enugu State University of Science and Technology"/>
    <x v="1"/>
    <s v="07062115526"/>
    <s v="firstsitting"/>
    <x v="1"/>
    <x v="1"/>
    <s v="Enugu"/>
    <s v="NGN"/>
    <n v="195000"/>
    <s v=""/>
    <n v="0"/>
    <s v=""/>
    <n v="0"/>
    <s v=""/>
    <s v="24123150WACP71745179"/>
  </r>
  <r>
    <n v="51"/>
    <n v="24102"/>
    <s v="victoriaanele@gmail.com"/>
    <s v="UCHE Victoria Onyinyechi"/>
    <s v="6 Eko ATUGE Close off LASU Road, Isheri Olofin, Alimosho Local Government Area, Lagos State, Nigeria."/>
    <x v="0"/>
    <s v="Badagry General Hospital, Nigeria."/>
    <x v="1"/>
    <s v="08033879364"/>
    <s v="firstsitting"/>
    <x v="1"/>
    <x v="0"/>
    <s v="Ibadan"/>
    <s v="NGN"/>
    <n v="195000"/>
    <s v=""/>
    <n v="0"/>
    <s v=""/>
    <n v="0"/>
    <s v=""/>
    <s v="24102151WACP845461484"/>
  </r>
  <r>
    <n v="52"/>
    <n v="24121"/>
    <s v="papatty2008@yahoo.com"/>
    <s v="KOREDE Oluwatosin "/>
    <s v="6 Oreniwon street off Agbe Road Abule Egba"/>
    <x v="1"/>
    <s v="University of Calabar"/>
    <x v="1"/>
    <s v="08033287669"/>
    <s v="firstsitting"/>
    <x v="1"/>
    <x v="0"/>
    <s v="Ibadan"/>
    <s v="NGN"/>
    <n v="195000"/>
    <s v=""/>
    <n v="0"/>
    <s v=""/>
    <n v="0"/>
    <s v=""/>
    <s v="24121152WACP992077105"/>
  </r>
  <r>
    <n v="53"/>
    <n v="5174"/>
    <s v="chinenyeharrison2009@gmail.com"/>
    <s v="HARRISON-IKWEGBU  Chinenye "/>
    <s v="Department of Medicine UNTH Ituku Ozalla Enugu"/>
    <x v="0"/>
    <s v="UNTH Ituku Ozalla Enugu"/>
    <x v="1"/>
    <n v="8156028527"/>
    <s v="resitting"/>
    <x v="0"/>
    <x v="3"/>
    <s v="Ibadan"/>
    <s v="NGN"/>
    <n v="552500"/>
    <s v=""/>
    <n v="0"/>
    <s v=""/>
    <n v="0"/>
    <s v=""/>
    <s v="5174153WACP998167146"/>
  </r>
  <r>
    <n v="54"/>
    <n v="19459"/>
    <s v="bimbec@yahoo.com"/>
    <s v="IDOWU  abimbola  rebecca "/>
    <s v="14 Ayanbadejo street ikosi ketu"/>
    <x v="0"/>
    <s v="LAGOS STATE UNIVERSITY TEACHING HOSPITAL [LASUTH]"/>
    <x v="1"/>
    <s v="07030364300"/>
    <s v="firstsitting"/>
    <x v="1"/>
    <x v="0"/>
    <s v="Ibadan"/>
    <s v="NGN"/>
    <n v="195000"/>
    <s v=""/>
    <n v="0"/>
    <s v=""/>
    <n v="0"/>
    <s v=""/>
    <s v="19459154WACP931176607"/>
  </r>
  <r>
    <n v="55"/>
    <n v="1878"/>
    <s v="Maxnuel316@gmail.com"/>
    <s v="ILOMBU AMADI MAXWELL"/>
    <s v="No 15 Ifeanyichukwu Nwagbo drive, Infant Jesus. Anwai road. Asaba Delta state"/>
    <x v="1"/>
    <s v="Federal Medical Centre Asaba"/>
    <x v="1"/>
    <s v="08065377258"/>
    <s v="resitting"/>
    <x v="2"/>
    <x v="3"/>
    <s v="Abuja"/>
    <s v="NGN"/>
    <n v="812500"/>
    <s v=""/>
    <n v="0"/>
    <s v=""/>
    <n v="162500"/>
    <s v=""/>
    <s v="GHWACP432511741"/>
  </r>
  <r>
    <n v="56"/>
    <n v="7556"/>
    <s v="kamphin6@gmail.com"/>
    <s v="MUOJIUBA  Kambiri  Phina"/>
    <s v="30D Udensi Street, Abakaliki Ebonyi State."/>
    <x v="0"/>
    <s v="Alex Ekwueme Federal University  Teaching Hospital,  Abakaliki"/>
    <x v="1"/>
    <n v="8034057470"/>
    <s v="firstsitting"/>
    <x v="2"/>
    <x v="1"/>
    <s v="Abuja"/>
    <s v="NGN"/>
    <n v="812500"/>
    <s v=""/>
    <n v="0"/>
    <s v=""/>
    <n v="162500"/>
    <s v=""/>
    <s v="7556156WACP1425397"/>
  </r>
  <r>
    <n v="57"/>
    <n v="24114"/>
    <s v="abikoyeebunoluwa@gmail.com"/>
    <s v="ABIKOYE ebunoluwa modesayo"/>
    <s v="12 Gbenga Olatunji, Ejigbo, Lagos"/>
    <x v="0"/>
    <s v="Isolo General Hospital"/>
    <x v="1"/>
    <s v="08108772442"/>
    <s v="firstsitting"/>
    <x v="1"/>
    <x v="1"/>
    <s v="Ibadan"/>
    <s v="NGN"/>
    <n v="195000"/>
    <s v=""/>
    <n v="0"/>
    <s v=""/>
    <n v="0"/>
    <s v=""/>
    <s v="24114157WACP777125374"/>
  </r>
  <r>
    <n v="58"/>
    <n v="24117"/>
    <s v="couragedogbey@ymail.com"/>
    <s v="DOGBE Courage Kwashie"/>
    <s v="GCA0959 Jorbies estate Tuba -Kasoa"/>
    <x v="1"/>
    <s v="Bemuah Royal Hospital"/>
    <x v="2"/>
    <s v="0242535583"/>
    <s v="firstsitting"/>
    <x v="1"/>
    <x v="0"/>
    <s v="Accra"/>
    <s v="USD"/>
    <s v=""/>
    <n v="150"/>
    <s v=""/>
    <n v="0"/>
    <s v=""/>
    <n v="0"/>
    <s v="GHWACP999745214"/>
  </r>
  <r>
    <n v="59"/>
    <n v="3930"/>
    <s v="jamenoflondon14@gmail.com"/>
    <s v="LAWAL Jamiyu Ojo"/>
    <s v="Department of Medicine UITH Ilorin"/>
    <x v="1"/>
    <s v="University of Ilorin Teaching Hospital, Ilorin Kwara State"/>
    <x v="1"/>
    <n v="7036646178"/>
    <s v="passedboth"/>
    <x v="2"/>
    <x v="3"/>
    <s v="Ibadan"/>
    <s v="NGN"/>
    <n v="812500"/>
    <s v=""/>
    <n v="0"/>
    <s v=""/>
    <n v="0"/>
    <s v=""/>
    <s v="3930159WACP927283682"/>
  </r>
  <r>
    <n v="60"/>
    <n v="6463"/>
    <s v="Kunsky2002@yahoo.com"/>
    <s v="KOLADE Ibrahim Adekunle"/>
    <s v="Federal University of Health Sciences Teaching Hospital 5 SULE KATAGUM ROAD P.M.B 005  Azare Bauchi state"/>
    <x v="1"/>
    <s v="P.M.B 005 AZARE BAUCHI STATE"/>
    <x v="1"/>
    <n v="8038015322"/>
    <s v="resitting"/>
    <x v="1"/>
    <x v="2"/>
    <s v="Abuja"/>
    <s v="NGN"/>
    <n v="195000"/>
    <s v=""/>
    <n v="0"/>
    <s v=""/>
    <n v="0"/>
    <s v=""/>
    <s v="6463160WACP618402314"/>
  </r>
  <r>
    <n v="61"/>
    <n v="24058"/>
    <s v="alphonseametame@gmail.com"/>
    <s v="AMETAME ALPHONSE AWUKU"/>
    <s v="PRESBYTERIAN HOSPITAL, AGOGO"/>
    <x v="1"/>
    <s v="PRESBYTERIAN HOSPITAL, AGOGO"/>
    <x v="2"/>
    <n v="233540902071"/>
    <s v="firstsitting"/>
    <x v="1"/>
    <x v="3"/>
    <s v="Accra"/>
    <s v="USD"/>
    <s v=""/>
    <n v="150"/>
    <s v=""/>
    <n v="0"/>
    <s v=""/>
    <n v="0"/>
    <s v="GHWACP502954021"/>
  </r>
  <r>
    <n v="62"/>
    <n v="10685"/>
    <s v="akuakurosemary@yahoo.com"/>
    <s v="AKUAKU Rosemary  Sefakor"/>
    <s v="Department of Population Health, P. O. Box CT 1363, Cape Coast"/>
    <x v="0"/>
    <s v="Korle Bu Teaching Hospital"/>
    <x v="2"/>
    <s v="0242065922"/>
    <s v="resitting"/>
    <x v="0"/>
    <x v="1"/>
    <s v="Accra"/>
    <s v="USD"/>
    <s v=""/>
    <n v="425"/>
    <s v=""/>
    <n v="0"/>
    <s v=""/>
    <n v="0"/>
    <s v="GHWACP982873482"/>
  </r>
  <r>
    <n v="63"/>
    <n v="23980"/>
    <s v="dapoetnaanep@gmail.com"/>
    <s v="DAPOET Naanep Tangame"/>
    <s v="D11 harmony estate Galadimawa Abuja"/>
    <x v="0"/>
    <s v="King Ceasor University Kampala Uganda"/>
    <x v="1"/>
    <s v="09125940375"/>
    <s v="firstsitting"/>
    <x v="1"/>
    <x v="4"/>
    <s v="Abuja"/>
    <s v="NGN"/>
    <n v="195000"/>
    <s v=""/>
    <n v="0"/>
    <s v=""/>
    <n v="0"/>
    <s v=""/>
    <s v="23980163WACP564670355"/>
  </r>
  <r>
    <n v="64"/>
    <n v="24051"/>
    <s v="ajanakuolamiji@gmail.com"/>
    <s v="Ajanaku Olamiji Omotayo"/>
    <s v="Flat 10 Hillcrest apartment Jericho Ibadan."/>
    <x v="0"/>
    <s v="University College Hospital"/>
    <x v="1"/>
    <s v="08032100335"/>
    <s v="firstsitting"/>
    <x v="1"/>
    <x v="3"/>
    <s v="Ibadan"/>
    <s v="NGN"/>
    <n v="195000"/>
    <s v=""/>
    <n v="0"/>
    <s v=""/>
    <n v="0"/>
    <s v=""/>
    <s v="24051164WACP211629653"/>
  </r>
  <r>
    <n v="65"/>
    <n v="22289"/>
    <s v="veetee2010@gmail.com"/>
    <s v="PREMPEH Victor "/>
    <s v="Kwabena Taa Street, block D plot 30"/>
    <x v="1"/>
    <s v="St. Martin?s Catholic Hospital"/>
    <x v="2"/>
    <s v="0592621024"/>
    <s v="firstsitting"/>
    <x v="1"/>
    <x v="0"/>
    <s v="Accra"/>
    <s v="USD"/>
    <s v=""/>
    <n v="150"/>
    <s v=""/>
    <n v="0"/>
    <s v=""/>
    <n v="0"/>
    <s v="22289165WACP613493059"/>
  </r>
  <r>
    <n v="66"/>
    <n v="23786"/>
    <s v="viviankwasau@yahoo.com"/>
    <s v="KWASAU  Vivian  "/>
    <s v="No 8 Dariya Street Ung boro Sabo Tasha Kaduna "/>
    <x v="0"/>
    <s v="University of medicine and pharmacy Carol Davila Bucharest Romania "/>
    <x v="1"/>
    <s v="09071536038"/>
    <s v="firstsitting"/>
    <x v="1"/>
    <x v="0"/>
    <s v="Abuja"/>
    <s v="NGN"/>
    <n v="195000"/>
    <s v=""/>
    <n v="0"/>
    <s v=""/>
    <n v="0"/>
    <s v=""/>
    <s v="23786166WACP273173889"/>
  </r>
  <r>
    <n v="67"/>
    <n v="24154"/>
    <s v="amarachiudonna@gmail.com"/>
    <s v="UDONNA-OGBUE Amarachi Faith"/>
    <s v="7 cepogate ubommiri owerri"/>
    <x v="0"/>
    <s v="NNAMDI AZIKIWE UNIVERSITY TEACHING HOSPITAL NNEWI"/>
    <x v="1"/>
    <s v="08039192324"/>
    <s v="firstsitting"/>
    <x v="1"/>
    <x v="2"/>
    <s v="Enugu"/>
    <s v="NGN"/>
    <n v="195000"/>
    <s v=""/>
    <n v="0"/>
    <s v=""/>
    <n v="0"/>
    <s v=""/>
    <s v="24154167WACP479249590"/>
  </r>
  <r>
    <n v="68"/>
    <n v="24152"/>
    <s v="ifeoma_oli@yahoo.com"/>
    <s v="OLI Ifeoma "/>
    <s v="10 Kaltungo street, Garki 2 Abuja, FCT Nigeria"/>
    <x v="0"/>
    <s v="University of Jos"/>
    <x v="1"/>
    <n v="2347070738644"/>
    <s v="firstsitting"/>
    <x v="1"/>
    <x v="0"/>
    <s v="Abuja"/>
    <s v="NGN"/>
    <n v="195000"/>
    <s v=""/>
    <n v="0"/>
    <s v=""/>
    <n v="0"/>
    <s v=""/>
    <s v="24152168WACP544692828"/>
  </r>
  <r>
    <n v="69"/>
    <n v="24156"/>
    <s v="sambankole01@gmail.com"/>
    <s v="BANKOLE Oluwafemi Samuel"/>
    <s v="No 2,Temidire Street, Adebayo, Ado-Ekiti"/>
    <x v="1"/>
    <s v="Ekiti State University Teaching Hospital"/>
    <x v="1"/>
    <s v="07068245393"/>
    <s v="firstsitting"/>
    <x v="1"/>
    <x v="1"/>
    <s v="Ibadan"/>
    <s v="NGN"/>
    <n v="195000"/>
    <s v=""/>
    <n v="0"/>
    <s v=""/>
    <n v="0"/>
    <s v=""/>
    <s v="24156169WACP818021374"/>
  </r>
  <r>
    <n v="70"/>
    <n v="6428"/>
    <s v="onyekachianyiam1@gmail.com"/>
    <s v="UMOKORO Onyekachi Uzodinma"/>
    <s v="No 2SD4 Beaufort court, Sabon Lugbe, Abuja."/>
    <x v="0"/>
    <s v="Federal Medical Center Jabi Abuja "/>
    <x v="1"/>
    <s v="09060837879"/>
    <s v="resitting"/>
    <x v="0"/>
    <x v="1"/>
    <s v="Abuja"/>
    <s v="NGN"/>
    <n v="552500"/>
    <s v=""/>
    <n v="0"/>
    <s v=""/>
    <n v="0"/>
    <s v=""/>
    <s v="6428170WACP933201685"/>
  </r>
  <r>
    <n v="71"/>
    <n v="20451"/>
    <s v="melissaoduro@rocketmail.com"/>
    <s v="ODURO Melissa "/>
    <s v="Accra, Ghana"/>
    <x v="0"/>
    <s v="Korle Bu Teaching Hospital"/>
    <x v="2"/>
    <s v="0274801695"/>
    <s v="resitting"/>
    <x v="0"/>
    <x v="3"/>
    <s v="Accra"/>
    <s v="USD"/>
    <s v=""/>
    <n v="425"/>
    <s v=""/>
    <n v="0"/>
    <s v=""/>
    <n v="0"/>
    <s v="GHWACP920173350"/>
  </r>
  <r>
    <n v="72"/>
    <n v="23961"/>
    <s v="kaddy311@gmail.com"/>
    <s v="OGUNSOLA Hadijat Ayoka"/>
    <s v="22 Yaya Baale Street Iyana Iyesi ,Ota Ogun State"/>
    <x v="0"/>
    <s v="Olabisi Onabanjo University Teaching Hospital,Sagamu"/>
    <x v="1"/>
    <n v="2347089899395"/>
    <s v="firstsitting"/>
    <x v="1"/>
    <x v="1"/>
    <s v="Ibadan"/>
    <s v="NGN"/>
    <n v="195000"/>
    <s v=""/>
    <n v="0"/>
    <s v=""/>
    <n v="0"/>
    <s v=""/>
    <s v="23961172WACP433132207"/>
  </r>
  <r>
    <n v="73"/>
    <n v="21864"/>
    <s v="hannlisaa@gmail.com"/>
    <s v="AKUNYUMU-TETTEH Hannah-lisa "/>
    <s v="GPHA clinic, 488, Tema. Ghana."/>
    <x v="0"/>
    <s v="GPHA clinic"/>
    <x v="2"/>
    <s v="0246163816"/>
    <s v="firstsitting"/>
    <x v="1"/>
    <x v="2"/>
    <s v="Accra"/>
    <s v="USD"/>
    <s v=""/>
    <n v="150"/>
    <s v=""/>
    <n v="0"/>
    <s v=""/>
    <n v="0"/>
    <s v="21864173WACP154580969"/>
  </r>
  <r>
    <n v="74"/>
    <n v="23933"/>
    <s v="victoraasa@gmail.com"/>
    <s v="AASA Victor Gabriel"/>
    <s v="Number 4, adjacent Adventure school, Ita- Elepa, Ilorin, Kwara state."/>
    <x v="1"/>
    <s v="College of Health Sciences, University of Ilorin, Ilorin, Nigeria."/>
    <x v="1"/>
    <s v="08146200372"/>
    <s v="firstsitting"/>
    <x v="1"/>
    <x v="4"/>
    <s v="Ibadan"/>
    <s v="NGN"/>
    <n v="195000"/>
    <s v=""/>
    <n v="0"/>
    <s v=""/>
    <n v="0"/>
    <s v=""/>
    <s v="23933174WACP633779215"/>
  </r>
  <r>
    <n v="75"/>
    <n v="23953"/>
    <s v="dryung95@gmail.com"/>
    <s v="OLANIYAN Steve Tope-Femi"/>
    <s v="Hospital Close, Epe, Nigeria"/>
    <x v="1"/>
    <s v="London road, iragushi"/>
    <x v="1"/>
    <s v="07037479004"/>
    <s v="firstsitting"/>
    <x v="1"/>
    <x v="0"/>
    <s v="Abuja"/>
    <s v="NGN"/>
    <n v="195000"/>
    <s v=""/>
    <n v="0"/>
    <s v=""/>
    <n v="0"/>
    <s v=""/>
    <s v="23953175WACP791189217"/>
  </r>
  <r>
    <n v="76"/>
    <n v="8361"/>
    <s v="drifeomachukwu@gmail.com"/>
    <s v="IFEOMA ONYIA FELICIA"/>
    <s v="UNIVERSITY OF NIGERIA TEACHING HOSPITAL ITUKU-OZALLA PMB 01129, ENUGU"/>
    <x v="0"/>
    <s v="Enugu state university teaching hospital parklane Enugu "/>
    <x v="1"/>
    <n v="8036728058"/>
    <s v="dissertation"/>
    <x v="2"/>
    <x v="0"/>
    <s v="Abuja"/>
    <s v="NGN"/>
    <n v="812500"/>
    <s v=""/>
    <n v="0"/>
    <s v=""/>
    <n v="162500"/>
    <s v=""/>
    <s v="8361176WACP98356801"/>
  </r>
  <r>
    <n v="77"/>
    <n v="23098"/>
    <s v="stephenjeremiah262@gmail.com"/>
    <s v="JEREMIAH  Stephen  "/>
    <s v="Behind Kamara Foundation School Gombe Gombe State "/>
    <x v="1"/>
    <s v="Abubakar Tafawa Balewa University Teaching Hospital Bauchi State "/>
    <x v="1"/>
    <s v="08106278011"/>
    <s v="firstsitting"/>
    <x v="1"/>
    <x v="1"/>
    <s v="Abuja"/>
    <s v="NGN"/>
    <n v="195000"/>
    <s v=""/>
    <n v="0"/>
    <s v=""/>
    <n v="0"/>
    <s v=""/>
    <s v="23098177WACP208873620"/>
  </r>
  <r>
    <n v="78"/>
    <n v="22989"/>
    <s v="aishatukaumi05@gmail.com"/>
    <s v="MAINA Aisha Kaumi"/>
    <s v="No.2 Talba road, new GRA, Maiduguri Borno State"/>
    <x v="0"/>
    <s v="University of Maiduguri Teaching Hospital"/>
    <x v="1"/>
    <s v="09035734547"/>
    <s v="resitting"/>
    <x v="1"/>
    <x v="2"/>
    <s v="Abuja"/>
    <s v="NGN"/>
    <n v="195000"/>
    <s v=""/>
    <n v="0"/>
    <s v=""/>
    <n v="0"/>
    <s v=""/>
    <s v="22989178WACP519417785"/>
  </r>
  <r>
    <n v="79"/>
    <n v="23994"/>
    <s v="duduemmanuelruth@gmail.com"/>
    <s v="EMMANUEL Ruth Dudu"/>
    <s v="No. 2 Sultan Abubakar Road, Birnin Kebbi"/>
    <x v="0"/>
    <s v="Federal Teaching Hospital Birnin Kebbi, Kebbi State"/>
    <x v="1"/>
    <s v="09030333974"/>
    <s v="firstsitting"/>
    <x v="1"/>
    <x v="2"/>
    <s v="Abuja"/>
    <s v="NGN"/>
    <n v="195000"/>
    <s v=""/>
    <n v="0"/>
    <s v=""/>
    <n v="0"/>
    <s v=""/>
    <s v="23994179WACP145087513"/>
  </r>
  <r>
    <n v="80"/>
    <n v="22519"/>
    <s v="abusharon11@gmail.com"/>
    <s v="MOKAH Nkiru Sharon"/>
    <s v="3A Hassan Katsina Street, Army Estate,Kurudu, Abuja Kurudu "/>
    <x v="0"/>
    <s v="National Hospital "/>
    <x v="1"/>
    <s v="08067368148"/>
    <s v="resitting"/>
    <x v="0"/>
    <x v="3"/>
    <s v="Abuja"/>
    <s v="NGN"/>
    <n v="552500"/>
    <s v=""/>
    <n v="0"/>
    <s v=""/>
    <n v="0"/>
    <s v=""/>
    <s v="22519180WACP808862766"/>
  </r>
  <r>
    <n v="81"/>
    <n v="24172"/>
    <s v="aiwanfoosamede@gmail.com"/>
    <s v="AIWANFO LYNDA OSAMEDE"/>
    <s v="29, I.Z EBOSE STREET, OFF UPPER SAKPONBA ROAD, BENIN CITY, EDO STATE."/>
    <x v="0"/>
    <s v="CENTRAL HOSPITAL, BENIN CITY, EDO STATE, NIGERIA."/>
    <x v="1"/>
    <s v="08078324941"/>
    <s v="firstsitting"/>
    <x v="1"/>
    <x v="3"/>
    <s v="Abuja"/>
    <s v="NGN"/>
    <n v="195000"/>
    <s v=""/>
    <n v="0"/>
    <s v=""/>
    <n v="0"/>
    <s v=""/>
    <s v="24172181WACP709991799"/>
  </r>
  <r>
    <n v="82"/>
    <n v="24173"/>
    <s v="evangel.andy@gmail.com"/>
    <s v="OKOSUN Andy Irhabor"/>
    <s v="3 G.Okosun Avenue, Off Lucky Way, Ikpoba Hill, Benin City"/>
    <x v="1"/>
    <s v="General Hospital Jakusko"/>
    <x v="1"/>
    <s v="09069555465"/>
    <s v="firstsitting"/>
    <x v="1"/>
    <x v="1"/>
    <s v="Abuja"/>
    <s v="NGN"/>
    <n v="195000"/>
    <s v=""/>
    <n v="0"/>
    <s v=""/>
    <n v="0"/>
    <s v=""/>
    <s v="24173182WACP682884849"/>
  </r>
  <r>
    <n v="83"/>
    <n v="24127"/>
    <s v="adedejimichael103@gmail.com"/>
    <s v="ADEDEJI Michael Oluwaseyi"/>
    <s v="No 21/23 Unity Close ,Off Elerinko Ogo oluwa Gas Line, Ijoko Road ,Sango Ota ,Ogun State Nigeria"/>
    <x v="1"/>
    <s v="University of Benin, Benin City,Edo State, Nigeria"/>
    <x v="1"/>
    <n v="2348032560279"/>
    <s v="firstsitting"/>
    <x v="1"/>
    <x v="4"/>
    <s v="Ibadan"/>
    <s v="NGN"/>
    <n v="195000"/>
    <s v=""/>
    <n v="0"/>
    <s v=""/>
    <n v="0"/>
    <s v=""/>
    <s v="24127183WACP182902507"/>
  </r>
  <r>
    <n v="84"/>
    <n v="24151"/>
    <s v="chukwumachigbu@gmail.com"/>
    <s v="CHIGBU Chukwuma "/>
    <s v="Block 5, Efon street by Friday mosque maroko pw kubwa"/>
    <x v="1"/>
    <s v="Frsc medical center Gwarinpa Abuja"/>
    <x v="1"/>
    <s v="08037915798"/>
    <s v="resitting"/>
    <x v="1"/>
    <x v="3"/>
    <s v="Abuja"/>
    <s v="NGN"/>
    <n v="195000"/>
    <s v=""/>
    <n v="0"/>
    <s v=""/>
    <n v="0"/>
    <s v=""/>
    <s v="24151184WACP4099161"/>
  </r>
  <r>
    <n v="85"/>
    <n v="2907"/>
    <s v="maryambashir596@gmail.com"/>
    <s v="UMAR Maryam Bashir"/>
    <s v="Department of Child Health, Aminu kano teaching hospital. Kano state "/>
    <x v="0"/>
    <s v="Aminu Kano Teaching Hospital, Kano"/>
    <x v="1"/>
    <n v="2348167968389"/>
    <s v="firstsitting"/>
    <x v="2"/>
    <x v="3"/>
    <s v="Ibadan"/>
    <s v="NGN"/>
    <n v="812500"/>
    <s v=""/>
    <n v="0"/>
    <s v=""/>
    <n v="162500"/>
    <s v=""/>
    <s v="2907185WACP149919743"/>
  </r>
  <r>
    <n v="86"/>
    <n v="20793"/>
    <s v="oichoku@yahoo.com"/>
    <s v="ICHOKU Onyebuchi  Mathias"/>
    <s v="Late Chief Benneth Ichoku compound, Alaohia Isulo,Orumba South Local Government, Anambra State"/>
    <x v="1"/>
    <s v="COOUTH "/>
    <x v="1"/>
    <s v="08037046212"/>
    <s v="resitting"/>
    <x v="0"/>
    <x v="3"/>
    <s v="Abuja"/>
    <s v="USD"/>
    <s v=""/>
    <n v="425"/>
    <s v=""/>
    <n v="0"/>
    <s v=""/>
    <n v="0"/>
    <s v="20793186WACP747261142"/>
  </r>
  <r>
    <n v="87"/>
    <n v="24021"/>
    <s v="Hildaudohe@gmail.com"/>
    <s v="UDOH Hilda Edem"/>
    <s v="Nsadup close Garki Abuja"/>
    <x v="0"/>
    <s v="Madonna University Rivers state."/>
    <x v="1"/>
    <s v="07067659184"/>
    <s v="firstsitting"/>
    <x v="1"/>
    <x v="1"/>
    <s v="Abuja"/>
    <s v="NGN"/>
    <n v="195000"/>
    <s v=""/>
    <n v="0"/>
    <s v=""/>
    <n v="0"/>
    <s v=""/>
    <s v="24021187WACP999302558"/>
  </r>
  <r>
    <n v="88"/>
    <n v="24164"/>
    <s v="sukuniconn@gmail.com"/>
    <s v="YUSUF Abdulmalik Abubakar"/>
    <s v="No 119, Gwammaja Qtrs kofar Mazugal road, kano Nigeria"/>
    <x v="1"/>
    <s v="Muhammad Abdullahi Wase Teaching Hospital, Kano State Nigeria"/>
    <x v="1"/>
    <n v="2348109098679"/>
    <s v="firstsitting"/>
    <x v="1"/>
    <x v="3"/>
    <s v="Abuja"/>
    <s v="NGN"/>
    <n v="195000"/>
    <s v=""/>
    <n v="0"/>
    <s v=""/>
    <n v="0"/>
    <s v=""/>
    <s v="24164188WACP852298787"/>
  </r>
  <r>
    <n v="89"/>
    <n v="18493"/>
    <s v="jamesufomski@gmail.com"/>
    <s v="JAMES  Ufuoma Emmanuel"/>
    <s v="Akenfa 2 , Yenagoa"/>
    <x v="1"/>
    <s v="Niger Delta University"/>
    <x v="1"/>
    <s v="08134925206"/>
    <s v="resitting"/>
    <x v="0"/>
    <x v="1"/>
    <s v="Abuja"/>
    <s v="NGN"/>
    <n v="552500"/>
    <s v=""/>
    <n v="0"/>
    <s v=""/>
    <n v="0"/>
    <s v=""/>
    <s v="18493189WACP20331106"/>
  </r>
  <r>
    <n v="90"/>
    <n v="6991"/>
    <s v="adiibokajag@yahoo.com"/>
    <s v="AKANCHIIMANYORO John Gerald Adiiboka"/>
    <s v="TAMALE TEACHING HOSPITAL P.O.BOX 16, TAMALE GHANA"/>
    <x v="1"/>
    <s v="KORLE BU TEACHING HOSPITAL"/>
    <x v="2"/>
    <s v="242163766/0206920409"/>
    <s v="firstsitting"/>
    <x v="2"/>
    <x v="3"/>
    <s v="Ibadan"/>
    <s v="USD"/>
    <s v=""/>
    <n v="625"/>
    <s v=""/>
    <n v="0"/>
    <s v=""/>
    <n v="125"/>
    <s v="GHWACP183361957"/>
  </r>
  <r>
    <n v="91"/>
    <n v="24136"/>
    <s v="mahutafatima50@gmail.com"/>
    <s v="HUSSAIN Fatima Mahuta"/>
    <s v="No 11 bengahzi street wuse zone 4"/>
    <x v="0"/>
    <s v="Nile University"/>
    <x v="1"/>
    <s v="08064600433"/>
    <s v="firstsitting"/>
    <x v="1"/>
    <x v="3"/>
    <s v="Abuja"/>
    <s v="NGN"/>
    <n v="195000"/>
    <s v=""/>
    <n v="0"/>
    <s v=""/>
    <n v="0"/>
    <s v=""/>
    <s v="24136191WACP37216693"/>
  </r>
  <r>
    <n v="92"/>
    <n v="24095"/>
    <s v="adebisimargaret10@gmail.com"/>
    <s v="ADEBISI Margaret Olabisi"/>
    <s v="24 Barrister Raphael himikaye pipeline ilorin"/>
    <x v="0"/>
    <s v="Kwara state University teaching hospital"/>
    <x v="1"/>
    <s v="08023524513"/>
    <s v="firstsitting"/>
    <x v="1"/>
    <x v="0"/>
    <s v="Ibadan"/>
    <s v="NGN"/>
    <n v="195000"/>
    <s v=""/>
    <n v="0"/>
    <s v=""/>
    <n v="0"/>
    <s v=""/>
    <s v="24095192WACP721750551"/>
  </r>
  <r>
    <n v="93"/>
    <n v="371"/>
    <s v="ifioraarinze@gmail.com"/>
    <s v="IFIORA franklin arinze"/>
    <s v="Department of Population Health Nnamdi Azikiwe University Teaching Hospital Nnewi"/>
    <x v="1"/>
    <s v="NNAMDI AZIKIWE UNIVERSITY TEACHING HOSPITAL NNEWI"/>
    <x v="1"/>
    <s v="07065647462"/>
    <s v="passeddissert"/>
    <x v="2"/>
    <x v="1"/>
    <s v="Ibadan"/>
    <s v="NGN"/>
    <n v="812500"/>
    <s v=""/>
    <n v="0"/>
    <s v=""/>
    <n v="0"/>
    <s v=""/>
    <s v="371193WACP304923221"/>
  </r>
  <r>
    <n v="94"/>
    <n v="24186"/>
    <s v="narteybridget90.bn@gmail.com"/>
    <s v="NARTEY Bridget Naatekwour"/>
    <s v="1st Nana Kanfonik, Accra, Ghana"/>
    <x v="0"/>
    <s v="Rinat Clinic"/>
    <x v="2"/>
    <n v="233506389588"/>
    <s v="firstsitting"/>
    <x v="1"/>
    <x v="3"/>
    <s v="Accra"/>
    <s v="USD"/>
    <s v=""/>
    <n v="150"/>
    <s v=""/>
    <n v="0"/>
    <s v=""/>
    <n v="0"/>
    <s v="GHWACP942418655"/>
  </r>
  <r>
    <n v="95"/>
    <n v="18109"/>
    <s v="wisdomharry70@yahoo.com"/>
    <s v="HARRY Wisdom  Karibi"/>
    <s v="Department of Child Health, University of Port Harcourt Teaching Hospital"/>
    <x v="1"/>
    <s v="University of Port Harcourt Teaching Hospital, Port Harcourt"/>
    <x v="1"/>
    <s v="08063767452"/>
    <s v="resitting"/>
    <x v="0"/>
    <x v="3"/>
    <s v="Abuja"/>
    <s v="NGN"/>
    <n v="552500"/>
    <s v=""/>
    <n v="0"/>
    <s v=""/>
    <n v="0"/>
    <s v=""/>
    <s v="18109195WACP427968109"/>
  </r>
  <r>
    <n v="96"/>
    <n v="24073"/>
    <s v="nyiputwen@gmail.com"/>
    <s v="ANDEZE Nyiputwen Abel"/>
    <s v="Department of Population Health, Federal Medical Centre Jalingo"/>
    <x v="1"/>
    <s v="Federal Medical Centre Jalingo"/>
    <x v="1"/>
    <s v="08030825843"/>
    <s v="firstsitting"/>
    <x v="1"/>
    <x v="2"/>
    <s v="Abuja"/>
    <s v="NGN"/>
    <n v="195000"/>
    <s v=""/>
    <n v="0"/>
    <s v=""/>
    <n v="0"/>
    <s v=""/>
    <s v="24073196WACP269554076"/>
  </r>
  <r>
    <n v="97"/>
    <n v="7574"/>
    <s v="oliveronuche@gmail.com"/>
    <s v="OLIVER ONUCHE IGOCHE"/>
    <s v="Road 5,flat 2 haske quarters lamingo Jos North plateau state"/>
    <x v="1"/>
    <s v="Jos university teaching hospital "/>
    <x v="1"/>
    <s v="07062529381"/>
    <s v="firstsitting"/>
    <x v="2"/>
    <x v="3"/>
    <s v="Abuja"/>
    <s v="NGN"/>
    <n v="812500"/>
    <s v=""/>
    <n v="0"/>
    <s v=""/>
    <n v="162500"/>
    <s v=""/>
    <s v="7574197WACP449818191"/>
  </r>
  <r>
    <n v="98"/>
    <n v="1854"/>
    <s v="drnusiratyusuf@gmail.com"/>
    <s v="YUSUF Nusirat Oluwaseun-Ajibade"/>
    <s v="BARAU DIKKO TEACHING HOSPITAL, P. O. BOX, 9727 KADUNA"/>
    <x v="0"/>
    <s v="BARAU DIKKO TEACHING HOSPITAL, KADUNA"/>
    <x v="1"/>
    <s v="07060470964"/>
    <s v="resitting"/>
    <x v="0"/>
    <x v="3"/>
    <s v="Abuja"/>
    <s v="NGN"/>
    <n v="552500"/>
    <s v=""/>
    <n v="0"/>
    <s v=""/>
    <n v="0"/>
    <s v=""/>
    <s v="1854198WACP752221255"/>
  </r>
  <r>
    <n v="100"/>
    <n v="19009"/>
    <s v="www.drsniper@gmail.com"/>
    <s v="AJAYI Olawumi  ."/>
    <s v="dDOBs, Paediatric Department, Uth, Osogbo"/>
    <x v="1"/>
    <s v="Uniosun Teaching Hospital"/>
    <x v="1"/>
    <s v="09039658801"/>
    <s v="firstsitting"/>
    <x v="0"/>
    <x v="1"/>
    <s v="Ibadan"/>
    <s v="NGN"/>
    <n v="552500"/>
    <s v=""/>
    <n v="0"/>
    <s v=""/>
    <n v="0"/>
    <s v=""/>
    <s v="190091100WACP333560435"/>
  </r>
  <r>
    <n v="101"/>
    <n v="24148"/>
    <s v="onungwewuwu@gmail.com"/>
    <s v="ONUNGWE Onungwe Wuwu"/>
    <s v="Portharcourt, Rivers State"/>
    <x v="1"/>
    <s v="Tbilisi state medical university, Tbilisi Georgia"/>
    <x v="1"/>
    <s v="07061183989"/>
    <s v="firstsitting"/>
    <x v="1"/>
    <x v="4"/>
    <s v="Enugu"/>
    <s v="NGN"/>
    <n v="195000"/>
    <s v=""/>
    <n v="0"/>
    <s v=""/>
    <n v="0"/>
    <s v=""/>
    <s v="241481101WACP904458915"/>
  </r>
  <r>
    <n v="102"/>
    <n v="11657"/>
    <s v="josephgconteh@gmail.com"/>
    <s v="CONTEH Joseph  Gbassay "/>
    <s v="University of Sierra leone teaching hospital complex. Connaught hospital"/>
    <x v="1"/>
    <s v="University of SierraLeone Teaching Hospital Complex-Connaught "/>
    <x v="3"/>
    <n v="23278340386"/>
    <s v="resitting"/>
    <x v="0"/>
    <x v="3"/>
    <s v="Abuja"/>
    <s v="NGN"/>
    <n v="552500"/>
    <s v=""/>
    <n v="0"/>
    <s v=""/>
    <n v="0"/>
    <s v=""/>
    <s v="116571102WACP266920733"/>
  </r>
  <r>
    <n v="103"/>
    <n v="717"/>
    <s v="onajiokpejoseph@gmail.com"/>
    <s v="ONAJI Joseph Okpe"/>
    <s v="Block 10, Flat 2, Lapai Street, Area 1 Garki-Abuja, FCT"/>
    <x v="1"/>
    <s v="Ahmadu Bello University, Zaria"/>
    <x v="1"/>
    <n v="8036413865"/>
    <s v="firstsitting"/>
    <x v="0"/>
    <x v="0"/>
    <s v="Abuja"/>
    <s v="NGN"/>
    <n v="552500"/>
    <s v=""/>
    <n v="0"/>
    <s v=""/>
    <n v="0"/>
    <s v=""/>
    <s v="7171103WACP914492383"/>
  </r>
  <r>
    <n v="104"/>
    <n v="2684"/>
    <s v="mohdsesugh@yahoo.com"/>
    <s v="MOHAMMED Sesugh Samuel"/>
    <s v="MOQ Gen OA Azazi Barracks "/>
    <x v="1"/>
    <s v="University of Abuja Teaching Hospital"/>
    <x v="1"/>
    <s v="08171527854"/>
    <s v="passeddissert"/>
    <x v="2"/>
    <x v="3"/>
    <s v="Abuja"/>
    <s v="NGN"/>
    <n v="812500"/>
    <s v=""/>
    <n v="0"/>
    <s v=""/>
    <n v="0"/>
    <s v=""/>
    <s v="26841104WACP864310040"/>
  </r>
  <r>
    <n v="105"/>
    <n v="23964"/>
    <s v="gracenwatu@yahoo.com"/>
    <s v="NWATU Grace Ogechukwu"/>
    <s v="Enugu State University Teaching Hospital (ESUTH), Parklane"/>
    <x v="0"/>
    <s v="Enugu State University Teaching Hospital (ESUTH), Parklane"/>
    <x v="1"/>
    <n v="2348063369279"/>
    <s v="firstsitting"/>
    <x v="1"/>
    <x v="0"/>
    <s v="Enugu"/>
    <s v="NGN"/>
    <n v="195000"/>
    <s v=""/>
    <n v="0"/>
    <s v=""/>
    <n v="0"/>
    <s v=""/>
    <s v="239641105WACP564044722"/>
  </r>
  <r>
    <n v="106"/>
    <n v="24201"/>
    <s v="ayewahbenita93@gmail.com"/>
    <s v="Ayewah Ehiaghe Benita"/>
    <s v="No 19 Camo Avenue Emaudo Ekpoma Edo State Nigeria"/>
    <x v="0"/>
    <s v="Irrua Specialist teaching Hospital Edo state Nigeria"/>
    <x v="1"/>
    <s v="07043304322"/>
    <s v="firstsitting"/>
    <x v="1"/>
    <x v="4"/>
    <s v="Abuja"/>
    <s v="NGN"/>
    <n v="195000"/>
    <s v=""/>
    <n v="0"/>
    <s v=""/>
    <n v="0"/>
    <s v=""/>
    <s v="242011106WACP590194391"/>
  </r>
  <r>
    <n v="107"/>
    <n v="24108"/>
    <s v="farochuks@gmail.com"/>
    <s v="ARO Nwachukwu Frankline"/>
    <s v="Aro&amp;#039;s compound, umueze okwu, ogbalu, Imo State"/>
    <x v="1"/>
    <s v="GH, Mangu"/>
    <x v="1"/>
    <s v="07051089690"/>
    <s v="firstsitting"/>
    <x v="1"/>
    <x v="1"/>
    <s v="Abuja"/>
    <s v="NGN"/>
    <n v="195000"/>
    <s v=""/>
    <n v="0"/>
    <s v=""/>
    <n v="0"/>
    <s v=""/>
    <s v="241081107WACP303078084"/>
  </r>
  <r>
    <n v="108"/>
    <n v="20673"/>
    <s v="echukwuanyim@gmail.com"/>
    <s v="CHUKWUANYIM Ekwutosi Belinda"/>
    <s v="Plot 51 unity estate, Independence Layout, Enugu, Enugu State."/>
    <x v="0"/>
    <s v="Alex Ekwueme Federal University Teaching Hospital Abakaliki  (AE-FUTHA )"/>
    <x v="1"/>
    <s v="07036776466"/>
    <s v="resitting"/>
    <x v="0"/>
    <x v="0"/>
    <s v="Ibadan"/>
    <s v="NGN"/>
    <n v="552500"/>
    <s v=""/>
    <n v="110500"/>
    <s v=""/>
    <n v="0"/>
    <s v=""/>
    <s v="206731108WACP979465011"/>
  </r>
  <r>
    <n v="109"/>
    <n v="24170"/>
    <s v="willowymedic@gmail.com"/>
    <s v="ARIFAYAN  Oluwatosin "/>
    <s v="Ekiti state university teaching hospital,ado Ekiti. Ekiti State"/>
    <x v="0"/>
    <s v="Ekiti state university teaching hospital,ado Ekiti. Ekiti"/>
    <x v="1"/>
    <s v="08063687334"/>
    <s v="firstsitting"/>
    <x v="1"/>
    <x v="0"/>
    <s v="Ibadan"/>
    <s v="NGN"/>
    <n v="195000"/>
    <s v=""/>
    <n v="0"/>
    <s v=""/>
    <n v="0"/>
    <s v=""/>
    <s v="241701109WACP799630541"/>
  </r>
  <r>
    <n v="110"/>
    <n v="7798"/>
    <s v="oizahajara@yahoo.com"/>
    <s v="KURE  Hajara Ismaila"/>
    <s v="No1 Kunle Suleiman Street Lifecamp Abuja"/>
    <x v="0"/>
    <s v="National Hospital Abuja"/>
    <x v="1"/>
    <s v="08065896391"/>
    <s v="passeddissert"/>
    <x v="2"/>
    <x v="1"/>
    <s v="Abuja"/>
    <s v="NGN"/>
    <n v="812500"/>
    <s v=""/>
    <n v="0"/>
    <s v=""/>
    <n v="0"/>
    <s v=""/>
    <s v="77981110WACP520763146"/>
  </r>
  <r>
    <n v="111"/>
    <n v="24096"/>
    <s v="peacefulken96@gmail.com"/>
    <s v="Akanmu Peace Kehinde"/>
    <s v="No62, zone A, Kuduru extension, Bwari, Abuja"/>
    <x v="0"/>
    <s v="Nisa garki hospital Abuja"/>
    <x v="1"/>
    <n v="2348100565872"/>
    <s v="firstsitting"/>
    <x v="1"/>
    <x v="1"/>
    <s v="Abuja"/>
    <s v="NGN"/>
    <n v="195000"/>
    <s v=""/>
    <n v="0"/>
    <s v=""/>
    <n v="0"/>
    <s v=""/>
    <s v="240961111WACP642975978"/>
  </r>
  <r>
    <n v="112"/>
    <n v="24183"/>
    <s v="g4358780@gmail.com"/>
    <s v="ADEGOROYE adegboyega "/>
    <s v="Oda odo ogbe"/>
    <x v="1"/>
    <s v="Unimedth Ondo"/>
    <x v="1"/>
    <s v="08138186187"/>
    <s v="firstsitting"/>
    <x v="1"/>
    <x v="0"/>
    <s v="Ibadan"/>
    <s v="NGN"/>
    <n v="195000"/>
    <s v=""/>
    <n v="0"/>
    <s v=""/>
    <n v="0"/>
    <s v=""/>
    <s v="241831112WACP705228353"/>
  </r>
  <r>
    <n v="113"/>
    <n v="8540"/>
    <s v="nandombenjamin05@gmail.com"/>
    <s v="BENJAMIN Nandom  "/>
    <s v="Department of child health,University of Benin Teaching hospital Benin city,Edo state."/>
    <x v="1"/>
    <s v="Edo State"/>
    <x v="1"/>
    <n v="8039183131"/>
    <s v="passeddissert"/>
    <x v="2"/>
    <x v="1"/>
    <s v="Ibadan"/>
    <s v="NGN"/>
    <n v="812500"/>
    <s v=""/>
    <n v="0"/>
    <s v=""/>
    <n v="0"/>
    <s v=""/>
    <s v="85401113WACP828594933"/>
  </r>
  <r>
    <n v="114"/>
    <n v="24182"/>
    <s v="morbbyola@gmail.com"/>
    <s v="OLAPADE yewande omobola"/>
    <s v="Plot 1, Akinwumi street Ashi Ibadan oyo state"/>
    <x v="0"/>
    <s v="Kampala international university"/>
    <x v="1"/>
    <n v="2347015867853"/>
    <s v="firstsitting"/>
    <x v="1"/>
    <x v="2"/>
    <s v="Ibadan"/>
    <s v="NGN"/>
    <n v="195000"/>
    <s v=""/>
    <n v="0"/>
    <s v=""/>
    <n v="0"/>
    <s v=""/>
    <s v="241821114WACP17035828"/>
  </r>
  <r>
    <n v="115"/>
    <n v="24187"/>
    <s v="t_kutin@yahoo.com"/>
    <s v="KUTIN SIAW THEOPHILUS "/>
    <s v="fontomfrom street, Dansoman"/>
    <x v="1"/>
    <s v="KORLE BU TEACHING HOSPITAL"/>
    <x v="2"/>
    <s v="0541588246"/>
    <s v="firstsitting"/>
    <x v="1"/>
    <x v="3"/>
    <s v="Accra"/>
    <s v="USD"/>
    <s v=""/>
    <n v="150"/>
    <s v=""/>
    <n v="0"/>
    <s v=""/>
    <n v="0"/>
    <s v="241871115WACP996764341"/>
  </r>
  <r>
    <n v="116"/>
    <n v="5908"/>
    <s v="iboyitieimo@yahoo.com"/>
    <s v="IBOYITIE Imonivwerha  jasmine"/>
    <s v="No 1 Agbedia lane, Okirigwe Sapele Delta State"/>
    <x v="0"/>
    <s v="Delta State University Teaching Hospital Oghara"/>
    <x v="1"/>
    <n v="8064750946"/>
    <s v="dissertation"/>
    <x v="2"/>
    <x v="0"/>
    <s v="Ibadan"/>
    <s v="NGN"/>
    <n v="812500"/>
    <s v=""/>
    <n v="0"/>
    <s v=""/>
    <n v="162500"/>
    <s v=""/>
    <s v="59081116WACP44442215"/>
  </r>
  <r>
    <n v="117"/>
    <n v="24196"/>
    <s v="Fawazomohammed@gmail.com"/>
    <s v="Mohammed Fawaz "/>
    <s v="Flat 5, Block 1, Ijebu Ode close, Area 2, Garki, Abuja"/>
    <x v="1"/>
    <s v="Ahmadu Bello University Teaching Hospital"/>
    <x v="1"/>
    <s v="08037640872"/>
    <s v="firstsitting"/>
    <x v="1"/>
    <x v="3"/>
    <s v="Abuja"/>
    <s v="NGN"/>
    <n v="195000"/>
    <s v=""/>
    <n v="0"/>
    <s v=""/>
    <n v="0"/>
    <s v=""/>
    <s v="241961117WACP299032302"/>
  </r>
  <r>
    <n v="118"/>
    <n v="23524"/>
    <s v="ezemmaifunanya@gmail.com"/>
    <s v="EZEMMA  Ifunanya  Eberechukwu "/>
    <s v="No 6 Odoru opposite TTC Road Nsukka "/>
    <x v="0"/>
    <s v="Enugu state University college of medicine parklane "/>
    <x v="1"/>
    <s v="08066728665"/>
    <s v="resitting"/>
    <x v="1"/>
    <x v="3"/>
    <s v="Enugu"/>
    <s v="NGN"/>
    <n v="195000"/>
    <s v=""/>
    <n v="0"/>
    <s v=""/>
    <n v="0"/>
    <s v=""/>
    <s v="235241118WACP703274237"/>
  </r>
  <r>
    <n v="119"/>
    <n v="18909"/>
    <s v="nuamah36@gmail.com"/>
    <s v="NUAMAH Kwame Adjei"/>
    <n v="233207672994"/>
    <x v="1"/>
    <s v="37 Military Teaching Hospital "/>
    <x v="2"/>
    <n v="233246510024"/>
    <s v="resitting"/>
    <x v="0"/>
    <x v="3"/>
    <s v="Accra"/>
    <s v="USD"/>
    <s v=""/>
    <n v="425"/>
    <s v=""/>
    <n v="0"/>
    <s v=""/>
    <n v="0"/>
    <s v="GHWACP757246298"/>
  </r>
  <r>
    <n v="120"/>
    <n v="23995"/>
    <s v="loveamarchi65@gmail.com"/>
    <s v="CHINYERE Love Amarachi"/>
    <s v="Enugu state university teaching hospital, parklane"/>
    <x v="0"/>
    <s v="Enugu state university teaching hospital, parklane"/>
    <x v="1"/>
    <s v="07035493816"/>
    <s v="firstsitting"/>
    <x v="1"/>
    <x v="1"/>
    <s v="Enugu"/>
    <s v="NGN"/>
    <n v="195000"/>
    <s v=""/>
    <n v="0"/>
    <s v=""/>
    <n v="0"/>
    <s v=""/>
    <s v="239951120WACP359722231"/>
  </r>
  <r>
    <n v="121"/>
    <n v="20258"/>
    <s v="oluchilife@yahoo.com"/>
    <s v="IKE Oluchukwu  Mercy"/>
    <s v="No 40 Nawfia Street, Independence Layout, Enugu"/>
    <x v="0"/>
    <s v="University of Nigeria Teaching Hospital, Ituku-Ozalla, Enugu. "/>
    <x v="1"/>
    <s v="09139281612"/>
    <s v="firstsitting"/>
    <x v="0"/>
    <x v="2"/>
    <s v="Enugu"/>
    <s v="NGN"/>
    <n v="552500"/>
    <s v=""/>
    <n v="110500"/>
    <s v=""/>
    <n v="0"/>
    <s v=""/>
    <s v="202581121WACP240675958"/>
  </r>
  <r>
    <n v="122"/>
    <n v="24200"/>
    <s v="olajumokeafolabi2@yahoo.co.uk"/>
    <s v="MUHAMMED-BUKOYE Olajumoke Rasheedat"/>
    <s v="Plot 120 Justice Housing Estate, Karsana, Gwarinpa, FCT, Abuja"/>
    <x v="0"/>
    <s v="Asokoro District Hospital, FCT Hospitals Management Board,"/>
    <x v="1"/>
    <n v="2348023015246"/>
    <s v="firstsitting"/>
    <x v="1"/>
    <x v="1"/>
    <s v="Abuja"/>
    <s v="NGN"/>
    <n v="195000"/>
    <s v=""/>
    <n v="0"/>
    <s v=""/>
    <n v="0"/>
    <s v=""/>
    <s v="242001122WACP975424977"/>
  </r>
  <r>
    <n v="123"/>
    <n v="24084"/>
    <s v="fatywadasuleiman@gmail.com"/>
    <s v="WADA Fatima Muhammad"/>
    <s v="No 148B Efab Estate Lokogoma Abuja"/>
    <x v="0"/>
    <s v="International University Of Africa Sudan"/>
    <x v="1"/>
    <s v="09065541825"/>
    <s v="firstsitting"/>
    <x v="1"/>
    <x v="0"/>
    <s v="Abuja"/>
    <s v="NGN"/>
    <n v="195000"/>
    <s v=""/>
    <n v="0"/>
    <s v=""/>
    <n v="0"/>
    <s v=""/>
    <s v="240841123WACP255460468"/>
  </r>
  <r>
    <n v="124"/>
    <n v="24076"/>
    <s v="olutotan@gmail.com"/>
    <s v="SOBODE Oluwatotan Atanda"/>
    <s v="7, Adekunbi Crescent, Off Allen, Ikeja, Lagos, Nigeria"/>
    <x v="1"/>
    <s v="College of Medicine, University of Lagos"/>
    <x v="1"/>
    <s v="(234)7038542309"/>
    <s v="firstsitting"/>
    <x v="1"/>
    <x v="2"/>
    <s v="Ibadan"/>
    <s v="NGN"/>
    <n v="195000"/>
    <s v=""/>
    <n v="0"/>
    <s v=""/>
    <n v="0"/>
    <s v=""/>
    <s v="240761124WACP689418885"/>
  </r>
  <r>
    <n v="125"/>
    <n v="24198"/>
    <s v="ojima23@gmail.com"/>
    <s v="Abutu Ojima Sharon"/>
    <s v="Jerab Hospital,new Kutunku,Gwagwalada"/>
    <x v="0"/>
    <s v="Bingham University"/>
    <x v="1"/>
    <s v="07042698114"/>
    <s v="firstsitting"/>
    <x v="1"/>
    <x v="2"/>
    <s v="Abuja"/>
    <s v="NGN"/>
    <n v="195000"/>
    <s v=""/>
    <n v="0"/>
    <s v=""/>
    <n v="0"/>
    <s v=""/>
    <s v="241981125WACP959823215"/>
  </r>
  <r>
    <n v="126"/>
    <n v="24210"/>
    <s v="drjalo02@gmail.com"/>
    <s v="JALO Aisha "/>
    <s v="No 2 gombole street giwa barrack"/>
    <x v="0"/>
    <s v="Islamic University, Uganda"/>
    <x v="1"/>
    <s v="09130907740"/>
    <s v="firstsitting"/>
    <x v="1"/>
    <x v="2"/>
    <s v="Abuja"/>
    <s v="NGN"/>
    <n v="195000"/>
    <s v=""/>
    <n v="0"/>
    <s v=""/>
    <n v="0"/>
    <s v=""/>
    <s v="242101126WACP745093550"/>
  </r>
  <r>
    <n v="127"/>
    <n v="23184"/>
    <s v="gandu809@gmail.com"/>
    <s v="GANDU Alexander  James"/>
    <s v="KM11, Mistaali Zaria road Jos "/>
    <x v="1"/>
    <s v="JOS UNIVERSITY TEACHING HOSPITAL "/>
    <x v="1"/>
    <s v="08148157998"/>
    <s v="firstsitting"/>
    <x v="1"/>
    <x v="3"/>
    <s v="Abuja"/>
    <s v="NGN"/>
    <n v="195000"/>
    <s v=""/>
    <n v="0"/>
    <s v=""/>
    <n v="0"/>
    <s v=""/>
    <s v="231841127WACP696229202"/>
  </r>
  <r>
    <n v="128"/>
    <n v="24205"/>
    <s v="toriolani2@gmail.com"/>
    <s v="OLAOSEBIKAN Oluranti Mojisola"/>
    <s v="Federal University of Health Sciences Teaching Hospital Azare, Bauchi State."/>
    <x v="0"/>
    <s v="Federal University of Health Sciences Teaching Hospital, Azare, Bauchi State."/>
    <x v="1"/>
    <s v="07032137522"/>
    <s v="firstsitting"/>
    <x v="1"/>
    <x v="2"/>
    <s v="Abuja"/>
    <s v="NGN"/>
    <n v="195000"/>
    <s v=""/>
    <n v="0"/>
    <s v=""/>
    <n v="0"/>
    <s v=""/>
    <s v="242051128WACP937494329"/>
  </r>
  <r>
    <n v="129"/>
    <n v="24220"/>
    <s v="eaashiadey@gmail.com"/>
    <s v="Ashiadey Emefa Abena"/>
    <s v="West Legon, Accra"/>
    <x v="0"/>
    <s v="Accra Psychiatric Hospital"/>
    <x v="2"/>
    <s v="233 245141511"/>
    <s v="firstsitting"/>
    <x v="1"/>
    <x v="4"/>
    <s v="Accra"/>
    <s v="USD"/>
    <s v=""/>
    <n v="150"/>
    <s v=""/>
    <n v="0"/>
    <s v=""/>
    <n v="0"/>
    <s v="242201129WACP331298205"/>
  </r>
  <r>
    <n v="130"/>
    <n v="24062"/>
    <s v="lakesseh@gmail.com"/>
    <s v="AKESSEH lorenda armah"/>
    <s v="P.O.Box 318, Akosombo"/>
    <x v="0"/>
    <s v="Korle-bu Teaching Hospital"/>
    <x v="2"/>
    <s v="0506828512"/>
    <s v="firstsitting"/>
    <x v="1"/>
    <x v="2"/>
    <s v="Accra"/>
    <s v="USD"/>
    <s v=""/>
    <n v="150"/>
    <s v=""/>
    <n v="0"/>
    <s v=""/>
    <n v="0"/>
    <s v="GHWACP71678617"/>
  </r>
  <r>
    <n v="131"/>
    <n v="9697"/>
    <s v="btrixob@gmail.com"/>
    <s v="OBENG Beatrice Konama "/>
    <s v="Box KD 356, Kanda, Accra"/>
    <x v="0"/>
    <s v="Komfo Anokye Teaching Hospital"/>
    <x v="2"/>
    <s v="0205546011"/>
    <s v="resitting"/>
    <x v="0"/>
    <x v="3"/>
    <s v="Accra"/>
    <s v="USD"/>
    <s v=""/>
    <n v="425"/>
    <s v=""/>
    <n v="0"/>
    <s v=""/>
    <n v="0"/>
    <s v="GHWACP704177510"/>
  </r>
  <r>
    <n v="132"/>
    <n v="24124"/>
    <s v="dranibonifaceikechukwu@gmail.com"/>
    <s v="ANI BONIFACE IKECHUKWU"/>
    <s v="ESUT TEACHING HOSPITAL, PARKLANE ENUGU"/>
    <x v="1"/>
    <s v="COLLEGE OF MEDICINE / TEACHING HOSPITAL"/>
    <x v="1"/>
    <s v="08064410083"/>
    <s v="firstsitting"/>
    <x v="1"/>
    <x v="3"/>
    <s v="Enugu"/>
    <s v="NGN"/>
    <n v="195000"/>
    <s v=""/>
    <n v="0"/>
    <s v=""/>
    <n v="0"/>
    <s v=""/>
    <s v="241241132WACP589336791"/>
  </r>
  <r>
    <n v="133"/>
    <n v="24161"/>
    <s v="hauwakakaah@gmail.com"/>
    <s v="ABUBAKAR Hauwa Kaka"/>
    <s v="no 3 kalu idika kalu street guzape abuja"/>
    <x v="0"/>
    <s v="Kharkiv National Medical University"/>
    <x v="1"/>
    <n v="2348064869355"/>
    <s v="firstsitting"/>
    <x v="1"/>
    <x v="4"/>
    <s v="Abuja"/>
    <s v="NGN"/>
    <n v="195000"/>
    <s v=""/>
    <n v="0"/>
    <s v=""/>
    <n v="0"/>
    <s v=""/>
    <s v="241611133WACP573116450"/>
  </r>
  <r>
    <n v="134"/>
    <n v="4224"/>
    <s v="asagairene@gmail.com"/>
    <s v="ASAGA NWALI ugochi irene"/>
    <s v="Alex - Ekwueme Federal University Teaching Hospital Abakaliki, Ebonyi State. "/>
    <x v="0"/>
    <s v="Alex - Ekwueme Federal University Teaching Hospital Abakaliki, Ebonyi State."/>
    <x v="1"/>
    <n v="8036187844"/>
    <s v="firstsitting"/>
    <x v="2"/>
    <x v="2"/>
    <s v="Abuja"/>
    <s v="NGN"/>
    <n v="812500"/>
    <s v=""/>
    <n v="0"/>
    <s v=""/>
    <n v="162500"/>
    <s v=""/>
    <s v="42241134WACP180463378"/>
  </r>
  <r>
    <n v="135"/>
    <n v="24157"/>
    <s v="bbjunique@gmail.com"/>
    <s v="MUHAMMAD Hauwa Abubakar"/>
    <s v="No. 3 katsina close New GRA Bauchi, Bauchi State"/>
    <x v="0"/>
    <s v="Abubakar Tafawa Balewa university teaching Hospital"/>
    <x v="1"/>
    <s v="08162451141"/>
    <s v="firstsitting"/>
    <x v="1"/>
    <x v="0"/>
    <s v="Abuja"/>
    <s v="NGN"/>
    <n v="195000"/>
    <s v=""/>
    <n v="0"/>
    <s v=""/>
    <n v="0"/>
    <s v=""/>
    <s v="241571135WACP726762687"/>
  </r>
  <r>
    <n v="136"/>
    <n v="24176"/>
    <s v="twumasiankrahyaw@gmail.com"/>
    <s v="TWUMASI-ANKRAH Zakaria "/>
    <s v="Plt 3, AK-659-1598, Daban, Melkom Road, Kumasi, Ghana"/>
    <x v="1"/>
    <s v="AngloGold Ashanti Health Foundation, Obuasi"/>
    <x v="2"/>
    <n v="233553718291"/>
    <s v="firstsitting"/>
    <x v="1"/>
    <x v="0"/>
    <s v="Accra"/>
    <s v="USD"/>
    <s v=""/>
    <n v="150"/>
    <s v=""/>
    <n v="0"/>
    <s v=""/>
    <n v="0"/>
    <s v="GHWACP943896314"/>
  </r>
  <r>
    <n v="137"/>
    <n v="24199"/>
    <s v="ummiedaura@yahoo.com"/>
    <s v="DAURA Mardiyya Lawal"/>
    <s v="Crown court estate, mabushi, Abuja."/>
    <x v="0"/>
    <s v="Maitama District hospital"/>
    <x v="1"/>
    <s v="08139693316"/>
    <s v="firstsitting"/>
    <x v="1"/>
    <x v="3"/>
    <s v="Abuja"/>
    <s v="NGN"/>
    <n v="195000"/>
    <s v=""/>
    <n v="0"/>
    <s v=""/>
    <n v="0"/>
    <s v=""/>
    <s v="241991137WACP505088696"/>
  </r>
  <r>
    <n v="138"/>
    <n v="24053"/>
    <s v="michelleakor@gmail.com"/>
    <s v="AKOR Michelle Enuwa"/>
    <s v="K18 Gen Yakubu street Army housing estate phase 5, Kurudu, Abuja"/>
    <x v="0"/>
    <s v="Bingham University Karu, Nigeria"/>
    <x v="1"/>
    <s v="07057988693"/>
    <s v="firstsitting"/>
    <x v="1"/>
    <x v="0"/>
    <s v="Abuja"/>
    <s v="NGN"/>
    <n v="195000"/>
    <s v=""/>
    <n v="0"/>
    <s v=""/>
    <n v="0"/>
    <s v=""/>
    <s v="240531138WACP735243174"/>
  </r>
  <r>
    <n v="139"/>
    <n v="24168"/>
    <s v="oluwamula@gmail.com"/>
    <s v="JUNAID Anuoluwapo Fatimat"/>
    <s v="4 dominion close, glory estate, Ipaja, Lagos"/>
    <x v="0"/>
    <s v="Olabisi onabanjo university, Ogun state"/>
    <x v="1"/>
    <s v="07063971855"/>
    <s v="firstsitting"/>
    <x v="1"/>
    <x v="1"/>
    <s v="Ibadan"/>
    <s v="NGN"/>
    <n v="195000"/>
    <s v=""/>
    <n v="0"/>
    <s v=""/>
    <n v="0"/>
    <s v=""/>
    <s v="241681139WACP154305259"/>
  </r>
  <r>
    <n v="140"/>
    <n v="24219"/>
    <s v="mfon02@gmail.com"/>
    <s v="OKON-INYANG Mfonobong "/>
    <s v="Lugbe"/>
    <x v="0"/>
    <s v="wuse district hospital"/>
    <x v="1"/>
    <s v="08037863399"/>
    <s v="firstsitting"/>
    <x v="1"/>
    <x v="1"/>
    <s v="Abuja"/>
    <s v="NGN"/>
    <n v="195000"/>
    <s v=""/>
    <n v="0"/>
    <s v=""/>
    <n v="0"/>
    <s v=""/>
    <s v="242191140WACP824138133"/>
  </r>
  <r>
    <n v="141"/>
    <n v="18598"/>
    <s v="sheriffsualiho@gmail.com"/>
    <s v="SHERIFF Sualiho ."/>
    <s v="1 Rita Drive, Mount Sugarloaf, Regent, Freetown"/>
    <x v="1"/>
    <s v="College of medicine and Allied Health Sciences-University of Sierra Leone"/>
    <x v="3"/>
    <n v="23276384210"/>
    <s v="resitting"/>
    <x v="0"/>
    <x v="3"/>
    <s v="Abuja"/>
    <s v="NGN"/>
    <n v="552500"/>
    <s v=""/>
    <n v="0"/>
    <s v=""/>
    <n v="0"/>
    <s v=""/>
    <s v="185981141WACP944929661"/>
  </r>
  <r>
    <n v="142"/>
    <n v="24197"/>
    <s v="pkamgali@gmail.com"/>
    <s v="GALI Paul Mtaku"/>
    <s v="Pompomari, Askira Close"/>
    <x v="1"/>
    <s v="University of Maiduguri"/>
    <x v="1"/>
    <s v="09014358399"/>
    <s v="firstsitting"/>
    <x v="1"/>
    <x v="3"/>
    <s v="Abuja"/>
    <s v="NGN"/>
    <n v="195000"/>
    <s v=""/>
    <n v="0"/>
    <s v=""/>
    <n v="0"/>
    <s v=""/>
    <s v="241971142WACP5698964"/>
  </r>
  <r>
    <n v="143"/>
    <n v="11421"/>
    <s v="ikechukwuarinze90@gmail.com"/>
    <s v="ARINZE ikechukwu peter"/>
    <s v="PMB 2 GENERAL HOSPITAL MINNA NIGER STATE"/>
    <x v="1"/>
    <s v="UNIVERSITY OF ABUJA TEACHING HOSPITAL "/>
    <x v="1"/>
    <s v="08034317828"/>
    <s v="resitting"/>
    <x v="0"/>
    <x v="3"/>
    <s v="Abuja"/>
    <s v="NGN"/>
    <n v="552500"/>
    <s v=""/>
    <n v="0"/>
    <s v=""/>
    <n v="0"/>
    <s v=""/>
    <s v="114211143WACP890602780"/>
  </r>
  <r>
    <n v="144"/>
    <n v="6142"/>
    <s v="dapanisile@gmail.com"/>
    <s v="APANISILE Oluwadamilola Oluwaseyi Ruth"/>
    <s v="2,COKER CLOSE OFF BABS OGUNWOLE STREET,NEW OKO-OBA,AGEGE LAGOS"/>
    <x v="0"/>
    <s v="FEDERAL MEDICAL CENTRE, GUSAU"/>
    <x v="1"/>
    <n v="8034224578"/>
    <s v="firstsitting"/>
    <x v="1"/>
    <x v="1"/>
    <s v="Abuja"/>
    <s v="NGN"/>
    <n v="195000"/>
    <s v=""/>
    <n v="0"/>
    <s v=""/>
    <n v="0"/>
    <s v=""/>
    <s v="GHWACP784251584"/>
  </r>
  <r>
    <n v="145"/>
    <n v="23932"/>
    <s v="eduah40@yahoo.com"/>
    <s v="DUAH EMMANUEL "/>
    <s v="Plot 1 block Q Abuakwa"/>
    <x v="1"/>
    <s v="ASUTIFI NORTH DISTRICT HOSPITAL, AHAFO KENYASI"/>
    <x v="2"/>
    <s v="0555134288"/>
    <s v="firstsitting"/>
    <x v="1"/>
    <x v="2"/>
    <s v="Accra"/>
    <s v="USD"/>
    <s v=""/>
    <n v="150"/>
    <s v=""/>
    <n v="0"/>
    <s v=""/>
    <n v="0"/>
    <s v="GHWACP808203310"/>
  </r>
  <r>
    <n v="146"/>
    <n v="6483"/>
    <s v="lamidi346@gmail.com"/>
    <s v="LAMIDI Kehinde Hussein"/>
    <s v="Department of Medical Microbiology, AKTH, Kano"/>
    <x v="1"/>
    <s v="Akth "/>
    <x v="1"/>
    <n v="8056677789"/>
    <s v="firstsitting"/>
    <x v="2"/>
    <x v="0"/>
    <s v="Ibadan"/>
    <s v="NGN"/>
    <n v="812500"/>
    <s v=""/>
    <n v="110500"/>
    <s v=""/>
    <n v="162500"/>
    <s v=""/>
    <s v="64831146WACP829950153"/>
  </r>
  <r>
    <n v="147"/>
    <n v="24113"/>
    <s v="anubias43@gmail.com"/>
    <s v="DIKE Chinaza Kenneth"/>
    <s v="No. 7 Noble Crescent, Irete, Owerri West Lga, Imo state, Nigeria."/>
    <x v="1"/>
    <s v="Federal Teaching Hospital, Owerri."/>
    <x v="1"/>
    <s v="09032310232"/>
    <s v="firstsitting"/>
    <x v="1"/>
    <x v="3"/>
    <s v="Enugu"/>
    <s v="NGN"/>
    <n v="195000"/>
    <s v=""/>
    <n v="0"/>
    <s v=""/>
    <n v="0"/>
    <s v=""/>
    <s v="241131147WACP799616986"/>
  </r>
  <r>
    <n v="148"/>
    <n v="24227"/>
    <s v="eduammanuela.em@gmail.com"/>
    <s v="Eduam Manuela Abena"/>
    <s v="0505521399/0541603327"/>
    <x v="0"/>
    <s v="University of Ghana Medical Centre"/>
    <x v="2"/>
    <s v="0505521399/0541603327"/>
    <s v="firstsitting"/>
    <x v="1"/>
    <x v="0"/>
    <s v="Accra"/>
    <s v="USD"/>
    <s v=""/>
    <n v="150"/>
    <s v=""/>
    <n v="0"/>
    <s v=""/>
    <n v="0"/>
    <s v="GHWACP733723889"/>
  </r>
  <r>
    <n v="149"/>
    <n v="22400"/>
    <s v="estherowusunyarko@yahoo.com"/>
    <s v=" NYARKO Esther  OWUSU"/>
    <s v="P.O Box RY 176, Adum Kumasi "/>
    <x v="0"/>
    <s v="Komfo Anokye Teaching Hospital "/>
    <x v="2"/>
    <s v="0557724511"/>
    <s v="resitting"/>
    <x v="1"/>
    <x v="0"/>
    <s v="Accra"/>
    <s v="USD"/>
    <s v=""/>
    <n v="150"/>
    <s v=""/>
    <n v="0"/>
    <s v=""/>
    <n v="0"/>
    <s v="GHWACP791708328"/>
  </r>
  <r>
    <n v="150"/>
    <n v="18999"/>
    <s v="yusadey@gmail.com"/>
    <s v="ADEBAYO  YUSUFF  AKINTUNDE "/>
    <s v="No 13 oke Ayo Area Ido Osun, Osun State "/>
    <x v="1"/>
    <s v="Ladoke Akintola University of technology "/>
    <x v="1"/>
    <s v="07037244339"/>
    <s v="firstsitting"/>
    <x v="0"/>
    <x v="1"/>
    <s v="Ibadan"/>
    <s v="NGN"/>
    <n v="552500"/>
    <s v=""/>
    <n v="0"/>
    <s v=""/>
    <n v="0"/>
    <s v=""/>
    <s v="189991150WACP106204568"/>
  </r>
  <r>
    <n v="151"/>
    <n v="20361"/>
    <s v="rosechuksanexcels@gmail.com"/>
    <s v="OSSAI  ngozi rosemary "/>
    <s v="Asaba Specialist Hospital, Asaba "/>
    <x v="0"/>
    <s v="Asaba Specialist Hospital, Asaba"/>
    <x v="1"/>
    <s v="08065747410"/>
    <s v="firstsitting"/>
    <x v="0"/>
    <x v="1"/>
    <s v="Abuja"/>
    <s v="NGN"/>
    <n v="552500"/>
    <s v=""/>
    <n v="0"/>
    <s v=""/>
    <n v="0"/>
    <s v=""/>
    <s v="203611151WACP84531776"/>
  </r>
  <r>
    <n v="152"/>
    <n v="6371"/>
    <s v="Chipuruime@gmail.com"/>
    <s v="ONYEKACHI (nee Ehiriodo)  Chinenye  Ozioma"/>
    <s v="Department of Population Health FMC Umuahia, Abia State"/>
    <x v="0"/>
    <s v="Abia State University, Uturu"/>
    <x v="1"/>
    <n v="8030910862"/>
    <s v="resitting"/>
    <x v="0"/>
    <x v="1"/>
    <s v="Abuja"/>
    <s v="NGN"/>
    <n v="552500"/>
    <s v=""/>
    <n v="0"/>
    <s v=""/>
    <n v="0"/>
    <s v=""/>
    <s v="63711152WACP633424147"/>
  </r>
  <r>
    <n v="153"/>
    <n v="19231"/>
    <s v="abeldahunsi@yahoo.com"/>
    <s v="DAHUNSI  Abel Sunday"/>
    <s v="St. Gerard&amp;#039;s Quarter, Kakuri Kaduna "/>
    <x v="1"/>
    <s v="Jos"/>
    <x v="1"/>
    <s v="08036945628"/>
    <s v="resitting"/>
    <x v="1"/>
    <x v="0"/>
    <s v="Abuja"/>
    <s v="NGN"/>
    <n v="195000"/>
    <s v=""/>
    <n v="0"/>
    <s v=""/>
    <n v="0"/>
    <s v=""/>
    <s v="192311153WACP64150038"/>
  </r>
  <r>
    <n v="154"/>
    <n v="10704"/>
    <s v="dr.may673@gmail.com"/>
    <s v="Marian Okolo Isioma"/>
    <s v="Delsuth"/>
    <x v="0"/>
    <s v="Delsuth"/>
    <x v="1"/>
    <n v="7037280245"/>
    <s v="resitting"/>
    <x v="1"/>
    <x v="1"/>
    <s v="Enugu"/>
    <s v="NGN"/>
    <n v="195000"/>
    <s v=""/>
    <n v="0"/>
    <s v=""/>
    <n v="0"/>
    <s v=""/>
    <s v="107041154WACP976409282"/>
  </r>
  <r>
    <n v="155"/>
    <n v="24231"/>
    <s v="ujuumejiego@gmail.com"/>
    <s v="UMEJIEGO Obianuju  Jane "/>
    <s v="Harmony Estate Rumukwurushi"/>
    <x v="0"/>
    <s v="Imo State University "/>
    <x v="1"/>
    <s v="08038170055"/>
    <s v="firstsitting"/>
    <x v="1"/>
    <x v="0"/>
    <s v="Enugu"/>
    <s v="NGN"/>
    <n v="195000"/>
    <s v=""/>
    <n v="0"/>
    <s v=""/>
    <n v="0"/>
    <s v=""/>
    <s v="242311155WACP122094612"/>
  </r>
  <r>
    <n v="156"/>
    <n v="20603"/>
    <s v="aghasam2k@gmail.com"/>
    <s v="AGHA Samuel Ude"/>
    <s v="Department of Population Health, Alex Ekwueme Federal University Teaching Hospital, Abakaliki, Ebonyi State"/>
    <x v="1"/>
    <s v="Alex Ekwueme Federal University Teaching Hospital, Abakaliki, Ebonyi State"/>
    <x v="1"/>
    <s v="08035441858"/>
    <s v="firstsitting"/>
    <x v="2"/>
    <x v="1"/>
    <s v="Abuja"/>
    <s v="NGN"/>
    <n v="812500"/>
    <s v=""/>
    <n v="0"/>
    <s v=""/>
    <n v="162500"/>
    <s v=""/>
    <s v="206031156WACP115781766"/>
  </r>
  <r>
    <n v="157"/>
    <n v="5312"/>
    <s v="geogodz@hotmail.com"/>
    <s v="GODDARD george daniel"/>
    <s v="Banjul, The Gambia "/>
    <x v="1"/>
    <s v="Edward Francis Small Teaching Hospital"/>
    <x v="0"/>
    <s v="+220 3347575"/>
    <s v="resitting"/>
    <x v="0"/>
    <x v="3"/>
    <s v="Accra"/>
    <s v="NGN"/>
    <n v="552500"/>
    <s v=""/>
    <n v="0"/>
    <s v=""/>
    <n v="0"/>
    <s v=""/>
    <s v="53121157WACP477116559"/>
  </r>
  <r>
    <n v="158"/>
    <n v="394"/>
    <s v="Genesiskc97@gmail.com"/>
    <s v="MOKWE  Kenechukwu Chibuzo"/>
    <s v="University of Nigeria Teaching Hospital (UNTH) ituku ozalla. Enugu state"/>
    <x v="1"/>
    <s v="UNTH ituku Ozalla Enugu State"/>
    <x v="1"/>
    <s v="08166624700"/>
    <s v="firstsitting"/>
    <x v="2"/>
    <x v="0"/>
    <s v="Ibadan"/>
    <s v="NGN"/>
    <n v="812500"/>
    <s v=""/>
    <n v="0"/>
    <s v=""/>
    <n v="162500"/>
    <s v=""/>
    <s v="3941158WACP193259159"/>
  </r>
  <r>
    <n v="159"/>
    <n v="24236"/>
    <s v="uchececlia96@gmail.com"/>
    <s v="OBIDIWE Uchechukwu Perpetua"/>
    <s v="No 8A Iseke Street Akpaka GRA Phase 2 Onitsha"/>
    <x v="0"/>
    <s v="Chukwuemeka Odumegwu Ojukwu University College Of Medicine"/>
    <x v="1"/>
    <n v="2348065974875"/>
    <s v="firstsitting"/>
    <x v="1"/>
    <x v="1"/>
    <s v="Enugu"/>
    <s v="NGN"/>
    <n v="195000"/>
    <s v=""/>
    <n v="0"/>
    <s v=""/>
    <n v="0"/>
    <s v=""/>
    <s v="242361159WACP744094574"/>
  </r>
  <r>
    <n v="160"/>
    <n v="24167"/>
    <s v="sherrycuttie233@gmail.com"/>
    <s v="KARIM Sherifa "/>
    <s v="Aggrey Street, Achimota-Accra"/>
    <x v="0"/>
    <s v="Achimota Hospital"/>
    <x v="2"/>
    <s v="+233 594852210"/>
    <s v="firstsitting"/>
    <x v="1"/>
    <x v="2"/>
    <s v="Accra"/>
    <s v="USD"/>
    <s v=""/>
    <n v="150"/>
    <s v=""/>
    <n v="0"/>
    <s v=""/>
    <n v="0"/>
    <s v="GHWACP366915909"/>
  </r>
  <r>
    <n v="161"/>
    <n v="18126"/>
    <s v="trueuddan@gmail.com"/>
    <s v="PRINCEWILL Uduak Pryse"/>
    <s v="Department of Child Health, University of Port Harcourt Teaching Hospital"/>
    <x v="0"/>
    <s v="University of Port Harcourt Teaching Hospital, Port Harcourt"/>
    <x v="1"/>
    <s v="08064606300"/>
    <s v="resitting"/>
    <x v="0"/>
    <x v="3"/>
    <s v="Abuja"/>
    <s v="NGN"/>
    <n v="552500"/>
    <s v=""/>
    <n v="0"/>
    <s v=""/>
    <n v="0"/>
    <s v=""/>
    <s v="181261161WACP253466638"/>
  </r>
  <r>
    <n v="162"/>
    <n v="19410"/>
    <s v="ibrahimbalarabeyahaya@gmail.com"/>
    <s v="Yahaya Ibrahim Balarabe"/>
    <s v="No. 20 Doka road birnin Gwari, kaduna state"/>
    <x v="1"/>
    <s v="Federal Teaching Hospital,katsina"/>
    <x v="1"/>
    <s v="08032485455"/>
    <s v="firstsitting"/>
    <x v="0"/>
    <x v="3"/>
    <s v="Abuja"/>
    <s v="NGN"/>
    <n v="552500"/>
    <s v=""/>
    <n v="0"/>
    <s v=""/>
    <n v="0"/>
    <s v=""/>
    <s v="194101162WACP930593185"/>
  </r>
  <r>
    <n v="163"/>
    <n v="24143"/>
    <s v="dailmercy@gmail.com"/>
    <s v="AJIMOTOKAN Oluwafemi Isaiah"/>
    <s v="IJ 190,Ijagun, Ijebu-ode, Ogun State"/>
    <x v="1"/>
    <s v="Olabisi Onabanjo University Teaching Hospital"/>
    <x v="1"/>
    <n v="2348039613187"/>
    <s v="firstsitting"/>
    <x v="1"/>
    <x v="3"/>
    <s v="Enugu"/>
    <s v="NGN"/>
    <n v="195000"/>
    <s v=""/>
    <n v="0"/>
    <s v=""/>
    <n v="0"/>
    <s v=""/>
    <s v="241431163WACP923615606"/>
  </r>
  <r>
    <n v="164"/>
    <n v="19498"/>
    <s v="emmabritain4u@gmail.com"/>
    <s v="UWA-ABUIKE Princess Munachi"/>
    <s v="BARR. UWA-ABUIKE&amp;#039;S COMPOUND, UMUEZIKE VILLAGE, AWO-OMAMMA, IMO STATE, NIGERIA."/>
    <x v="0"/>
    <s v="The Children Hospital, Nnewi, Anambra State, Nigeria."/>
    <x v="1"/>
    <s v="08103666525"/>
    <s v="resitting"/>
    <x v="1"/>
    <x v="1"/>
    <s v="Enugu"/>
    <s v="NGN"/>
    <n v="195000"/>
    <s v=""/>
    <n v="0"/>
    <s v=""/>
    <n v="0"/>
    <s v=""/>
    <s v="194981164WACP614163792"/>
  </r>
  <r>
    <n v="165"/>
    <n v="8124"/>
    <s v="buchikb123@yahoo.com"/>
    <s v="OJUKWU Juliet  Onyebuchi "/>
    <s v="Department of Clinical Medicine, Nnamdi Azikiwe University teaching hospital, Nnewi Anambra state."/>
    <x v="0"/>
    <s v="Nnamdi Azikiwe University Teaching Hospital Nnewi Anambra State "/>
    <x v="1"/>
    <n v="8033969831"/>
    <s v="casebook"/>
    <x v="2"/>
    <x v="0"/>
    <s v="Abuja"/>
    <s v="NGN"/>
    <n v="812500"/>
    <s v=""/>
    <n v="0"/>
    <s v=""/>
    <n v="162500"/>
    <s v=""/>
    <s v="81241165WACP220405546"/>
  </r>
  <r>
    <n v="166"/>
    <n v="5835"/>
    <s v="aminushinkafi203@gmail.com"/>
    <s v="LAWAL aminu muhammad"/>
    <s v="Federal Medical Center, Gusau, Zamfara State"/>
    <x v="1"/>
    <s v="Federal medical centre Gusau, Zamfara state "/>
    <x v="1"/>
    <s v="08147250203"/>
    <s v="firstsitting"/>
    <x v="2"/>
    <x v="0"/>
    <s v="Abuja"/>
    <s v="NGN"/>
    <n v="812500"/>
    <s v=""/>
    <n v="0"/>
    <s v=""/>
    <n v="162500"/>
    <s v=""/>
    <s v="58351166WACP966264623"/>
  </r>
  <r>
    <n v="167"/>
    <n v="19271"/>
    <s v="ebsonbah@gmail.com"/>
    <s v="BAH Ebrima "/>
    <s v="Edward Francis small teaching hospital,Child Health department  Banjul"/>
    <x v="1"/>
    <s v="Edward Francis small teaching hospital, Banjul."/>
    <x v="0"/>
    <n v="2203627407"/>
    <s v="resitting"/>
    <x v="0"/>
    <x v="3"/>
    <s v="Accra"/>
    <s v="NGN"/>
    <n v="552500"/>
    <s v=""/>
    <n v="0"/>
    <s v=""/>
    <n v="0"/>
    <s v=""/>
    <s v="192711167WACP472350415"/>
  </r>
  <r>
    <n v="168"/>
    <n v="17014"/>
    <s v="njtijani@yahoo.com"/>
    <s v="TIJANI Najeemdeen "/>
    <s v="Dept. of Clinical Medicine, Federal Medical Centre Gusau, Zamfara State"/>
    <x v="1"/>
    <s v="Federal Medical Centre Gusau, Zamfara state."/>
    <x v="1"/>
    <n v="8054461110"/>
    <s v="firstsitting"/>
    <x v="2"/>
    <x v="0"/>
    <s v="Abuja"/>
    <s v="NGN"/>
    <n v="812500"/>
    <s v=""/>
    <n v="0"/>
    <s v=""/>
    <n v="162500"/>
    <s v=""/>
    <s v="170141168WACP804047874"/>
  </r>
  <r>
    <n v="169"/>
    <n v="2897"/>
    <s v="tkelvindr@gmail.com"/>
    <s v="Kelvin THOMAS "/>
    <s v="Banjul, the Gambia"/>
    <x v="1"/>
    <s v="Edward Francis Small Teaching Hospital"/>
    <x v="0"/>
    <n v="2207178515"/>
    <s v="resitting"/>
    <x v="0"/>
    <x v="3"/>
    <s v="Accra"/>
    <s v="NGN"/>
    <n v="552500"/>
    <s v=""/>
    <n v="0"/>
    <s v=""/>
    <n v="0"/>
    <s v=""/>
    <s v="28971169WACP255429192"/>
  </r>
  <r>
    <n v="170"/>
    <n v="20917"/>
    <s v="vivianosiruemu@gmail.com"/>
    <s v="OSIRUEMU Vivian  Omamomo"/>
    <s v="1, JESUS CHRIST WAY, IGUE-IHEYA, BENIN CITY, EDO STATE. "/>
    <x v="0"/>
    <s v="DELTA STATE UNIVERSITY TEACHING HOSPITAL, OGHARA, DELTA STATE."/>
    <x v="1"/>
    <s v="08126083459"/>
    <s v="resitting"/>
    <x v="0"/>
    <x v="2"/>
    <s v="Ibadan"/>
    <s v="NGN"/>
    <n v="552500"/>
    <s v=""/>
    <n v="110500"/>
    <s v=""/>
    <n v="0"/>
    <s v=""/>
    <s v="209171170WACP198264498"/>
  </r>
  <r>
    <n v="171"/>
    <n v="19837"/>
    <s v="victor.ojeh1@gmail.com"/>
    <s v="OJEH chukwuebuka victor "/>
    <s v="No 4 Pastor Street, Asaba, Delta State"/>
    <x v="1"/>
    <s v="Nnamdi Azikiwe University Teaching Hospital"/>
    <x v="1"/>
    <s v="07038464267"/>
    <s v="resitting"/>
    <x v="1"/>
    <x v="2"/>
    <s v="Enugu"/>
    <s v="NGN"/>
    <n v="195000"/>
    <s v=""/>
    <n v="0"/>
    <s v=""/>
    <n v="0"/>
    <s v=""/>
    <s v="198371171WACP586700803"/>
  </r>
  <r>
    <n v="172"/>
    <n v="24248"/>
    <s v="cjokise@gmail.com"/>
    <s v="OKISE Chukwuamaka Jeneffer"/>
    <s v="1, Ifelodun Street, Coker, Orile, Surulere, Lagos."/>
    <x v="0"/>
    <s v="University College Hospital, Ibadan"/>
    <x v="1"/>
    <s v="08093291950"/>
    <s v="firstsitting"/>
    <x v="1"/>
    <x v="0"/>
    <s v="Ibadan"/>
    <s v="NGN"/>
    <n v="195000"/>
    <s v=""/>
    <n v="0"/>
    <s v=""/>
    <n v="0"/>
    <s v=""/>
    <s v="242481172WACP897832811"/>
  </r>
  <r>
    <n v="173"/>
    <n v="20704"/>
    <s v="amandawogu@gmail.com"/>
    <s v="WOGU Chidinma "/>
    <s v="Umuafara Okpuumuobo Abayi Aba, Abia State"/>
    <x v="0"/>
    <s v="Abia State University, Uturu"/>
    <x v="1"/>
    <s v="07037564031"/>
    <s v="firstsitting"/>
    <x v="0"/>
    <x v="2"/>
    <s v="Enugu"/>
    <s v="NGN"/>
    <n v="552500"/>
    <s v=""/>
    <n v="110500"/>
    <s v=""/>
    <n v="0"/>
    <s v=""/>
    <s v="207041173WACP51194788"/>
  </r>
  <r>
    <n v="174"/>
    <n v="23490"/>
    <s v="ummieyelwa@gmail.com"/>
    <s v="YELWA Aisha  Abdulmumini "/>
    <s v="No. 334 Abdulmumini Yelwa Street Off Atiku Abubakar Road Gandun Albasa Quarters Kano.  "/>
    <x v="0"/>
    <s v="Khalifa Sheikh Isyaka Rabiu Pediatric Hospital Zoo Road Kano "/>
    <x v="1"/>
    <s v="07069178262"/>
    <s v="firstsitting"/>
    <x v="1"/>
    <x v="1"/>
    <s v="Abuja"/>
    <s v="NGN"/>
    <n v="195000"/>
    <s v=""/>
    <n v="0"/>
    <s v=""/>
    <n v="0"/>
    <s v=""/>
    <s v="234901174WACP875822983"/>
  </r>
  <r>
    <n v="175"/>
    <n v="9538"/>
    <s v="jusumattia@yahoo.com"/>
    <s v="MATTIA  Jusu "/>
    <s v="Sierra Leone Psychiatric Teaching Hospital, Kissy, Freetown, Sierra Leone."/>
    <x v="1"/>
    <s v="WACP Sierra Leone Chapter"/>
    <x v="3"/>
    <n v="23230726129"/>
    <s v="resitting"/>
    <x v="0"/>
    <x v="4"/>
    <s v="Accra"/>
    <s v="USD"/>
    <s v=""/>
    <n v="425"/>
    <s v=""/>
    <n v="0"/>
    <s v=""/>
    <n v="0"/>
    <s v="95381175WACP219182502"/>
  </r>
  <r>
    <n v="176"/>
    <n v="6194"/>
    <s v="agboolashehu5@gmail.com"/>
    <s v="AGBOOLA Shehu Lolade"/>
    <s v="Block 168 flat 2 LSDPC Iba estate Ojo Lagos"/>
    <x v="1"/>
    <s v="Massey Street Children Hospital "/>
    <x v="1"/>
    <n v="8024531062"/>
    <s v="resitting"/>
    <x v="0"/>
    <x v="1"/>
    <s v="Ibadan"/>
    <s v="NGN"/>
    <n v="552500"/>
    <s v=""/>
    <n v="0"/>
    <s v=""/>
    <n v="0"/>
    <s v=""/>
    <s v="61941176WACP232202034"/>
  </r>
  <r>
    <n v="177"/>
    <n v="19195"/>
    <s v="shuaibabdulrahman1995@gmail.com"/>
    <s v="SHUAIB Abdulrahman Kayode"/>
    <s v="24 Araromi Zone D, Gaa Akanbi Ilorin"/>
    <x v="1"/>
    <s v="University of Ilorin"/>
    <x v="1"/>
    <s v="08176907402"/>
    <s v="firstsitting"/>
    <x v="0"/>
    <x v="3"/>
    <s v="Ibadan"/>
    <s v="NGN"/>
    <n v="552500"/>
    <s v=""/>
    <n v="0"/>
    <s v=""/>
    <n v="0"/>
    <s v=""/>
    <s v="191951177WACP513529181"/>
  </r>
  <r>
    <n v="178"/>
    <n v="1005"/>
    <s v="sledgehamdoc@gmail.com"/>
    <s v="NNAKWE  Obinna Paschal"/>
    <s v="Nnamdi Azikiwe University Teaching Hospital PMB 5025 Nnewi,Anambra State"/>
    <x v="1"/>
    <s v="NAUTH,NNEWI"/>
    <x v="1"/>
    <s v="08036680315"/>
    <s v="casebook"/>
    <x v="2"/>
    <x v="0"/>
    <s v="Abuja"/>
    <s v="NGN"/>
    <n v="812500"/>
    <s v=""/>
    <n v="0"/>
    <s v=""/>
    <n v="162500"/>
    <s v=""/>
    <s v="10051178WACP810872779"/>
  </r>
  <r>
    <n v="179"/>
    <n v="24246"/>
    <s v="allejoy299@gmail.com"/>
    <s v="Ogide Joy Olubunmi"/>
    <s v="Delsuth, Oghara."/>
    <x v="0"/>
    <s v="Delta State University Teaching Hospital, Oghara"/>
    <x v="1"/>
    <s v="08068512299"/>
    <s v="firstsitting"/>
    <x v="1"/>
    <x v="1"/>
    <s v="Ibadan"/>
    <s v="NGN"/>
    <n v="195000"/>
    <s v=""/>
    <n v="0"/>
    <s v=""/>
    <n v="0"/>
    <s v=""/>
    <s v="242461179WACP43095776"/>
  </r>
  <r>
    <n v="180"/>
    <n v="19936"/>
    <s v="lisa4realluv05@yahoo.com"/>
    <s v="AZUBUIKE  Amarachi  Ukwen"/>
    <s v="18b prince Bode Oluwo street Mende Maryland "/>
    <x v="0"/>
    <s v="Lagos State University Teaching Hospital Ikeja"/>
    <x v="1"/>
    <n v="2348063200570"/>
    <s v="firstsitting"/>
    <x v="0"/>
    <x v="3"/>
    <s v="Ibadan"/>
    <s v="NGN"/>
    <n v="552500"/>
    <s v=""/>
    <n v="0"/>
    <s v=""/>
    <n v="0"/>
    <s v=""/>
    <s v="199361180WACP423470705"/>
  </r>
  <r>
    <n v="181"/>
    <n v="24224"/>
    <s v="realzidy@gmail.com"/>
    <s v="ONWUNEME Eziada Hilda"/>
    <s v="Nigeria"/>
    <x v="0"/>
    <s v="Madonna university teaching Hospital Elele"/>
    <x v="1"/>
    <s v="08109003826"/>
    <s v="firstsitting"/>
    <x v="1"/>
    <x v="3"/>
    <s v="Ibadan"/>
    <s v="NGN"/>
    <n v="195000"/>
    <s v=""/>
    <n v="0"/>
    <s v=""/>
    <n v="0"/>
    <s v=""/>
    <s v="242241181WACP315510695"/>
  </r>
  <r>
    <n v="182"/>
    <n v="24194"/>
    <s v="abdullahisafiyya25@gmail.com"/>
    <s v="ABDULLAHI Safiyya Shagali"/>
    <s v="No.137 Sapele street Sabon Gari Kaduna State"/>
    <x v="0"/>
    <s v="Ahmadu Bello University Teaching Hospital"/>
    <x v="1"/>
    <s v="08034293731"/>
    <s v="firstsitting"/>
    <x v="1"/>
    <x v="3"/>
    <s v="Abuja"/>
    <s v="NGN"/>
    <n v="195000"/>
    <s v=""/>
    <n v="0"/>
    <s v=""/>
    <n v="0"/>
    <s v=""/>
    <s v="241941182WACP1265554"/>
  </r>
  <r>
    <n v="183"/>
    <n v="24218"/>
    <s v="aishabalaumar@yahoo.co.uk"/>
    <s v="UMAR Aisha Bala"/>
    <s v="No 22 Ahmad Dako street , Farm Centre,  Tarauni"/>
    <x v="0"/>
    <s v="Bayero University Kano"/>
    <x v="1"/>
    <s v="08067414270"/>
    <s v="firstsitting"/>
    <x v="1"/>
    <x v="0"/>
    <s v="Abuja"/>
    <s v="NGN"/>
    <n v="195000"/>
    <s v=""/>
    <n v="0"/>
    <s v=""/>
    <n v="0"/>
    <s v=""/>
    <s v="242181183WACP434863329"/>
  </r>
  <r>
    <n v="184"/>
    <n v="20068"/>
    <s v="iwuanyanwuchinemerem@gmail.com"/>
    <s v="IWUANYANWU  chinemerem colette"/>
    <s v="Plot177,areaL,nice avenue world bank housing estate owerri,imo state"/>
    <x v="0"/>
    <s v="Federal University teaching hospital owerri"/>
    <x v="1"/>
    <s v="08108312593"/>
    <s v="resitting"/>
    <x v="0"/>
    <x v="1"/>
    <s v="Abuja"/>
    <s v="NGN"/>
    <n v="552500"/>
    <s v=""/>
    <n v="0"/>
    <s v=""/>
    <n v="0"/>
    <s v=""/>
    <s v="200681184WACP290443494"/>
  </r>
  <r>
    <n v="185"/>
    <n v="6542"/>
    <s v="stanleyanyigor@gmail.com"/>
    <s v="NKECHI ANYIGOR JESSICA"/>
    <s v="ALEX EKWUEME FEDERAL UNIVERSITY TEACHING HOSPITAL, ABAKALIKI, EBONYI STATE"/>
    <x v="0"/>
    <s v="ALEX EKWUEME FEDERAL UNIVERSITY TEACHING HOSPITAL, ABAKALIKI, EBONYI STATE"/>
    <x v="1"/>
    <s v="08032258219"/>
    <s v="firstsitting"/>
    <x v="2"/>
    <x v="1"/>
    <s v="Abuja"/>
    <s v="NGN"/>
    <n v="812500"/>
    <s v=""/>
    <n v="0"/>
    <s v=""/>
    <n v="162500"/>
    <s v=""/>
    <s v="65421185WACP453518152"/>
  </r>
  <r>
    <n v="186"/>
    <n v="24044"/>
    <s v="abdulaiabdulwaris90@gmail.com"/>
    <s v="ABDULAI Abdul Waris "/>
    <s v="DK 103_ KUMBIEHI"/>
    <x v="1"/>
    <s v="Salaga Municipal hospital Savannah region Ghana"/>
    <x v="2"/>
    <s v="0205669976"/>
    <s v="firstsitting"/>
    <x v="1"/>
    <x v="0"/>
    <s v="Accra"/>
    <s v="USD"/>
    <s v=""/>
    <n v="150"/>
    <s v=""/>
    <n v="0"/>
    <s v=""/>
    <n v="0"/>
    <s v="GHWACP243691054"/>
  </r>
  <r>
    <n v="187"/>
    <n v="24258"/>
    <s v="okeke.chijioke@yahoo.com"/>
    <s v="OKEKE Chijioke Mmadueke"/>
    <s v="Department of Clinical Medicine, Nnamdi Azikiwe University Teaching Hospital Nnewi, Anambra"/>
    <x v="1"/>
    <s v="Department of Clinical Medicine, Nnamdi Azikiwe University Teaching Hospital Nnewi, Anambra"/>
    <x v="1"/>
    <n v="2348030465528"/>
    <s v="firstsitting"/>
    <x v="1"/>
    <x v="0"/>
    <s v="Enugu"/>
    <s v="NGN"/>
    <n v="195000"/>
    <s v=""/>
    <n v="0"/>
    <s v=""/>
    <n v="0"/>
    <s v=""/>
    <s v="242581187WACP421989850"/>
  </r>
  <r>
    <n v="188"/>
    <n v="3786"/>
    <s v="bouqiyousouph@yahoo.com"/>
    <s v="RUFAI Adebukunola Aminat"/>
    <s v=" Massey street children Hospital"/>
    <x v="0"/>
    <s v=" Massey Street Children Hospital"/>
    <x v="1"/>
    <s v="08029317313"/>
    <s v="firstsitting"/>
    <x v="2"/>
    <x v="1"/>
    <s v="Ibadan"/>
    <s v="NGN"/>
    <n v="812500"/>
    <s v=""/>
    <n v="0"/>
    <s v=""/>
    <n v="162500"/>
    <s v=""/>
    <s v="37861188WACP103110499"/>
  </r>
  <r>
    <n v="189"/>
    <n v="18738"/>
    <s v="clevergib@gmail.com"/>
    <s v="UDO Edikan  David"/>
    <s v="Plot 5, Town Planning Layout, GRA, Ikot Ekpene, Akwa Ibom State."/>
    <x v="1"/>
    <s v="Delta State University Teaching Hospital, Oghara."/>
    <x v="1"/>
    <s v="08066557723"/>
    <s v="firstsitting"/>
    <x v="1"/>
    <x v="1"/>
    <s v="Enugu"/>
    <s v="NGN"/>
    <n v="195000"/>
    <s v=""/>
    <n v="0"/>
    <s v=""/>
    <n v="0"/>
    <s v=""/>
    <s v="187381189WACP391928184"/>
  </r>
  <r>
    <n v="190"/>
    <n v="24020"/>
    <s v="musamatthew1034@gmail.com"/>
    <s v="MATHEW Musa Bafeshi"/>
    <s v="23A Ahmad Makarfi Road, Kabama Layout Zaria - Kaduna state, Nigeria "/>
    <x v="1"/>
    <s v="Ahmadu Bello University Teaching Hospital"/>
    <x v="1"/>
    <s v="08138439006"/>
    <s v="firstsitting"/>
    <x v="1"/>
    <x v="4"/>
    <s v="Abuja"/>
    <s v="NGN"/>
    <n v="195000"/>
    <s v=""/>
    <n v="0"/>
    <s v=""/>
    <n v="0"/>
    <s v=""/>
    <s v="240201190WACP290644403"/>
  </r>
  <r>
    <n v="191"/>
    <n v="24097"/>
    <s v="fatimaalmustapha723@gmail.com"/>
    <s v="ALMUSTAPHA Fatima "/>
    <s v="Flat 3, P Jacob block, NAF valley estate, Asokoro, Abuja"/>
    <x v="0"/>
    <s v="Army Command and NAOWA Hospital, Abuja"/>
    <x v="1"/>
    <s v="08065543453"/>
    <s v="firstsitting"/>
    <x v="1"/>
    <x v="3"/>
    <s v="Abuja"/>
    <s v="NGN"/>
    <n v="195000"/>
    <s v=""/>
    <n v="0"/>
    <s v=""/>
    <n v="0"/>
    <s v=""/>
    <s v="240971191WACP167844252"/>
  </r>
  <r>
    <n v="192"/>
    <n v="24247"/>
    <s v="wilsel2006@gmail.com"/>
    <s v="GOBAH Wilson Selorm"/>
    <s v="Korle-Bu Polyclinic"/>
    <x v="1"/>
    <s v="KBTH Polyclinic/Clinical Medicine"/>
    <x v="2"/>
    <s v="0548231045"/>
    <s v="firstsitting"/>
    <x v="1"/>
    <x v="0"/>
    <s v="Accra"/>
    <s v="USD"/>
    <s v=""/>
    <n v="150"/>
    <s v=""/>
    <n v="0"/>
    <s v=""/>
    <n v="0"/>
    <s v="GHWACP962650823"/>
  </r>
  <r>
    <n v="193"/>
    <n v="24207"/>
    <s v="peacerims91@gmail.com"/>
    <s v="EMMANUEL Peace Rims"/>
    <s v="Area 1 Garki Abuja"/>
    <x v="0"/>
    <s v="Bingham university"/>
    <x v="1"/>
    <s v="07034783663"/>
    <s v="firstsitting"/>
    <x v="1"/>
    <x v="1"/>
    <s v="Abuja"/>
    <s v="NGN"/>
    <n v="195000"/>
    <s v=""/>
    <n v="0"/>
    <s v=""/>
    <n v="0"/>
    <s v=""/>
    <s v="242071193WACP531128367"/>
  </r>
  <r>
    <n v="194"/>
    <n v="24050"/>
    <s v="temitopeoluwabukola771@gmail.com"/>
    <s v="AYEMORO Temitope "/>
    <s v="Number 3 Ifesowapo street Igbokoda Ondo State"/>
    <x v="0"/>
    <s v="Edo State University Iyamho"/>
    <x v="1"/>
    <s v="07081505783"/>
    <s v="firstsitting"/>
    <x v="1"/>
    <x v="3"/>
    <s v="Ibadan"/>
    <s v="NGN"/>
    <n v="195000"/>
    <s v=""/>
    <n v="0"/>
    <s v=""/>
    <n v="0"/>
    <s v=""/>
    <s v="240501194WACP797331312"/>
  </r>
  <r>
    <n v="195"/>
    <n v="1620"/>
    <s v="Onyehosp@gmail.com"/>
    <s v="OKORIE Leonard Onye"/>
    <s v="Dept of Child Health , Nnamdi Azikiwe University Teaching Hospital, Nnewi, Anambra State  "/>
    <x v="1"/>
    <s v="Nnamdi Azikiwe University Teaching Hospital , Nnewi  "/>
    <x v="1"/>
    <s v="08038712825"/>
    <s v="passeddissert"/>
    <x v="2"/>
    <x v="3"/>
    <s v="Ibadan"/>
    <s v="NGN"/>
    <n v="812500"/>
    <s v=""/>
    <n v="0"/>
    <s v=""/>
    <n v="0"/>
    <s v=""/>
    <s v="16201195WACP585732957"/>
  </r>
  <r>
    <n v="196"/>
    <n v="24159"/>
    <s v="gumzato123@gmail.com"/>
    <s v="OSMAN Abdullah Musah"/>
    <s v="0245953472"/>
    <x v="1"/>
    <s v="Atebubu Municipal Hospital"/>
    <x v="2"/>
    <s v="0245953472"/>
    <s v="firstsitting"/>
    <x v="1"/>
    <x v="0"/>
    <s v="Accra"/>
    <s v="USD"/>
    <s v=""/>
    <n v="150"/>
    <s v=""/>
    <n v="0"/>
    <s v=""/>
    <n v="0"/>
    <s v="GHWACP20071258"/>
  </r>
  <r>
    <n v="197"/>
    <n v="24111"/>
    <s v="rukayyabadawi@gmail.com"/>
    <s v="BADAWI Rukayya Aliyu"/>
    <s v="Sallari, Hassan Gwarzo, Lambu"/>
    <x v="0"/>
    <s v="Near East University, Cyprus"/>
    <x v="1"/>
    <n v="2348035275160"/>
    <s v="firstsitting"/>
    <x v="1"/>
    <x v="3"/>
    <s v="Abuja"/>
    <s v="NGN"/>
    <n v="195000"/>
    <s v=""/>
    <n v="0"/>
    <s v=""/>
    <n v="0"/>
    <s v=""/>
    <s v="241111197WACP900853576"/>
  </r>
  <r>
    <n v="198"/>
    <n v="24271"/>
    <s v="ibrahimgarbatom@gmail.com"/>
    <s v="GARBA Ibrahim "/>
    <s v="House No20 Waziri Musa street, Gwange 1 ward, Maiduguri"/>
    <x v="1"/>
    <s v="University Of Maiduguri"/>
    <x v="1"/>
    <s v="09168499440"/>
    <s v="firstsitting"/>
    <x v="1"/>
    <x v="3"/>
    <s v="Abuja"/>
    <s v="NGN"/>
    <n v="195000"/>
    <s v=""/>
    <n v="0"/>
    <s v=""/>
    <n v="0"/>
    <s v=""/>
    <s v="242711198WACP938893575"/>
  </r>
  <r>
    <n v="199"/>
    <n v="24260"/>
    <s v="habibatlanrelawal@gmail.com"/>
    <s v="LAWAL Habiba Lanre"/>
    <s v="2A Zobe Road off Jabi East, U/Rimi, Kaduna."/>
    <x v="0"/>
    <s v="Ahmadu Bello University Teaching Hospital Shika"/>
    <x v="1"/>
    <s v="07025650540"/>
    <s v="firstsitting"/>
    <x v="1"/>
    <x v="0"/>
    <s v="Abuja"/>
    <s v="NGN"/>
    <n v="195000"/>
    <s v=""/>
    <n v="0"/>
    <s v=""/>
    <n v="0"/>
    <s v=""/>
    <s v="242601199WACP741026186"/>
  </r>
  <r>
    <n v="200"/>
    <n v="22837"/>
    <s v="zainabmukhtarshettima@gmail.com"/>
    <s v="SHETTIMA Zainab Mukhtar"/>
    <s v="University of Maiduguri Teaching Hospital"/>
    <x v="0"/>
    <s v="University of Maiduguri"/>
    <x v="1"/>
    <s v="08166038580"/>
    <s v="resitting"/>
    <x v="1"/>
    <x v="1"/>
    <s v="Abuja"/>
    <s v="NGN"/>
    <n v="195000"/>
    <s v=""/>
    <n v="0"/>
    <s v=""/>
    <n v="0"/>
    <s v=""/>
    <s v="228371200WACP814062097"/>
  </r>
  <r>
    <n v="201"/>
    <n v="1049"/>
    <s v="adeyemimoses96@gmail.com"/>
    <s v="ADEYEMI  Olalekan  Moses "/>
    <s v="P.O.BOX 627, ADO EKITI"/>
    <x v="1"/>
    <s v="EKITI STATE UNIVERSITY TEACHING HOSPITAL ADO EKITI "/>
    <x v="1"/>
    <s v="09065928166"/>
    <s v="resitting"/>
    <x v="0"/>
    <x v="1"/>
    <s v="Ibadan"/>
    <s v="NGN"/>
    <n v="552500"/>
    <s v=""/>
    <n v="0"/>
    <s v=""/>
    <n v="0"/>
    <s v=""/>
    <s v="10491201WACP720245602"/>
  </r>
  <r>
    <n v="202"/>
    <n v="782"/>
    <s v="irabortom@yahoo.com"/>
    <s v="IRABOR  Thomas  Ovbiye"/>
    <s v="Department of Medicine, Cardiology unit, UBTH"/>
    <x v="1"/>
    <s v="University of Benin teaching hospital"/>
    <x v="1"/>
    <s v="08037077077"/>
    <s v="passeddissert"/>
    <x v="2"/>
    <x v="3"/>
    <s v="Ibadan"/>
    <s v="NGN"/>
    <n v="812500"/>
    <s v=""/>
    <n v="0"/>
    <s v=""/>
    <n v="0"/>
    <s v=""/>
    <s v="7821202WACP383287264"/>
  </r>
  <r>
    <n v="203"/>
    <n v="18965"/>
    <s v="donfiko2@gmail.com"/>
    <s v="ORJIH Ifeanyi Donald"/>
    <s v="4 Ogbaga Street, Phase Six, Transekulu, Enugu"/>
    <x v="1"/>
    <s v="Federal Medical Centre Asaba"/>
    <x v="1"/>
    <s v="07030257642"/>
    <s v="firstsitting"/>
    <x v="0"/>
    <x v="2"/>
    <s v="Enugu"/>
    <s v="NGN"/>
    <n v="552500"/>
    <s v=""/>
    <n v="110500"/>
    <s v=""/>
    <n v="0"/>
    <s v=""/>
    <s v="189651203WACP122702252"/>
  </r>
  <r>
    <n v="204"/>
    <n v="11643"/>
    <s v="judithjima@gmail.com"/>
    <s v="NWANGWU Judith Chikodiri"/>
    <s v="PO BOX 357 Oji River"/>
    <x v="0"/>
    <s v="Enugu State University Teaching Hospital, Parklane, Enugu"/>
    <x v="1"/>
    <s v="07067500238"/>
    <s v="resitting"/>
    <x v="1"/>
    <x v="4"/>
    <s v="Enugu"/>
    <s v="NGN"/>
    <n v="195000"/>
    <s v=""/>
    <n v="0"/>
    <s v=""/>
    <n v="0"/>
    <s v=""/>
    <s v="116431204WACP659192702"/>
  </r>
  <r>
    <n v="205"/>
    <n v="10052"/>
    <s v="kpallu88@gmail.com"/>
    <s v="KOROMBA-KPALLU Kelfa "/>
    <s v="Sierra Leone Psychiatric Teaching Hospital, Kissy, Freetown"/>
    <x v="1"/>
    <s v="Sierra Leone Psychiatric Teaching Hospital"/>
    <x v="3"/>
    <n v="23280790065"/>
    <s v="firstsitting"/>
    <x v="0"/>
    <x v="4"/>
    <s v="Freetown"/>
    <s v="USD"/>
    <s v=""/>
    <n v="425"/>
    <s v=""/>
    <n v="0"/>
    <s v=""/>
    <n v="0"/>
    <s v="100521205WACP115623204"/>
  </r>
  <r>
    <n v="206"/>
    <n v="24238"/>
    <s v="ibebuchichijioke@gmail.com"/>
    <s v="IBEBUCHI Chijioke Nnaemeka"/>
    <s v="Queen of Apostles Parish, Umuago Urualla, Ideato North LGA, Imo State, Nigeria"/>
    <x v="1"/>
    <s v="Department of Primary Care, Federal Teaching Hospital (FTH) Owerri, PMB 1010 Orlu Road Owerri, Imo State, Nigeria"/>
    <x v="1"/>
    <s v="08064086483"/>
    <s v="firstsitting"/>
    <x v="1"/>
    <x v="4"/>
    <s v="Enugu"/>
    <s v="NGN"/>
    <n v="195000"/>
    <s v=""/>
    <n v="0"/>
    <s v=""/>
    <n v="0"/>
    <s v=""/>
    <s v="242381206WACP166094629"/>
  </r>
  <r>
    <n v="207"/>
    <n v="24290"/>
    <s v="enambuni@gmail.com"/>
    <s v="MBAWINI Ernestina  Nambuni "/>
    <s v="Dansoma- Accra, wheat street"/>
    <x v="0"/>
    <s v="Kolebu Teaching Hospital"/>
    <x v="2"/>
    <s v="0249558375"/>
    <s v="firstsitting"/>
    <x v="1"/>
    <x v="4"/>
    <s v="Accra"/>
    <s v="USD"/>
    <s v=""/>
    <n v="150"/>
    <s v=""/>
    <n v="0"/>
    <s v=""/>
    <n v="0"/>
    <s v="GHWACP532897939"/>
  </r>
  <r>
    <n v="208"/>
    <n v="24283"/>
    <s v="jewonenneh@gmail.com"/>
    <s v="BALDEH Nenneh Jewo"/>
    <s v="Brusubi"/>
    <x v="0"/>
    <s v="Edward Francis Small Teaching Hospital"/>
    <x v="0"/>
    <n v="2203556333"/>
    <s v="firstsitting"/>
    <x v="1"/>
    <x v="0"/>
    <s v="Banjul"/>
    <s v="NGN"/>
    <n v="195000"/>
    <s v=""/>
    <n v="0"/>
    <s v=""/>
    <n v="0"/>
    <s v=""/>
    <s v="242831208WACP373111309"/>
  </r>
  <r>
    <n v="209"/>
    <n v="24270"/>
    <s v="nuhudenis@gmail.com"/>
    <s v="DENIS Nuhu "/>
    <s v="Behind Hayatu Anas filling station new Kurikyo, Lafia, Nasarawa state"/>
    <x v="1"/>
    <s v="Federal University Teaching Hospital Lafia"/>
    <x v="1"/>
    <n v="2348162725569"/>
    <s v="firstsitting"/>
    <x v="1"/>
    <x v="3"/>
    <s v="Abuja"/>
    <s v="NGN"/>
    <n v="195000"/>
    <s v=""/>
    <n v="0"/>
    <s v=""/>
    <n v="0"/>
    <s v=""/>
    <s v="242701209WACP549668955"/>
  </r>
  <r>
    <n v="210"/>
    <n v="18586"/>
    <s v="macjajuapeter@gmail.com"/>
    <s v="MAC-JAJUA Peter "/>
    <s v="12E off Sheriff Drive, Regent Road, Lumley, Freetown-Sierra Leone"/>
    <x v="1"/>
    <s v="University of Sierra Leone Leone Teaching Hospital Complex - Connaught Hospital "/>
    <x v="3"/>
    <n v="23278767090"/>
    <s v="firstsitting"/>
    <x v="0"/>
    <x v="3"/>
    <s v="Abuja"/>
    <s v="USD"/>
    <s v=""/>
    <n v="425"/>
    <s v=""/>
    <n v="0"/>
    <s v=""/>
    <n v="0"/>
    <s v="185861210WACP505195053"/>
  </r>
  <r>
    <n v="211"/>
    <n v="19508"/>
    <s v="okowa0507@gmail.com"/>
    <s v="OKOWA Roland Samuel "/>
    <s v="Asaba specialist hospital, Delta state, Nigeria "/>
    <x v="1"/>
    <s v="Niger Delta university "/>
    <x v="1"/>
    <n v="2347030032757"/>
    <s v="firstsitting"/>
    <x v="0"/>
    <x v="1"/>
    <s v="Enugu"/>
    <s v="NGN"/>
    <n v="552500"/>
    <s v=""/>
    <n v="0"/>
    <s v=""/>
    <n v="0"/>
    <s v=""/>
    <s v="195081211WACP450963489"/>
  </r>
  <r>
    <n v="213"/>
    <n v="18159"/>
    <s v="gblason4@gmail.com"/>
    <s v="GBLA Alhaji "/>
    <s v="24 Byrne lane"/>
    <x v="1"/>
    <s v="University of Sierra Leone Teaching Hospitals complex-Connaught Hospital"/>
    <x v="3"/>
    <n v="23231010730"/>
    <s v="firstsitting"/>
    <x v="0"/>
    <x v="3"/>
    <s v="Abuja"/>
    <s v="USD"/>
    <s v=""/>
    <n v="425"/>
    <s v=""/>
    <n v="0"/>
    <s v=""/>
    <n v="0"/>
    <s v="181591213WACP273992440"/>
  </r>
  <r>
    <n v="214"/>
    <n v="20680"/>
    <s v="naaayele_mensah2007@yahoo.com"/>
    <s v="MENSAH Naa Ayele"/>
    <s v="C/o Tema polyclinic,Community 2,Tema"/>
    <x v="0"/>
    <s v="KORLE BU TEACHING HOSPITAL"/>
    <x v="2"/>
    <s v="0544040466"/>
    <s v="firstsitting"/>
    <x v="1"/>
    <x v="4"/>
    <s v="Accra"/>
    <s v="USD"/>
    <s v=""/>
    <n v="150"/>
    <s v=""/>
    <n v="0"/>
    <s v=""/>
    <n v="0"/>
    <s v="GHWACP245172770"/>
  </r>
  <r>
    <n v="215"/>
    <n v="24171"/>
    <s v="sunkanmigladys@gmail.com"/>
    <s v="BASORUN Gladys Olasunkanmi"/>
    <s v="14, Christ Avenue Adebayo, ado ekiti"/>
    <x v="0"/>
    <s v="Grodno state medical university"/>
    <x v="1"/>
    <s v="08169476869"/>
    <s v="firstsitting"/>
    <x v="1"/>
    <x v="0"/>
    <s v="Ibadan"/>
    <s v="NGN"/>
    <n v="195000"/>
    <s v=""/>
    <n v="0"/>
    <s v=""/>
    <n v="0"/>
    <s v=""/>
    <s v="241711215WACP982696514"/>
  </r>
  <r>
    <n v="216"/>
    <n v="9989"/>
    <s v="kelezefrancis@gmail.com"/>
    <s v="KELEZE  Francis Chidiebere"/>
    <s v="Clinical Medicine DEPARTMENT, UNIVERSITY OF NIGERIA TEACHING HOSPITAL, ITUKU OZALLA, ENUGU"/>
    <x v="1"/>
    <s v="University of Nigeria Teaching Hospital Ituku-Ozalla Enugu Enugu State"/>
    <x v="1"/>
    <n v="8038928987"/>
    <s v="firstsitting"/>
    <x v="2"/>
    <x v="0"/>
    <s v="Abuja"/>
    <s v="NGN"/>
    <n v="812500"/>
    <s v=""/>
    <n v="0"/>
    <s v=""/>
    <n v="162500"/>
    <s v=""/>
    <s v="99891216WACP24583481"/>
  </r>
  <r>
    <n v="217"/>
    <n v="19653"/>
    <s v="obihealth@gmail.com"/>
    <s v="OGBANGWO  Obiajulu  Helen "/>
    <s v="Bright Idioma Close, Asaba, Delta State"/>
    <x v="0"/>
    <s v="Asaba Specialist Hospital "/>
    <x v="1"/>
    <s v="08022576333"/>
    <s v="firstsitting"/>
    <x v="0"/>
    <x v="1"/>
    <s v="Enugu"/>
    <s v="NGN"/>
    <n v="552500"/>
    <s v=""/>
    <n v="0"/>
    <s v=""/>
    <n v="0"/>
    <s v=""/>
    <s v="196531217WACP160884537"/>
  </r>
  <r>
    <n v="218"/>
    <n v="4981"/>
    <s v="contactchiomzy.co@gmail.com"/>
    <s v="OGUZIE Chioma  Pepertua"/>
    <s v="Area 2,Garki, Abuja "/>
    <x v="0"/>
    <s v="Federal Medical Center, Abuja "/>
    <x v="1"/>
    <s v="08063608449"/>
    <s v="firstsitting"/>
    <x v="2"/>
    <x v="1"/>
    <s v="Abuja"/>
    <s v="NGN"/>
    <n v="812500"/>
    <s v=""/>
    <n v="0"/>
    <s v=""/>
    <n v="162500"/>
    <s v=""/>
    <s v="49811218WACP931223408"/>
  </r>
  <r>
    <n v="219"/>
    <n v="24293"/>
    <s v="Aminatuabubakar1110@gmail.com"/>
    <s v="ABUBAKAR Amina Abdullahi"/>
    <s v="Government quarters opp city campus sokoto state"/>
    <x v="0"/>
    <s v="Ibn sina university khartoum, sudan"/>
    <x v="1"/>
    <s v="07047520568"/>
    <s v="firstsitting"/>
    <x v="1"/>
    <x v="3"/>
    <s v="Abuja"/>
    <s v="NGN"/>
    <n v="195000"/>
    <s v=""/>
    <n v="0"/>
    <s v=""/>
    <n v="0"/>
    <s v=""/>
    <s v="242931219WACP795090268"/>
  </r>
  <r>
    <n v="220"/>
    <n v="19963"/>
    <s v="solomonaudu@rocketmail.com"/>
    <s v="SOLOMON  Akentaimu  Audu "/>
    <s v="No. 14 chindo Audu close Magami Jalingo "/>
    <x v="1"/>
    <s v="Universidad nacional experimental RÃƒÂ³mulo gallegos "/>
    <x v="1"/>
    <s v="08080813842"/>
    <s v="resitting"/>
    <x v="0"/>
    <x v="1"/>
    <s v="Abuja"/>
    <s v="NGN"/>
    <n v="552500"/>
    <s v=""/>
    <n v="0"/>
    <s v=""/>
    <n v="0"/>
    <s v=""/>
    <s v="199631220WACP813587905"/>
  </r>
  <r>
    <n v="221"/>
    <n v="11224"/>
    <s v="jiddanana9@gmail.com"/>
    <s v="TIJJANI  nana jidda"/>
    <s v="Ajuji Waziri Road, Federal lowcost Gombe State,Nigeria "/>
    <x v="0"/>
    <s v="Federal Teaching Hospital Gombe"/>
    <x v="1"/>
    <n v="9091728069"/>
    <s v="resitting"/>
    <x v="0"/>
    <x v="1"/>
    <s v="Abuja"/>
    <s v="NGN"/>
    <n v="552500"/>
    <s v=""/>
    <n v="0"/>
    <s v=""/>
    <n v="0"/>
    <s v=""/>
    <s v="112241221WACP893226735"/>
  </r>
  <r>
    <n v="222"/>
    <n v="24212"/>
    <s v="Olanrewajukolawole90@gmail.com"/>
    <s v="KOLAWOLE Olanrewaju "/>
    <s v="32, Yemetu-Alaadorin road, Yemetu, Ibadan"/>
    <x v="1"/>
    <s v="Highland Specialist Hospital, Yemetu, Ibadan"/>
    <x v="1"/>
    <s v="08131130674"/>
    <s v="firstsitting"/>
    <x v="1"/>
    <x v="4"/>
    <s v="Ibadan"/>
    <s v="NGN"/>
    <n v="195000"/>
    <s v=""/>
    <n v="0"/>
    <s v=""/>
    <n v="0"/>
    <s v=""/>
    <s v="242121222WACP987326595"/>
  </r>
  <r>
    <n v="223"/>
    <n v="23971"/>
    <s v="agorsormawulikplim@gmail.com"/>
    <s v="DEKU Mawulikplim Enyo"/>
    <s v="Tema General Hospital,  box 14"/>
    <x v="0"/>
    <s v="Tema General Hospital"/>
    <x v="2"/>
    <s v="0244921362"/>
    <s v="firstsitting"/>
    <x v="1"/>
    <x v="1"/>
    <s v="Accra"/>
    <s v="USD"/>
    <s v=""/>
    <n v="150"/>
    <s v=""/>
    <n v="0"/>
    <s v=""/>
    <n v="0"/>
    <s v="GHWACP148739124"/>
  </r>
  <r>
    <n v="224"/>
    <n v="11097"/>
    <s v="aishasheriff214@gmail.com"/>
    <s v="SHERIFF Aisha  "/>
    <s v="Sabon pegi Njiwaji layout damaturu yobe state "/>
    <x v="0"/>
    <s v="university of maiduguri "/>
    <x v="1"/>
    <n v="8065864605"/>
    <s v="resitting"/>
    <x v="0"/>
    <x v="1"/>
    <s v="Abuja"/>
    <s v="NGN"/>
    <n v="552500"/>
    <s v=""/>
    <n v="0"/>
    <s v=""/>
    <n v="0"/>
    <s v=""/>
    <s v="110971224WACP989560449"/>
  </r>
  <r>
    <n v="225"/>
    <n v="18683"/>
    <s v="horanye21@gmail.com"/>
    <s v="ORANYE chinaza chikamso"/>
    <s v="NO. 1 EBO NWEKE OFF EMMANNAEMEKA STREET, AWKA"/>
    <x v="0"/>
    <s v="CHUKWUEMEKA ODUMEGWU TEACHING HOSPITAL, AMAKU, AWKA"/>
    <x v="1"/>
    <s v="07064800972"/>
    <s v="resitting"/>
    <x v="0"/>
    <x v="1"/>
    <s v="Enugu"/>
    <s v="NGN"/>
    <n v="552500"/>
    <s v=""/>
    <n v="0"/>
    <s v=""/>
    <n v="0"/>
    <s v=""/>
    <s v="186831225WACP275443274"/>
  </r>
  <r>
    <n v="226"/>
    <n v="24274"/>
    <s v="aishaauwalmusam@gmail.com"/>
    <s v="AUWAL Aisha Musa"/>
    <s v="Independence road bompai kano"/>
    <x v="0"/>
    <s v="Elrazi university Sudan"/>
    <x v="1"/>
    <s v="07025158226"/>
    <s v="firstsitting"/>
    <x v="1"/>
    <x v="3"/>
    <s v="Abuja"/>
    <s v="NGN"/>
    <n v="195000"/>
    <s v=""/>
    <n v="0"/>
    <s v=""/>
    <n v="0"/>
    <s v=""/>
    <s v="242741226WACP458881123"/>
  </r>
  <r>
    <n v="227"/>
    <n v="19756"/>
    <s v="kayisitete@gmail.com"/>
    <s v="AYISI-TETE  Kwaku "/>
    <s v="KORLE BU TEACHING HOSPITAL,  BOX 77, ACCRA"/>
    <x v="1"/>
    <s v="Korle Bu Teaching Hospital "/>
    <x v="2"/>
    <s v="0557168343"/>
    <s v="resitting"/>
    <x v="0"/>
    <x v="3"/>
    <s v="Accra"/>
    <s v="USD"/>
    <s v=""/>
    <n v="425"/>
    <s v=""/>
    <n v="0"/>
    <s v=""/>
    <n v="0"/>
    <s v="GHWACP980428726"/>
  </r>
  <r>
    <n v="228"/>
    <n v="3650"/>
    <s v="bjseyifunmi@gmail.com"/>
    <s v="BALOGUN John Seyifunmi"/>
    <s v="8B, Hafsatu Abdulkadir Street, Phase 1, Anthem Estate, Gwagwalada Abuja FCT"/>
    <x v="1"/>
    <s v="University of Abuja Teaching Hospital, Gwagwalada FCT "/>
    <x v="1"/>
    <s v="08030744603"/>
    <s v="firstsitting"/>
    <x v="2"/>
    <x v="1"/>
    <s v="Accra"/>
    <s v="NGN"/>
    <n v="812500"/>
    <s v=""/>
    <n v="0"/>
    <s v=""/>
    <n v="162500"/>
    <s v=""/>
    <s v="36501228WACP411848380"/>
  </r>
  <r>
    <n v="229"/>
    <n v="24130"/>
    <s v="davez.ink91@gmail.com"/>
    <s v="AUDU David Onucheojo"/>
    <s v="Plot 4 Omakoji Street, U/boro."/>
    <x v="1"/>
    <s v="Bingham University Teaching hospital. Jos. Plateau state."/>
    <x v="1"/>
    <s v="09018594580"/>
    <s v="firstsitting"/>
    <x v="1"/>
    <x v="0"/>
    <s v="Abuja"/>
    <s v="NGN"/>
    <n v="195000"/>
    <s v=""/>
    <n v="0"/>
    <s v=""/>
    <n v="0"/>
    <s v=""/>
    <s v="241301229WACP637419151"/>
  </r>
  <r>
    <n v="230"/>
    <n v="24261"/>
    <s v="munagerro@gmail.com"/>
    <s v="MUSTAPHA maimuna "/>
    <s v="No 3 River Rd"/>
    <x v="0"/>
    <s v="Kaduna"/>
    <x v="1"/>
    <s v="08106287089"/>
    <s v="firstsitting"/>
    <x v="1"/>
    <x v="0"/>
    <s v="Abuja"/>
    <s v="NGN"/>
    <n v="195000"/>
    <s v=""/>
    <n v="0"/>
    <s v=""/>
    <n v="0"/>
    <s v=""/>
    <s v="242611230WACP436202419"/>
  </r>
  <r>
    <n v="231"/>
    <n v="23443"/>
    <s v="akosuaanane1@gmail.com"/>
    <s v="ANANE-DARKO Akosua Oforiwaa"/>
    <s v="P. O. Box CT 4211, Cantonments, Accra"/>
    <x v="0"/>
    <s v="Weija Gbawe Municipal Hospital"/>
    <x v="2"/>
    <s v="0546150070"/>
    <s v="firstsitting"/>
    <x v="1"/>
    <x v="3"/>
    <s v="Accra"/>
    <s v="USD"/>
    <s v=""/>
    <n v="150"/>
    <s v=""/>
    <n v="0"/>
    <s v=""/>
    <n v="0"/>
    <s v="GHWACP865300476"/>
  </r>
  <r>
    <n v="232"/>
    <n v="24118"/>
    <s v="ukeanyajuliet@gmail.com"/>
    <s v="UKEANYA Chisom Juliet"/>
    <s v="2b Aninwagbo Street, Garriki Awkunanaw, Enugu"/>
    <x v="0"/>
    <s v="University of Nigeria Teaching Hospital, Ituku Ozalla, Enugu"/>
    <x v="1"/>
    <s v="08103420496"/>
    <s v="firstsitting"/>
    <x v="1"/>
    <x v="4"/>
    <s v="Enugu"/>
    <s v="NGN"/>
    <n v="195000"/>
    <s v=""/>
    <n v="0"/>
    <s v=""/>
    <n v="0"/>
    <s v=""/>
    <s v="241181232WACP560206736"/>
  </r>
  <r>
    <n v="233"/>
    <n v="23997"/>
    <s v="msowe3775@gmail.com"/>
    <s v="SOWE  Mustapha "/>
    <s v="Kanifing Housing Estate A107"/>
    <x v="1"/>
    <s v="Edward Francis Small Teaching Hospital"/>
    <x v="0"/>
    <n v="2203703275"/>
    <s v="firstsitting"/>
    <x v="1"/>
    <x v="0"/>
    <s v="Banjul"/>
    <s v="NGN"/>
    <n v="195000"/>
    <s v=""/>
    <n v="0"/>
    <s v=""/>
    <n v="0"/>
    <s v=""/>
    <s v="239971233WACP992615464"/>
  </r>
  <r>
    <n v="234"/>
    <n v="20937"/>
    <s v="drabies4christ@yahoo.com"/>
    <s v="OJOKOJO  Abieyuwa  "/>
    <s v="17, OMOGIATE STREET, OFF UGBOR ROAD, GRA BENIN CITY, EDO STATE."/>
    <x v="0"/>
    <s v="AMBROSE ALI UNIVERSITY "/>
    <x v="1"/>
    <s v="08038841332"/>
    <s v="firstsitting"/>
    <x v="0"/>
    <x v="1"/>
    <s v="Ibadan"/>
    <s v="NGN"/>
    <n v="552500"/>
    <s v=""/>
    <n v="0"/>
    <s v=""/>
    <n v="0"/>
    <s v=""/>
    <s v="209371234WACP89825274"/>
  </r>
  <r>
    <n v="235"/>
    <n v="7090"/>
    <s v="drtrish2017@gmail.com"/>
    <s v="NWOKWU Patricia  Amogechukwu "/>
    <s v="DEPARTMENT OF Population Health FEDERAL MEDICAL CENTRE ABUJA"/>
    <x v="0"/>
    <s v="FEDERAL MEDICAL CENTRE ABUJA"/>
    <x v="1"/>
    <n v="8068101671"/>
    <s v="firstsitting"/>
    <x v="2"/>
    <x v="1"/>
    <s v="Abuja"/>
    <s v="NGN"/>
    <n v="812500"/>
    <s v=""/>
    <n v="0"/>
    <s v=""/>
    <n v="162500"/>
    <s v=""/>
    <s v="GHWACP722927719"/>
  </r>
  <r>
    <n v="236"/>
    <n v="17718"/>
    <s v="nnubiatonia@yahoo.com"/>
    <s v="NNUBIA Anthonia Ogechukwu"/>
    <s v="Community Medicine Department, Alex Ekwueme Federal University Teaching Hospital Abakaliki, Ebonyi State."/>
    <x v="0"/>
    <s v="Alex Ekwueme Federal University Teaching Hospital Abakaliki Ebonyi State"/>
    <x v="1"/>
    <n v="8036679100"/>
    <s v="passeddissert"/>
    <x v="2"/>
    <x v="2"/>
    <s v="Abuja"/>
    <s v="NGN"/>
    <n v="812500"/>
    <s v=""/>
    <n v="0"/>
    <s v=""/>
    <n v="0"/>
    <s v=""/>
    <s v="177181236WACP187713825"/>
  </r>
  <r>
    <n v="237"/>
    <n v="24217"/>
    <s v="ijeomamaureen239@gmail.com"/>
    <s v="EKWUEME Ijeoma Maureen"/>
    <s v="Amagu Ebe in Udi L.G.A Enugu state"/>
    <x v="0"/>
    <s v="Enugu State University of science and technology"/>
    <x v="1"/>
    <s v="07064666803"/>
    <s v="firstsitting"/>
    <x v="1"/>
    <x v="3"/>
    <s v="Enugu"/>
    <s v="NGN"/>
    <n v="195000"/>
    <s v=""/>
    <n v="0"/>
    <s v=""/>
    <n v="0"/>
    <s v=""/>
    <s v="242171237WACP571859391"/>
  </r>
  <r>
    <n v="238"/>
    <n v="8251"/>
    <s v="dradekpongo@gmail.com"/>
    <s v="OGIEVA-KPONGO Adesuwa Victory"/>
    <s v="No 10A Ekikhalo Edosomwan street off ugbor GRA, Benin City, Edo State."/>
    <x v="0"/>
    <s v="University Of Benin Teaching Hospital UBTH"/>
    <x v="1"/>
    <n v="7034654491"/>
    <s v="passeddissert"/>
    <x v="2"/>
    <x v="1"/>
    <s v="Ibadan"/>
    <s v="NGN"/>
    <n v="812500"/>
    <s v=""/>
    <n v="0"/>
    <s v=""/>
    <n v="0"/>
    <s v=""/>
    <s v="82511238WACP359748133"/>
  </r>
  <r>
    <n v="239"/>
    <n v="7986"/>
    <s v="donbrayemich@gmail.com"/>
    <s v="DONBRAYE Ebikemefa McMichelle "/>
    <s v="Resident&amp;#039;s Staff Quarters, Delsuth, Oghara, Delta State"/>
    <x v="1"/>
    <s v="Delta State University Teaching Hospital, Oghara, Delta State"/>
    <x v="1"/>
    <n v="2347067359355"/>
    <s v="resitting"/>
    <x v="0"/>
    <x v="3"/>
    <s v="Abuja"/>
    <s v="NGN"/>
    <n v="552500"/>
    <s v=""/>
    <n v="0"/>
    <s v=""/>
    <n v="0"/>
    <s v=""/>
    <s v="79861239WACP756723941"/>
  </r>
  <r>
    <n v="240"/>
    <n v="24237"/>
    <s v="nyamahsandra@gmail.com"/>
    <s v="AYAARUM SANDRA NYAAMA"/>
    <s v="box 494, La, trade faire"/>
    <x v="0"/>
    <s v="university of Ghana medical center"/>
    <x v="2"/>
    <s v="0500806260"/>
    <s v="firstsitting"/>
    <x v="1"/>
    <x v="0"/>
    <s v="Accra"/>
    <s v="USD"/>
    <s v=""/>
    <n v="150"/>
    <s v=""/>
    <n v="0"/>
    <s v=""/>
    <n v="0"/>
    <s v="GHWACP886002572"/>
  </r>
  <r>
    <n v="241"/>
    <n v="24265"/>
    <s v="summayyasaleesu47@gmail.com"/>
    <s v="SALISU Summayya "/>
    <s v="T6 Silicon Valley Sunnyvale Estate"/>
    <x v="0"/>
    <s v="El Razi University"/>
    <x v="1"/>
    <s v="09120017325"/>
    <s v="firstsitting"/>
    <x v="1"/>
    <x v="3"/>
    <s v="Abuja"/>
    <s v="NGN"/>
    <n v="195000"/>
    <s v=""/>
    <n v="0"/>
    <s v=""/>
    <n v="0"/>
    <s v=""/>
    <s v="242651241WACP534684649"/>
  </r>
  <r>
    <n v="242"/>
    <n v="24202"/>
    <s v="habiba241m14@gmail.com"/>
    <s v="SALIHU Habiba "/>
    <s v="203 Tudun Fulani, Minna"/>
    <x v="0"/>
    <s v="Elrazi University"/>
    <x v="1"/>
    <s v="08168161099"/>
    <s v="firstsitting"/>
    <x v="1"/>
    <x v="1"/>
    <s v="Abuja"/>
    <s v="NGN"/>
    <n v="195000"/>
    <s v=""/>
    <n v="0"/>
    <s v=""/>
    <n v="0"/>
    <s v=""/>
    <s v="242021242WACP443544690"/>
  </r>
  <r>
    <n v="243"/>
    <n v="21037"/>
    <s v="okerehrowland@yahoo.com"/>
    <s v="OKEREH Rowland Okwudiri"/>
    <s v="23 IFITE UKPO STREET BY SABBATH JUNCTION UPPER CHIME NEW HAVEN ENUGU"/>
    <x v="1"/>
    <s v="FEDERAL NEURO PSYCHIATRIC HOSPITAL ENUGU"/>
    <x v="1"/>
    <s v="08035930809"/>
    <s v="firstsitting"/>
    <x v="0"/>
    <x v="4"/>
    <s v="Enugu"/>
    <s v="NGN"/>
    <n v="552500"/>
    <s v=""/>
    <n v="0"/>
    <s v=""/>
    <n v="0"/>
    <s v=""/>
    <s v="210371243WACP978035035"/>
  </r>
  <r>
    <n v="244"/>
    <n v="23092"/>
    <s v="sandraquaye67@gmail.com"/>
    <s v="QUAYE  Sandra "/>
    <s v="P.O.box GP 21046 Accra"/>
    <x v="0"/>
    <s v="Korle Bu Teaching Hospital"/>
    <x v="2"/>
    <s v="0244165873"/>
    <s v="firstsitting"/>
    <x v="1"/>
    <x v="1"/>
    <s v="Accra"/>
    <s v="NGN"/>
    <n v="195000"/>
    <s v=""/>
    <n v="0"/>
    <s v=""/>
    <n v="0"/>
    <s v=""/>
    <s v="GHWACP903164525"/>
  </r>
  <r>
    <n v="245"/>
    <n v="6207"/>
    <s v="nkirufezie@yahoo.com"/>
    <s v="FEZIE-NNAJI  Nkiru  Anthonia"/>
    <s v="Department  of Clinical Medicine, Lagos University Teaching Hospital ,Idi-araba"/>
    <x v="0"/>
    <s v="Lagos  University Teaching Hospital , Idi- araba, Lagos"/>
    <x v="1"/>
    <s v="08027492111"/>
    <s v="casebook"/>
    <x v="2"/>
    <x v="0"/>
    <s v="Ibadan"/>
    <s v="NGN"/>
    <n v="812500"/>
    <s v=""/>
    <n v="0"/>
    <s v=""/>
    <n v="162500"/>
    <s v=""/>
    <s v="62071245WACP899142686"/>
  </r>
  <r>
    <n v="246"/>
    <n v="19512"/>
    <s v="francis.adeyeye96@gmail.com"/>
    <s v="Francis  Tope  Adeyeye "/>
    <s v="Nova road 7, opposite palace of prayer church, Nova, Ado Ekiti "/>
    <x v="1"/>
    <s v="Ekiti state university college of Medicine "/>
    <x v="1"/>
    <s v="08062162800"/>
    <s v="firstsitting"/>
    <x v="0"/>
    <x v="0"/>
    <s v="Ibadan"/>
    <s v="NGN"/>
    <n v="552500"/>
    <s v=""/>
    <n v="0"/>
    <s v=""/>
    <n v="0"/>
    <s v=""/>
    <s v="195121246WACP952530208"/>
  </r>
  <r>
    <n v="247"/>
    <n v="24266"/>
    <s v="ikoowajikakpo@gmail.com"/>
    <s v="IKOOWAJI kakpo walter"/>
    <s v="No. 2 Amini Close, Okey Wali Estate, Off Alakahia Car Wash, Rumualogu, Port Harcourt."/>
    <x v="0"/>
    <s v="University Of Port Harcourt Teaching Hospital, Port Harcourt"/>
    <x v="1"/>
    <n v="2348058534173"/>
    <s v="firstsitting"/>
    <x v="1"/>
    <x v="3"/>
    <s v="Enugu"/>
    <s v="NGN"/>
    <n v="195000"/>
    <s v=""/>
    <n v="0"/>
    <s v=""/>
    <n v="0"/>
    <s v=""/>
    <s v="242661247WACP724210548"/>
  </r>
  <r>
    <n v="248"/>
    <n v="23275"/>
    <s v="hopeeme24@gmail.com"/>
    <s v="EME Hope Ogbeyialu"/>
    <s v="50 Tenant Road Aba, Abia State"/>
    <x v="0"/>
    <s v="Abia State University Teaching Hospital Aba"/>
    <x v="1"/>
    <s v="07060861034"/>
    <s v="resitting"/>
    <x v="1"/>
    <x v="0"/>
    <s v="Enugu"/>
    <s v="NGN"/>
    <n v="195000"/>
    <s v=""/>
    <n v="0"/>
    <s v=""/>
    <n v="0"/>
    <s v=""/>
    <s v="232751248WACP34500878"/>
  </r>
  <r>
    <n v="249"/>
    <n v="24307"/>
    <s v="kiniegoba39@gmail.com"/>
    <s v="GOBA KINIE "/>
    <s v="Kamara Town, Calaba Town, Freetown, Sierra Leone"/>
    <x v="1"/>
    <s v="University of Sierra Leone Teaching Hospital Complex, Sierra Leone Psychiatric Teaching Hospital"/>
    <x v="3"/>
    <n v="0.99968458424432494"/>
    <s v="firstsitting"/>
    <x v="0"/>
    <x v="4"/>
    <s v="Freetown"/>
    <s v="USD"/>
    <s v=""/>
    <n v="425"/>
    <s v=""/>
    <n v="0"/>
    <s v=""/>
    <n v="0"/>
    <s v="243071249WACP214019814"/>
  </r>
  <r>
    <n v="250"/>
    <n v="24275"/>
    <s v="felixoloruntoba@gmail.com"/>
    <s v="OLORUNTOBA Felix Gbenga"/>
    <s v="Number 17, Abagana street, Dawaki, Abuja"/>
    <x v="1"/>
    <s v="University of Medical Sciences Teaching Hospital, Ondo"/>
    <x v="1"/>
    <s v="08064213674"/>
    <s v="firstsitting"/>
    <x v="1"/>
    <x v="3"/>
    <s v="Abuja"/>
    <s v="NGN"/>
    <n v="195000"/>
    <s v=""/>
    <n v="0"/>
    <s v=""/>
    <n v="0"/>
    <s v=""/>
    <s v="242751250WACP933709100"/>
  </r>
  <r>
    <n v="251"/>
    <n v="24298"/>
    <s v="zainabaliibrahim5638@gmail.com"/>
    <s v="ALI Zainab Ibrahim"/>
    <s v="No 462 Hotoro G.R.A kano"/>
    <x v="0"/>
    <s v="Ahfad university for women"/>
    <x v="1"/>
    <s v="08100845355"/>
    <s v="firstsitting"/>
    <x v="1"/>
    <x v="3"/>
    <s v="Abuja"/>
    <s v="NGN"/>
    <n v="195000"/>
    <s v=""/>
    <n v="0"/>
    <s v=""/>
    <n v="0"/>
    <s v=""/>
    <s v="242981251WACP715719433"/>
  </r>
  <r>
    <n v="252"/>
    <n v="20115"/>
    <s v="joenyamison@gmail.com"/>
    <s v="NYAMISON Joseph Kabena"/>
    <s v="C/0 P. O. BOX 625, TEMA"/>
    <x v="1"/>
    <s v="Pantang Hospital, Ghana"/>
    <x v="2"/>
    <s v="0508456379"/>
    <s v="firstsitting"/>
    <x v="0"/>
    <x v="4"/>
    <s v="Accra"/>
    <s v="USD"/>
    <s v=""/>
    <n v="425"/>
    <s v=""/>
    <n v="0"/>
    <s v=""/>
    <n v="0"/>
    <s v="GHWACP96757311"/>
  </r>
  <r>
    <n v="253"/>
    <n v="23970"/>
    <s v="Kponihitesse@yahoo.com"/>
    <s v="BASSEY Tesse Nkereuwem"/>
    <s v="No 4 Balogun Agbaje Close Off Jimoh Bajulaiye street, Ifako Gbagada"/>
    <x v="0"/>
    <s v="Vinnytsia National Pirogov Medical University Ukraine"/>
    <x v="1"/>
    <n v="2348139585826"/>
    <s v="firstsitting"/>
    <x v="1"/>
    <x v="0"/>
    <s v="Ibadan"/>
    <s v="NGN"/>
    <n v="195000"/>
    <s v=""/>
    <n v="0"/>
    <s v=""/>
    <n v="0"/>
    <s v=""/>
    <s v="239701253WACP715574035"/>
  </r>
  <r>
    <n v="254"/>
    <n v="21046"/>
    <s v="michaelmadupue7438@gmail.com"/>
    <s v="MADUPUE  Michael  Ejimkonye"/>
    <s v="Nike express ibagwa by Ekwo filling station "/>
    <x v="1"/>
    <s v="Enugu state of university of science and technology "/>
    <x v="1"/>
    <s v="08034147438"/>
    <s v="resitting"/>
    <x v="0"/>
    <x v="1"/>
    <s v="Enugu"/>
    <s v="NGN"/>
    <n v="552500"/>
    <s v=""/>
    <n v="0"/>
    <s v=""/>
    <n v="0"/>
    <s v=""/>
    <s v="210461254WACP736164203"/>
  </r>
  <r>
    <n v="255"/>
    <n v="20150"/>
    <s v="eranya71@gmail.com"/>
    <s v="AWUSANYA-SOSU eyram esi"/>
    <s v="Pantang Hospital, Pantang, Ghana "/>
    <x v="0"/>
    <s v="Pantang Hospital "/>
    <x v="2"/>
    <n v="233509154852"/>
    <s v="firstsitting"/>
    <x v="0"/>
    <x v="4"/>
    <s v="Accra"/>
    <s v="USD"/>
    <s v=""/>
    <n v="425"/>
    <s v=""/>
    <n v="0"/>
    <s v=""/>
    <n v="0"/>
    <s v="GHWACP392561342"/>
  </r>
  <r>
    <n v="256"/>
    <n v="4005"/>
    <s v="asukpong@yahoo.com"/>
    <s v="ESO Asukpong  Effiong"/>
    <s v="Department of Child Health, University of Uyo Teaching Hospital, Uyo, Akwa Ibom State"/>
    <x v="1"/>
    <s v="University of Uyo Teaching Hospital, Uyo, Akwa Ibom State, Nigeria"/>
    <x v="1"/>
    <s v="08030977189"/>
    <s v="passeddissert"/>
    <x v="2"/>
    <x v="3"/>
    <s v="Abuja"/>
    <s v="NGN"/>
    <n v="812500"/>
    <s v=""/>
    <n v="0"/>
    <s v=""/>
    <n v="0"/>
    <s v=""/>
    <s v="40051256WACP196017507"/>
  </r>
  <r>
    <n v="257"/>
    <n v="7207"/>
    <s v="nenehjarai@hotmail.com"/>
    <s v="TAMBEDOU Neneh Jarai"/>
    <s v="Kanifing General Hospital, Kanifing municipality "/>
    <x v="0"/>
    <s v="Kanifing General Hospital "/>
    <x v="0"/>
    <n v="233.23031651895698"/>
    <s v="resitting"/>
    <x v="1"/>
    <x v="1"/>
    <s v="Banjul"/>
    <s v="NGN"/>
    <n v="195000"/>
    <s v=""/>
    <n v="0"/>
    <s v=""/>
    <n v="0"/>
    <s v=""/>
    <s v="72071257WACP950512171"/>
  </r>
  <r>
    <n v="258"/>
    <n v="23392"/>
    <s v="moojterheed@gmail.com"/>
    <s v="SHUAIBU Mujaheed Isah "/>
    <s v="No.2 jos road, sabon gari, tudun wada lga. Kano state"/>
    <x v="1"/>
    <s v="Ahmadu Bello university "/>
    <x v="1"/>
    <n v="2348037481560"/>
    <s v="resitting"/>
    <x v="1"/>
    <x v="4"/>
    <s v="Abuja"/>
    <s v="NGN"/>
    <n v="195000"/>
    <s v=""/>
    <n v="0"/>
    <s v=""/>
    <n v="0"/>
    <s v=""/>
    <s v="233921258WACP200067173"/>
  </r>
  <r>
    <n v="259"/>
    <n v="9887"/>
    <s v="taakujobi@yahoo.com"/>
    <s v="AKUJOBI Tobechi Adanna"/>
    <s v="Department of Medical Microbiology, National Hospital, PMB 425, Central Business District, Abuja, FCT."/>
    <x v="0"/>
    <s v="National Hospital Abuja"/>
    <x v="1"/>
    <n v="2348061635880"/>
    <s v="firstsitting"/>
    <x v="2"/>
    <x v="0"/>
    <s v="Ibadan"/>
    <s v="NGN"/>
    <n v="812500"/>
    <s v=""/>
    <n v="110500"/>
    <s v=""/>
    <n v="162500"/>
    <s v=""/>
    <s v="98871259WACP523027868"/>
  </r>
  <r>
    <n v="260"/>
    <n v="3934"/>
    <s v="hajara00479@hotmail.com"/>
    <s v="DALHATU   hajara musa"/>
    <s v="Plot 434 funmilayo close mabushi, Abuja"/>
    <x v="0"/>
    <s v="Bayero University Kano"/>
    <x v="1"/>
    <n v="9036466550"/>
    <s v="firstsitting"/>
    <x v="1"/>
    <x v="3"/>
    <s v="Abuja"/>
    <s v="NGN"/>
    <n v="195000"/>
    <s v=""/>
    <n v="0"/>
    <s v=""/>
    <n v="0"/>
    <s v=""/>
    <s v="39341260WACP639581002"/>
  </r>
  <r>
    <n v="261"/>
    <n v="24263"/>
    <s v="humairanaz.nazir7@gmail.com"/>
    <s v="NAZIRU Aisha "/>
    <s v="No. 13a likita road off Umar Muhammad road malali kaduna"/>
    <x v="0"/>
    <s v="Shehu Muhammad kangiwa medical center"/>
    <x v="1"/>
    <n v="2347087622221"/>
    <s v="firstsitting"/>
    <x v="1"/>
    <x v="4"/>
    <s v="Abuja"/>
    <s v="NGN"/>
    <n v="195000"/>
    <s v=""/>
    <n v="0"/>
    <s v=""/>
    <n v="0"/>
    <s v=""/>
    <s v="242631261WACP840542018"/>
  </r>
  <r>
    <n v="262"/>
    <n v="11419"/>
    <s v="ciriellawhite2@gmail.com"/>
    <s v="ELABOR Chidalu Unoma"/>
    <s v="Bishop&amp;#039;s court, Episcopal house Ujoelen Ekpoma"/>
    <x v="0"/>
    <s v="Irrua Specialist teaching Hospital "/>
    <x v="1"/>
    <n v="7060994629"/>
    <s v="resitting"/>
    <x v="0"/>
    <x v="0"/>
    <s v="Abuja"/>
    <s v="NGN"/>
    <n v="552500"/>
    <s v=""/>
    <n v="0"/>
    <s v=""/>
    <n v="0"/>
    <s v=""/>
    <s v="114191262WACP883562542"/>
  </r>
  <r>
    <n v="263"/>
    <n v="18611"/>
    <s v="baiokamara22@gmail.com"/>
    <s v="Kamara Joseph Baio"/>
    <s v="142A Leicester Road, Freetown "/>
    <x v="1"/>
    <s v="College Of Medicine and Allied Health Sciences"/>
    <x v="3"/>
    <n v="23276128829"/>
    <s v="firstsitting"/>
    <x v="0"/>
    <x v="3"/>
    <s v="Abuja"/>
    <s v="NGN"/>
    <n v="552500"/>
    <s v=""/>
    <n v="0"/>
    <s v=""/>
    <n v="0"/>
    <s v=""/>
    <s v="186111263WACP568665727"/>
  </r>
  <r>
    <n v="264"/>
    <n v="5679"/>
    <s v="adedayolateef@yahoo.com"/>
    <s v="ADEDAYO  lateef  adetunji"/>
    <s v="HOUSE 10 AJULOR STREET UNITY ESTATE OJOKORO RD. IKORODU LAGOS"/>
    <x v="1"/>
    <s v="GENERAL HOSPITAL LAGOS "/>
    <x v="1"/>
    <s v="08064443050"/>
    <s v="firstsitting"/>
    <x v="2"/>
    <x v="0"/>
    <s v="Ibadan"/>
    <s v="NGN"/>
    <n v="812500"/>
    <s v=""/>
    <n v="0"/>
    <s v=""/>
    <n v="162500"/>
    <s v=""/>
    <s v="56791264WACP314582597"/>
  </r>
  <r>
    <n v="265"/>
    <n v="3787"/>
    <s v="manchandogo@gmail.com"/>
    <s v="DOGO Manchan Belmont"/>
    <s v="Gwagwalada"/>
    <x v="0"/>
    <s v="University of Abuja Teaching Hospital"/>
    <x v="1"/>
    <s v="08037755621"/>
    <s v="firstsitting"/>
    <x v="2"/>
    <x v="1"/>
    <s v="Abuja"/>
    <s v="NGN"/>
    <n v="812500"/>
    <s v=""/>
    <n v="0"/>
    <s v=""/>
    <n v="162500"/>
    <s v=""/>
    <s v="GHWACP707625019"/>
  </r>
  <r>
    <n v="266"/>
    <n v="24317"/>
    <s v="sanderlilee@gmail.com"/>
    <s v="EHIAKHAMEN Sandra Osaiyekemwen"/>
    <s v="16 Gudi Street, Panama Estate off Odili road, Port harcourt, Rivers state"/>
    <x v="0"/>
    <s v="Ambrose Alli University"/>
    <x v="1"/>
    <s v="07079468398"/>
    <s v="firstsitting"/>
    <x v="1"/>
    <x v="0"/>
    <s v="Abuja"/>
    <s v="NGN"/>
    <n v="195000"/>
    <s v=""/>
    <n v="0"/>
    <s v=""/>
    <n v="0"/>
    <s v=""/>
    <s v="243171266WACP882180511"/>
  </r>
  <r>
    <n v="267"/>
    <n v="24088"/>
    <s v="junduphat@gmail.com"/>
    <s v="AJAYI Fatimah Oyewale"/>
    <s v="6 Yakubu Lane Off Sebiotimo Mongoro Agege Lagos"/>
    <x v="0"/>
    <s v="Lagos state university"/>
    <x v="1"/>
    <s v="07088770096"/>
    <s v="firstsitting"/>
    <x v="1"/>
    <x v="0"/>
    <s v="Ibadan"/>
    <s v="NGN"/>
    <n v="195000"/>
    <s v=""/>
    <n v="0"/>
    <s v=""/>
    <n v="0"/>
    <s v=""/>
    <s v="240881267WACP676570085"/>
  </r>
  <r>
    <n v="268"/>
    <n v="24249"/>
    <s v="nanaadjeimd@gmail.com"/>
    <s v="OWUSU Emmanuel Agyei"/>
    <s v="Sunyani"/>
    <x v="1"/>
    <s v="Sunyani Teaching Hospital"/>
    <x v="2"/>
    <n v="233557092338"/>
    <s v="firstsitting"/>
    <x v="1"/>
    <x v="0"/>
    <s v="Accra"/>
    <s v="USD"/>
    <s v=""/>
    <n v="150"/>
    <s v=""/>
    <n v="0"/>
    <s v=""/>
    <n v="0"/>
    <s v="GHWACP899492672"/>
  </r>
  <r>
    <n v="269"/>
    <n v="18341"/>
    <s v="waheedatx@yahoo.com"/>
    <s v="YUSUF Waheedat  Abdulazeez"/>
    <s v="ATBUTH Registrar&amp;#039;s staff quarters yelwa campus bauchi,bauchi state"/>
    <x v="0"/>
    <s v="University of maiduguri,borno state"/>
    <x v="1"/>
    <s v="07032160882"/>
    <s v="firstsitting"/>
    <x v="0"/>
    <x v="3"/>
    <s v="Abuja"/>
    <s v="NGN"/>
    <n v="552500"/>
    <s v=""/>
    <n v="0"/>
    <s v=""/>
    <n v="0"/>
    <s v=""/>
    <s v="183411269WACP636514512"/>
  </r>
  <r>
    <n v="270"/>
    <n v="24321"/>
    <s v="mansuraadamu7@gmail.com"/>
    <s v="ADAMU Mansura "/>
    <s v="No A4 peacecourt estate Lokogoma Abuja"/>
    <x v="0"/>
    <s v="El razi university Sudan"/>
    <x v="1"/>
    <s v="08148746310"/>
    <s v="firstsitting"/>
    <x v="1"/>
    <x v="3"/>
    <s v="Abuja"/>
    <s v="NGN"/>
    <n v="195000"/>
    <s v=""/>
    <n v="0"/>
    <s v=""/>
    <n v="0"/>
    <s v=""/>
    <s v="243211270WACP372530495"/>
  </r>
  <r>
    <n v="271"/>
    <n v="5238"/>
    <s v="enywyne@yahoo.com"/>
    <s v="ROBINSON-ELECHI Enore "/>
    <s v="Department of Child Health, Rivers State University Teaching Hospital"/>
    <x v="0"/>
    <s v="Rivers State University Teaching Hospital"/>
    <x v="1"/>
    <s v="08032756960"/>
    <s v="resitting"/>
    <x v="0"/>
    <x v="3"/>
    <s v="Abuja"/>
    <s v="NGN"/>
    <n v="552500"/>
    <s v=""/>
    <n v="0"/>
    <s v=""/>
    <n v="0"/>
    <s v=""/>
    <s v="52381271WACP782440765"/>
  </r>
  <r>
    <n v="272"/>
    <n v="19038"/>
    <s v="cherry_f2@yahoo.com"/>
    <s v="KAMARA  Chernoh  Foday"/>
    <s v="30 SINNAH LANE, ROKUPA - WELLINGTON "/>
    <x v="1"/>
    <s v="CONNAUGHT TEACHING HOSPITAL "/>
    <x v="3"/>
    <s v="+23231110392 or +233533271228"/>
    <s v="firstsitting"/>
    <x v="0"/>
    <x v="3"/>
    <s v="Accra"/>
    <s v="USD"/>
    <s v=""/>
    <n v="425"/>
    <s v=""/>
    <n v="0"/>
    <s v=""/>
    <n v="0"/>
    <s v="GHWACP479430219"/>
  </r>
  <r>
    <n v="273"/>
    <n v="24003"/>
    <s v="Ibrahimxahra@gmail.com"/>
    <s v="IBRAHIM  Fadimatu Zarah"/>
    <s v="No 8 gabes street, Wuse zone 2, FCT"/>
    <x v="0"/>
    <s v="Elrazi University"/>
    <x v="1"/>
    <s v="08036415440"/>
    <s v="firstsitting"/>
    <x v="1"/>
    <x v="3"/>
    <s v="Abuja"/>
    <s v="NGN"/>
    <n v="195000"/>
    <s v=""/>
    <n v="0"/>
    <s v=""/>
    <n v="0"/>
    <s v=""/>
    <s v="240031273WACP688041280"/>
  </r>
  <r>
    <n v="274"/>
    <n v="18691"/>
    <s v="jeremymainayaga@gmail.com"/>
    <s v="MAINA Jeremiah Yaga"/>
    <s v="Pompomari PUB 190"/>
    <x v="1"/>
    <s v="University of Maiduguri Teaching Hospital "/>
    <x v="1"/>
    <s v="08105578931"/>
    <s v="firstsitting"/>
    <x v="0"/>
    <x v="2"/>
    <s v="Abuja"/>
    <s v="NGN"/>
    <n v="552500"/>
    <s v=""/>
    <n v="110500"/>
    <s v=""/>
    <n v="0"/>
    <s v=""/>
    <s v="186911274WACP27579149"/>
  </r>
  <r>
    <n v="275"/>
    <n v="24190"/>
    <s v="aseeyajameel@gmail.com"/>
    <s v="SUNUSI Asiya Jamilu"/>
    <s v="373,Kofar kabuga"/>
    <x v="0"/>
    <s v="Bayero University kano"/>
    <x v="1"/>
    <s v="09033474052"/>
    <s v="firstsitting"/>
    <x v="1"/>
    <x v="0"/>
    <s v="Abuja"/>
    <s v="NGN"/>
    <n v="195000"/>
    <s v=""/>
    <n v="0"/>
    <s v=""/>
    <n v="0"/>
    <s v=""/>
    <s v="241901275WACP110490176"/>
  </r>
  <r>
    <n v="276"/>
    <n v="3301"/>
    <s v="jamala.obioha@gmail.com"/>
    <s v="OBIOHA Solomon uchenna"/>
    <s v="no 6, rivers street, off royal avenue, behind NTA, mgbuoba, portharcourt."/>
    <x v="1"/>
    <s v="UNIVERSITY OF PORT HARCOURT TEACHING HOSPITAL"/>
    <x v="1"/>
    <n v="8056102887"/>
    <s v="resitting"/>
    <x v="2"/>
    <x v="0"/>
    <s v="Ibadan"/>
    <s v="NGN"/>
    <n v="812500"/>
    <s v=""/>
    <n v="110500"/>
    <s v=""/>
    <n v="162500"/>
    <s v=""/>
    <s v="33011276WACP38840769"/>
  </r>
  <r>
    <n v="277"/>
    <n v="24222"/>
    <s v="anitanonso98@gmail.com"/>
    <s v="UGWOEGBU Chinonso Anita"/>
    <s v="No 7 Ekwe street mile 3 Diobu Port Harcourt"/>
    <x v="0"/>
    <s v="Imo state university"/>
    <x v="1"/>
    <s v="07035282413"/>
    <s v="firstsitting"/>
    <x v="1"/>
    <x v="4"/>
    <s v="Enugu"/>
    <s v="NGN"/>
    <n v="195000"/>
    <s v=""/>
    <n v="0"/>
    <s v=""/>
    <n v="0"/>
    <s v=""/>
    <s v="242221277WACP229119769"/>
  </r>
  <r>
    <n v="278"/>
    <n v="24262"/>
    <s v="beelkisuagwai505@gmail.com"/>
    <s v="MUHAMMAD Bilkisu "/>
    <s v="No 2 Teal lane Bora Bora Island Bilaad Estate, Wuye, Abuja FCT"/>
    <x v="0"/>
    <s v="Caucasus International University, Faculty of Medicine"/>
    <x v="1"/>
    <n v="2348164973810"/>
    <s v="firstsitting"/>
    <x v="1"/>
    <x v="4"/>
    <s v="Abuja"/>
    <s v="NGN"/>
    <n v="195000"/>
    <s v=""/>
    <n v="0"/>
    <s v=""/>
    <n v="0"/>
    <s v=""/>
    <s v="242621278WACP15985765"/>
  </r>
  <r>
    <n v="279"/>
    <n v="22153"/>
    <s v="hashimbelloahmed@gmail.com"/>
    <s v="BELLO Hashim "/>
    <s v="1st Avenue,Gwarinpa,Abuja."/>
    <x v="1"/>
    <s v="Elrazi University"/>
    <x v="1"/>
    <n v="2348031843444"/>
    <s v="resitting"/>
    <x v="1"/>
    <x v="3"/>
    <s v="Abuja"/>
    <s v="NGN"/>
    <n v="195000"/>
    <s v=""/>
    <n v="0"/>
    <s v=""/>
    <n v="0"/>
    <s v=""/>
    <s v="221531279WACP181458917"/>
  </r>
  <r>
    <n v="280"/>
    <n v="24309"/>
    <s v="oladesemolajoyomolola@gmail.com"/>
    <s v="AMINU Joy Omolola"/>
    <s v="Opposite NOUN, Oke Aro, Akure, Ondo State"/>
    <x v="0"/>
    <s v="University of medical sciences, laje road, Ondo, Ondo State"/>
    <x v="1"/>
    <s v="08138076144"/>
    <s v="firstsitting"/>
    <x v="1"/>
    <x v="1"/>
    <s v="Ibadan"/>
    <s v="NGN"/>
    <n v="195000"/>
    <s v=""/>
    <n v="0"/>
    <s v=""/>
    <n v="0"/>
    <s v=""/>
    <s v="243091280WACP252256053"/>
  </r>
  <r>
    <n v="281"/>
    <n v="21527"/>
    <s v="sadibuba98@gmail.com"/>
    <s v="ABUBAKAR Sadiya Tanimu "/>
    <s v="No 28 Umar Mutallab road katsina estate life camp abuja"/>
    <x v="0"/>
    <s v="Elrazi university Khartoum Sudan "/>
    <x v="1"/>
    <s v="07066281471"/>
    <s v="resitting"/>
    <x v="1"/>
    <x v="2"/>
    <s v="Abuja"/>
    <s v="NGN"/>
    <n v="195000"/>
    <s v=""/>
    <n v="0"/>
    <s v=""/>
    <n v="0"/>
    <s v=""/>
    <s v="215271281WACP338157046"/>
  </r>
  <r>
    <n v="282"/>
    <n v="23407"/>
    <s v="meenatdogara@gmail.com"/>
    <s v="YAHAYA Amina Abdullahi "/>
    <s v="Arabian Quaters katsina "/>
    <x v="0"/>
    <s v="Elrazi University Sudan "/>
    <x v="1"/>
    <s v="07032486988"/>
    <s v="firstsitting"/>
    <x v="1"/>
    <x v="2"/>
    <s v="Abuja"/>
    <s v="NGN"/>
    <n v="195000"/>
    <s v=""/>
    <n v="0"/>
    <s v=""/>
    <n v="0"/>
    <s v=""/>
    <s v="234071282WACP726431392"/>
  </r>
  <r>
    <n v="283"/>
    <n v="23674"/>
    <s v="hafsatkay2@gmail.com"/>
    <s v="KABIR Hafsat "/>
    <s v="No 5 ohimege off guava road unguwan dosa"/>
    <x v="0"/>
    <s v="Sudan International University "/>
    <x v="1"/>
    <s v="08100794454"/>
    <s v="firstsitting"/>
    <x v="1"/>
    <x v="3"/>
    <s v="Abuja"/>
    <s v="NGN"/>
    <n v="195000"/>
    <s v=""/>
    <n v="0"/>
    <s v=""/>
    <n v="0"/>
    <s v=""/>
    <s v="236741283WACP866114172"/>
  </r>
  <r>
    <n v="284"/>
    <n v="24329"/>
    <s v="Onyiijoy31@gmail.com"/>
    <s v="ONYEWUCHI Onyinyechukwu Joy"/>
    <s v="No 180 Ifite road Awka Anambra state"/>
    <x v="0"/>
    <s v="Chukwuemeka Odumegwu Ojukwu University Teaching Hospital (COOUTH)"/>
    <x v="1"/>
    <s v="07067047808"/>
    <s v="firstsitting"/>
    <x v="1"/>
    <x v="3"/>
    <s v="Enugu"/>
    <s v="NGN"/>
    <n v="195000"/>
    <s v=""/>
    <n v="0"/>
    <s v=""/>
    <n v="0"/>
    <s v=""/>
    <s v="243291284WACP336650255"/>
  </r>
  <r>
    <n v="285"/>
    <n v="20255"/>
    <s v="zannunny@gmail.com"/>
    <s v="YAHYA Yunusa Yusuf"/>
    <s v="Ã¢â€žâ€“:&amp;amp;#8470;2B Goruba road Katsina State."/>
    <x v="1"/>
    <s v="FTH Katsina"/>
    <x v="1"/>
    <s v="08139725868"/>
    <s v="resitting"/>
    <x v="0"/>
    <x v="1"/>
    <s v="Abuja"/>
    <s v="NGN"/>
    <n v="552500"/>
    <s v=""/>
    <n v="0"/>
    <s v=""/>
    <n v="0"/>
    <s v=""/>
    <s v="202551285WACP344277205"/>
  </r>
  <r>
    <n v="286"/>
    <n v="24208"/>
    <s v="adebowale567@yahoo.com"/>
    <s v="ADEBOWALE OLUWADAMILARE AHMED"/>
    <s v="8 Samson Salau Street Giwa Ifo Local Government"/>
    <x v="1"/>
    <s v="Lasuth"/>
    <x v="1"/>
    <s v="09038966993"/>
    <s v="firstsitting"/>
    <x v="1"/>
    <x v="0"/>
    <s v="Ibadan"/>
    <s v="NGN"/>
    <n v="195000"/>
    <s v=""/>
    <n v="0"/>
    <s v=""/>
    <n v="0"/>
    <s v=""/>
    <s v="242081286WACP872647081"/>
  </r>
  <r>
    <n v="287"/>
    <n v="11287"/>
    <s v="dapylyn@gmail.com"/>
    <s v="IDUDU Adakpor "/>
    <s v="Plot 3, Off Akaighe street, Along Jakpa Road, Effurun, Delta State, Nigeria"/>
    <x v="0"/>
    <s v="University of Benin Teaching Hospital, UBTH, Benin City, Edo State, Nigeria "/>
    <x v="1"/>
    <s v="08064456194"/>
    <s v="firstsitting"/>
    <x v="0"/>
    <x v="3"/>
    <s v="Ibadan"/>
    <s v="NGN"/>
    <n v="552500"/>
    <s v=""/>
    <n v="0"/>
    <s v=""/>
    <n v="0"/>
    <s v=""/>
    <s v="112871287WACP464477807"/>
  </r>
  <r>
    <n v="288"/>
    <n v="24189"/>
    <s v="saliunaeemah@gmail.com"/>
    <s v="SALIU Kehinde Noheemat"/>
    <s v="19, Association Avenue, Unique Estate, Magboro, Ogun State"/>
    <x v="0"/>
    <s v="University of Ibadan"/>
    <x v="1"/>
    <s v="07082397690"/>
    <s v="firstsitting"/>
    <x v="1"/>
    <x v="3"/>
    <s v="Ibadan"/>
    <s v="NGN"/>
    <n v="195000"/>
    <s v=""/>
    <n v="0"/>
    <s v=""/>
    <n v="0"/>
    <s v=""/>
    <s v="241891288WACP339330007"/>
  </r>
  <r>
    <n v="289"/>
    <n v="18555"/>
    <s v="awodeledebbie1984@yahoo.com"/>
    <s v="AWODELE Deborah Etim"/>
    <s v="No 10 Ilugbo close, Ojodu Berger"/>
    <x v="0"/>
    <s v="University of lagos teaching hospital"/>
    <x v="1"/>
    <s v="09097561052"/>
    <s v="firstsitting"/>
    <x v="0"/>
    <x v="2"/>
    <s v="Ibadan"/>
    <s v="NGN"/>
    <n v="552500"/>
    <s v=""/>
    <n v="110500"/>
    <s v=""/>
    <n v="0"/>
    <s v=""/>
    <s v="185551289WACP699147007"/>
  </r>
  <r>
    <n v="290"/>
    <n v="19944"/>
    <s v="shamsuddeenrad@gmail.com"/>
    <s v="ABUBAKAR  Shamsuddeen  Rabiu"/>
    <s v="No. 757 Tukuntawa Quarters, Zoo Road, Kano State, Nigeria."/>
    <x v="1"/>
    <s v="Ahmadu Bello University, Zaria"/>
    <x v="1"/>
    <s v="09131304445"/>
    <s v="firstsitting"/>
    <x v="1"/>
    <x v="3"/>
    <s v="Abuja"/>
    <s v="NGN"/>
    <n v="195000"/>
    <s v=""/>
    <n v="0"/>
    <s v=""/>
    <n v="0"/>
    <s v=""/>
    <s v="199441290WACP506622648"/>
  </r>
  <r>
    <n v="291"/>
    <n v="24000"/>
    <s v="hauwadamu7@gmail.com"/>
    <s v="ADAMU Hauwa Oyanki"/>
    <s v="Fort Royal estate.Abuja"/>
    <x v="0"/>
    <s v="Nile university of Nigeria"/>
    <x v="1"/>
    <s v="07066024568"/>
    <s v="firstsitting"/>
    <x v="1"/>
    <x v="3"/>
    <s v="Abuja"/>
    <s v="NGN"/>
    <n v="195000"/>
    <s v=""/>
    <n v="0"/>
    <s v=""/>
    <n v="0"/>
    <s v=""/>
    <s v="240001291WACP885345673"/>
  </r>
  <r>
    <n v="292"/>
    <n v="23389"/>
    <s v="ucheaghalu@gmail.com"/>
    <s v="AGHALU  Uchenna  Chinonye "/>
    <s v="Umuonaga village Awka "/>
    <x v="0"/>
    <s v="Chukwuemeka Odumegwu Ojukwu University teaching hospital Awka "/>
    <x v="1"/>
    <s v="08106991061"/>
    <s v="resitting"/>
    <x v="1"/>
    <x v="3"/>
    <s v="Enugu"/>
    <s v="NGN"/>
    <n v="195000"/>
    <s v=""/>
    <n v="0"/>
    <s v=""/>
    <n v="0"/>
    <s v=""/>
    <s v="233891292WACP695403902"/>
  </r>
  <r>
    <n v="293"/>
    <n v="24193"/>
    <s v="khaleelatgiwa06@gmail.com"/>
    <s v="GIWA-AWONIRAN Khaleelat Feyisike"/>
    <s v="20, Wilson-Emelike Street, Hilltop Estate Aboru Iyana-Ipaja, Lagos."/>
    <x v="0"/>
    <s v="University of Ilorin"/>
    <x v="1"/>
    <s v="08104999332"/>
    <s v="firstsitting"/>
    <x v="1"/>
    <x v="1"/>
    <s v="Enugu"/>
    <s v="NGN"/>
    <n v="195000"/>
    <s v=""/>
    <n v="0"/>
    <s v=""/>
    <n v="0"/>
    <s v=""/>
    <s v="241931293WACP420937437"/>
  </r>
  <r>
    <n v="294"/>
    <n v="11184"/>
    <s v="femchisom92@yahoo.com"/>
    <s v="IBIWOYE Olufemi Chisom"/>
    <s v="51 Jagunmolu Street Bariga Lagos "/>
    <x v="0"/>
    <s v="Massey Street Children&amp;#039;s Hospital "/>
    <x v="1"/>
    <s v="07069336003"/>
    <s v="resitting"/>
    <x v="0"/>
    <x v="1"/>
    <s v="Ibadan"/>
    <s v="NGN"/>
    <n v="552500"/>
    <s v=""/>
    <n v="0"/>
    <s v=""/>
    <n v="0"/>
    <s v=""/>
    <s v="111841294WACP806469309"/>
  </r>
  <r>
    <n v="295"/>
    <n v="9069"/>
    <s v="laxzee2011@gmail.com"/>
    <s v="ABDULAZEEZ  Zainab  Modibbo "/>
    <s v="Department of Clinical Medicine barau dikko teaching hospital kaduna "/>
    <x v="0"/>
    <s v="Barau Dikko Teaching Hospital Kaduna "/>
    <x v="1"/>
    <n v="8065666897"/>
    <s v="casebook"/>
    <x v="2"/>
    <x v="0"/>
    <s v="Abuja"/>
    <s v="NGN"/>
    <n v="812500"/>
    <s v=""/>
    <n v="0"/>
    <s v=""/>
    <n v="162500"/>
    <s v=""/>
    <s v="90691295WACP333763332"/>
  </r>
  <r>
    <n v="296"/>
    <n v="24273"/>
    <s v="lebarifrank@gmail.com"/>
    <s v="FRANK Lebari Sorle"/>
    <s v="7 Mosunmola Adekoya Close, Lagos"/>
    <x v="1"/>
    <s v="FEDERAL MEDICAL CENTRE EBUTE-METTA"/>
    <x v="1"/>
    <n v="2348060709361"/>
    <s v="firstsitting"/>
    <x v="1"/>
    <x v="3"/>
    <s v="Ibadan"/>
    <s v="NGN"/>
    <n v="195000"/>
    <s v=""/>
    <n v="0"/>
    <s v=""/>
    <n v="0"/>
    <s v=""/>
    <s v="242731296WACP588471244"/>
  </r>
  <r>
    <n v="297"/>
    <n v="24289"/>
    <s v="rukevweatori0@gmail.com"/>
    <s v="ATORI OGHENERUKEVWE "/>
    <s v="No 8, Joseph Atori Street, off udu road, Ovwian."/>
    <x v="0"/>
    <s v="Madonna University Elele, Rivers State."/>
    <x v="1"/>
    <n v="2348135096970"/>
    <s v="firstsitting"/>
    <x v="1"/>
    <x v="0"/>
    <s v="Enugu"/>
    <s v="NGN"/>
    <n v="195000"/>
    <s v=""/>
    <n v="0"/>
    <s v=""/>
    <n v="0"/>
    <s v=""/>
    <s v="242891297WACP51309153"/>
  </r>
  <r>
    <n v="298"/>
    <n v="18121"/>
    <s v="yusufsaidu304@gmail.com"/>
    <s v="SAIDU YUSUF MUHAMMAD"/>
    <s v="General Hospital, Jahun"/>
    <x v="1"/>
    <s v="General Hospital, Jahun"/>
    <x v="1"/>
    <s v="07032085527"/>
    <s v="firstsitting"/>
    <x v="1"/>
    <x v="2"/>
    <s v="Abuja"/>
    <s v="NGN"/>
    <n v="195000"/>
    <s v=""/>
    <n v="0"/>
    <s v=""/>
    <n v="0"/>
    <s v=""/>
    <s v="181211298WACP682835507"/>
  </r>
  <r>
    <n v="299"/>
    <n v="24343"/>
    <s v="fawziyyahagoro@gmail.com"/>
    <s v="AGORO Fawziyyah Oluwatosin"/>
    <s v="22, Rev. Braithwaite Street, Agric, Epe, Lagos."/>
    <x v="0"/>
    <s v="EKO University of Medicine and Allied Sciences"/>
    <x v="1"/>
    <s v="09072453867"/>
    <s v="firstsitting"/>
    <x v="1"/>
    <x v="0"/>
    <s v="Ibadan"/>
    <s v="NGN"/>
    <n v="195000"/>
    <s v=""/>
    <n v="0"/>
    <s v=""/>
    <n v="0"/>
    <s v=""/>
    <s v="243431299WACP706386501"/>
  </r>
  <r>
    <n v="300"/>
    <n v="24318"/>
    <s v="dr.mkhalil81@gmail.com"/>
    <s v="MAHMOOD Ibrahim Khalil"/>
    <s v="Hospital Services Management Board Katsina"/>
    <x v="1"/>
    <s v="Omdurman Islamic University In Sudan"/>
    <x v="1"/>
    <s v="08034401814"/>
    <s v="firstsitting"/>
    <x v="1"/>
    <x v="0"/>
    <s v="Abuja"/>
    <s v="NGN"/>
    <n v="195000"/>
    <s v=""/>
    <n v="0"/>
    <s v=""/>
    <n v="0"/>
    <s v=""/>
    <s v="243181300WACP100722644"/>
  </r>
  <r>
    <n v="301"/>
    <n v="24256"/>
    <s v="Kameenah@gmail.com"/>
    <s v="SHOBOWALE AMEENAT KIKELOMO"/>
    <s v="12 funso oka street"/>
    <x v="0"/>
    <s v="Izhevsk state medical academy"/>
    <x v="1"/>
    <s v="09018555609"/>
    <s v="firstsitting"/>
    <x v="1"/>
    <x v="3"/>
    <s v="Ibadan"/>
    <s v="NGN"/>
    <n v="195000"/>
    <s v=""/>
    <n v="0"/>
    <s v=""/>
    <n v="0"/>
    <s v=""/>
    <s v="242561301WACP201505666"/>
  </r>
  <r>
    <n v="302"/>
    <n v="24336"/>
    <s v="aminaalkali.b@gmail.com"/>
    <s v="ALKALI amina baaba"/>
    <s v="141-RIJIYAR ZAKI GWARZO ROAD KANO STATE"/>
    <x v="0"/>
    <s v="SHENYANG MEDICAL COLLEGE CHINA"/>
    <x v="1"/>
    <s v="09049490587"/>
    <s v="firstsitting"/>
    <x v="1"/>
    <x v="1"/>
    <s v="Abuja"/>
    <s v="NGN"/>
    <n v="195000"/>
    <s v=""/>
    <n v="0"/>
    <s v=""/>
    <n v="0"/>
    <s v=""/>
    <s v="243361302WACP982526345"/>
  </r>
  <r>
    <n v="303"/>
    <n v="22641"/>
    <s v="mustywali01@gmail.com"/>
    <s v="AMINU mustapha wali"/>
    <s v="No 36 yadim street shagari lowcost yola "/>
    <x v="1"/>
    <s v="University of maiduguri"/>
    <x v="1"/>
    <n v="2347030101515"/>
    <s v="firstsitting"/>
    <x v="1"/>
    <x v="3"/>
    <s v="Abuja"/>
    <s v="NGN"/>
    <n v="195000"/>
    <s v=""/>
    <n v="0"/>
    <s v=""/>
    <n v="0"/>
    <s v=""/>
    <s v="226411303WACP833336264"/>
  </r>
  <r>
    <n v="304"/>
    <n v="20026"/>
    <s v="ruqayyahisiak@gmail.com"/>
    <s v="ISIAK-BELGORE Rukayat Abidemi"/>
    <s v="54, Eruda street, Baboko, Ilorin, Kwara state, Nigeria."/>
    <x v="0"/>
    <s v="University of Ilorin"/>
    <x v="1"/>
    <s v="07063817050"/>
    <s v="firstsitting"/>
    <x v="0"/>
    <x v="0"/>
    <s v="Ibadan"/>
    <s v="NGN"/>
    <n v="552500"/>
    <s v=""/>
    <n v="0"/>
    <s v=""/>
    <n v="0"/>
    <s v=""/>
    <s v="200261304WACP97689835"/>
  </r>
  <r>
    <n v="305"/>
    <n v="7190"/>
    <s v="harunajaloauwalu@gmail.com"/>
    <s v="AUWALU Haruna Jalo"/>
    <s v="Shagari Phase 2, Yola Town, Off Mayodaga street"/>
    <x v="1"/>
    <s v="Moddibo Adama University Teaching Hospital. Yola"/>
    <x v="1"/>
    <n v="7083469647"/>
    <s v="resitting"/>
    <x v="0"/>
    <x v="3"/>
    <s v="Abuja"/>
    <s v="NGN"/>
    <n v="552500"/>
    <s v=""/>
    <n v="0"/>
    <s v=""/>
    <n v="0"/>
    <s v=""/>
    <s v="71901305WACP410866525"/>
  </r>
  <r>
    <n v="306"/>
    <n v="23216"/>
    <s v="fjitteh@gmail.com"/>
    <s v="JITTEH Fatoumatta "/>
    <s v="Independence Drive"/>
    <x v="0"/>
    <s v="Edward Francis Small Teaching Hospital"/>
    <x v="0"/>
    <n v="3132333"/>
    <s v="firstsitting"/>
    <x v="1"/>
    <x v="0"/>
    <s v="Banjul"/>
    <s v="USD"/>
    <s v=""/>
    <n v="150"/>
    <s v=""/>
    <n v="0"/>
    <s v=""/>
    <n v="0"/>
    <s v="232161306WACP884094741"/>
  </r>
  <r>
    <n v="307"/>
    <n v="23550"/>
    <s v="ufe93.fa@gmail.com"/>
    <s v="AMANABO  Ufedo-ojo  Faith "/>
    <s v="Plot F3, Ike Ekweremadu Crescent, Congress court estate,  Lokogoma, Abuja"/>
    <x v="0"/>
    <s v="Grodno State Medical University, Grodno, Belarus "/>
    <x v="1"/>
    <n v="2348070522436"/>
    <s v="resitting"/>
    <x v="1"/>
    <x v="0"/>
    <s v="Abuja"/>
    <s v="NGN"/>
    <n v="195000"/>
    <s v=""/>
    <n v="0"/>
    <s v=""/>
    <n v="0"/>
    <s v=""/>
    <s v="235501307WACP195939617"/>
  </r>
  <r>
    <n v="308"/>
    <n v="24245"/>
    <s v="nsenanzamaogban@gmail.com"/>
    <s v="OGBAN Nsenanzama Eko"/>
    <s v="Plot A, First Gate, Parliamentary village, Calabar, Cross River State"/>
    <x v="1"/>
    <s v="University Of Calabar Teaching Hospital, Calabar"/>
    <x v="1"/>
    <s v="07067026699"/>
    <s v="firstsitting"/>
    <x v="1"/>
    <x v="0"/>
    <s v="Enugu"/>
    <s v="NGN"/>
    <n v="195000"/>
    <s v=""/>
    <n v="0"/>
    <s v=""/>
    <n v="0"/>
    <s v=""/>
    <s v="242451308WACP881129705"/>
  </r>
  <r>
    <n v="309"/>
    <n v="1118"/>
    <s v="tahadekilekun@yahoo.com"/>
    <s v="TIJANI Abdulhakeem Adekilekun"/>
    <s v="DEPARTMENT OF Child Health, UNIOSUN TEACHING HOSPITAL OSOGBO OSUN STATE."/>
    <x v="1"/>
    <s v="UNIOSUN TEACHING HOSPITAL OSOGBO, OSUN STATE"/>
    <x v="1"/>
    <n v="2348035233130"/>
    <s v="passeddissert"/>
    <x v="2"/>
    <x v="3"/>
    <s v="Ibadan"/>
    <s v="NGN"/>
    <n v="812500"/>
    <s v=""/>
    <n v="0"/>
    <s v=""/>
    <n v="0"/>
    <s v=""/>
    <s v="11181309WACP261718136"/>
  </r>
  <r>
    <n v="310"/>
    <n v="18025"/>
    <s v="ndubuisikester@gmail.com"/>
    <s v="NDUBUISI Kester Chikwendu"/>
    <s v="Department of Child Health, Federal Medical Centre Umuahia, Abia State, Nigeria "/>
    <x v="1"/>
    <s v="Department of Child Health, Federal Medical Centre Umuahia, Abia State, Nigeria "/>
    <x v="1"/>
    <s v="08164189960"/>
    <s v="firstsitting"/>
    <x v="0"/>
    <x v="3"/>
    <s v="Enugu"/>
    <s v="NGN"/>
    <n v="552500"/>
    <s v=""/>
    <n v="0"/>
    <s v=""/>
    <n v="0"/>
    <s v=""/>
    <s v="180251310WACP399422979"/>
  </r>
  <r>
    <n v="311"/>
    <n v="11177"/>
    <s v="almustaphamaryam@gmail.com"/>
    <s v="ALMUSTAPHA Maryam Ahmed"/>
    <s v="No.B6, Asba and Dantata Estate, Asba and Dantata Street, Lifecamp, Abuja"/>
    <x v="0"/>
    <s v="Federal Medical Center, Jabi, Abuja"/>
    <x v="1"/>
    <n v="8036543484"/>
    <s v="firstsitting"/>
    <x v="0"/>
    <x v="3"/>
    <s v="Abuja"/>
    <s v="NGN"/>
    <n v="552500"/>
    <s v=""/>
    <n v="0"/>
    <s v=""/>
    <n v="0"/>
    <s v=""/>
    <s v="111771311WACP391315201"/>
  </r>
  <r>
    <n v="313"/>
    <n v="19298"/>
    <s v="aminasambo18@yahoo.com"/>
    <s v="SAMBO Amina Yunusa"/>
    <s v="No 16 Abatcha street near Sabana Hospital, federal low cost Gombe, Gombe State"/>
    <x v="0"/>
    <s v="Federal Medical Centre Abuja"/>
    <x v="1"/>
    <s v="08061587056"/>
    <s v="resitting"/>
    <x v="0"/>
    <x v="1"/>
    <s v="Abuja"/>
    <s v="NGN"/>
    <n v="552500"/>
    <s v=""/>
    <n v="0"/>
    <s v=""/>
    <n v="0"/>
    <s v=""/>
    <s v="192981313WACP796870650"/>
  </r>
  <r>
    <n v="314"/>
    <n v="20751"/>
    <s v="avahadaeze@gmail.com"/>
    <s v="ONODU Adaeze Ruth"/>
    <s v="11 Ezenweke Street, Trans-ekulu,Enugu"/>
    <x v="0"/>
    <s v="Enugu State University Teaching Hospital"/>
    <x v="1"/>
    <s v="08134481902"/>
    <s v="firstsitting"/>
    <x v="0"/>
    <x v="3"/>
    <s v="Enugu"/>
    <s v="NGN"/>
    <n v="552500"/>
    <s v=""/>
    <n v="0"/>
    <s v=""/>
    <n v="0"/>
    <s v=""/>
    <s v="207511314WACP228841743"/>
  </r>
  <r>
    <n v="315"/>
    <n v="24337"/>
    <s v="chnnykk@gmail.com"/>
    <s v="CHILOLI Nnenna Jane"/>
    <s v="No. 35 Ebonesi street Fegge Onitsha"/>
    <x v="0"/>
    <s v="Nnamdi-Azikiwe University Teaching Hospital Nnewi, Anambra state, Nigeria."/>
    <x v="1"/>
    <n v="2348037848480"/>
    <s v="firstsitting"/>
    <x v="1"/>
    <x v="2"/>
    <s v="Enugu"/>
    <s v="NGN"/>
    <n v="195000"/>
    <s v=""/>
    <n v="0"/>
    <s v=""/>
    <n v="0"/>
    <s v=""/>
    <s v="243371315WACP499171730"/>
  </r>
  <r>
    <n v="316"/>
    <n v="20824"/>
    <s v="c.godspower@yahoo.com"/>
    <s v="ONYEGAOLU Godspower  Chukwudi"/>
    <s v="29 west end street, Amadi ama port Harcourt"/>
    <x v="1"/>
    <s v="University of port Harcourt, Port Harcourt"/>
    <x v="1"/>
    <n v="2347063609161"/>
    <s v="firstsitting"/>
    <x v="0"/>
    <x v="3"/>
    <s v="Enugu"/>
    <s v="NGN"/>
    <n v="552500"/>
    <s v=""/>
    <n v="0"/>
    <s v=""/>
    <n v="0"/>
    <s v=""/>
    <s v="208241316WACP293822099"/>
  </r>
  <r>
    <n v="317"/>
    <n v="5088"/>
    <s v="jataujosephwhyte47@yahoo.com"/>
    <s v="JATAU Joseph Nil"/>
    <s v="Department of f. medicine, ADH,11,julius Nyerere crescent Asokoro Abuja Nigeria"/>
    <x v="1"/>
    <s v="Asokoro Distric Hospital Abuja"/>
    <x v="1"/>
    <n v="8036593895"/>
    <s v="firstsitting"/>
    <x v="2"/>
    <x v="0"/>
    <s v="Abuja"/>
    <s v="NGN"/>
    <n v="812500"/>
    <s v=""/>
    <n v="0"/>
    <s v=""/>
    <n v="162500"/>
    <s v=""/>
    <s v="50881317WACP762446425"/>
  </r>
  <r>
    <n v="318"/>
    <n v="24287"/>
    <s v="sagaygrace25@gmail.com"/>
    <s v="NEGEDU Grace Anninoritse"/>
    <s v="08137728126"/>
    <x v="0"/>
    <s v="University of Benin"/>
    <x v="1"/>
    <s v="08137728126"/>
    <s v="firstsitting"/>
    <x v="1"/>
    <x v="0"/>
    <s v="Abuja"/>
    <s v="NGN"/>
    <n v="195000"/>
    <s v=""/>
    <n v="0"/>
    <s v=""/>
    <n v="0"/>
    <s v=""/>
    <s v="242871318WACP105608770"/>
  </r>
  <r>
    <n v="319"/>
    <n v="18429"/>
    <s v="dyusuf2009@gmail.com"/>
    <s v="DOSUMU Yusuf Adebowale"/>
    <s v="6, Alhaja Tijani street Ojodu abiodun way, Ojodu berger Lagos"/>
    <x v="1"/>
    <s v="LAGOS STATE UNIVERSITY, OJO"/>
    <x v="1"/>
    <s v="08067180403"/>
    <s v="firstsitting"/>
    <x v="1"/>
    <x v="0"/>
    <s v="Ibadan"/>
    <s v="NGN"/>
    <n v="195000"/>
    <s v=""/>
    <n v="0"/>
    <s v=""/>
    <n v="0"/>
    <s v=""/>
    <s v="184291319WACP77870974"/>
  </r>
  <r>
    <n v="320"/>
    <n v="24361"/>
    <s v="ewaefaomini@gmail.com"/>
    <s v="EWA Efayobaseta Omini"/>
    <s v="Nnewi Anambra State"/>
    <x v="1"/>
    <s v="Nnamdi Azikiwe University teaching hospital"/>
    <x v="1"/>
    <s v="08148000810"/>
    <s v="firstsitting"/>
    <x v="1"/>
    <x v="3"/>
    <s v="Enugu"/>
    <s v="NGN"/>
    <n v="195000"/>
    <s v=""/>
    <n v="0"/>
    <s v=""/>
    <n v="0"/>
    <s v=""/>
    <s v="243611320WACP454763084"/>
  </r>
  <r>
    <n v="321"/>
    <n v="24365"/>
    <s v="dambatta.ummi@gmail.com"/>
    <s v="Dambatta Ummi Sani"/>
    <s v="D city estate zango zaria"/>
    <x v="0"/>
    <s v="ABUTH ZARIA"/>
    <x v="1"/>
    <s v="08079237916"/>
    <s v="firstsitting"/>
    <x v="1"/>
    <x v="3"/>
    <s v="Abuja"/>
    <s v="NGN"/>
    <n v="195000"/>
    <s v=""/>
    <n v="0"/>
    <s v=""/>
    <n v="0"/>
    <s v=""/>
    <s v="243651321WACP54800866"/>
  </r>
  <r>
    <n v="322"/>
    <n v="24322"/>
    <s v="damilola.oladunni.do.do@gmail.com"/>
    <s v="OLADUNNI Damilola Damilare"/>
    <s v="10 Tola Adewunmi Street,Maryland,Lagos"/>
    <x v="0"/>
    <s v="Afe Babalola University Ado-Ekiti"/>
    <x v="1"/>
    <s v="08163121505"/>
    <s v="firstsitting"/>
    <x v="1"/>
    <x v="3"/>
    <s v="Ibadan"/>
    <s v="NGN"/>
    <n v="195000"/>
    <s v=""/>
    <n v="0"/>
    <s v=""/>
    <n v="0"/>
    <s v=""/>
    <s v="243221322WACP876433232"/>
  </r>
  <r>
    <n v="323"/>
    <n v="24106"/>
    <s v="jessyadanu123@gmail.com"/>
    <s v="ADANU Jessica Igbe"/>
    <s v="FCDA owner occupier estate Kubwa Abuja"/>
    <x v="0"/>
    <s v="Bingham University"/>
    <x v="1"/>
    <s v="08126127265"/>
    <s v="firstsitting"/>
    <x v="1"/>
    <x v="1"/>
    <s v="Abuja"/>
    <s v="NGN"/>
    <n v="195000"/>
    <s v=""/>
    <n v="0"/>
    <s v=""/>
    <n v="0"/>
    <s v=""/>
    <s v="241061323WACP479354771"/>
  </r>
  <r>
    <n v="324"/>
    <n v="19129"/>
    <s v="algusawi2016@gmail.com"/>
    <s v="LAWALI  Ibrahim Dr."/>
    <s v=" Opposite alheri group of schools tudun wada Gusau"/>
    <x v="1"/>
    <s v="Usman danfodio university sokoto"/>
    <x v="1"/>
    <s v="08163301188"/>
    <s v="firstsitting"/>
    <x v="0"/>
    <x v="3"/>
    <s v="Abuja"/>
    <s v="NGN"/>
    <n v="552500"/>
    <s v=""/>
    <n v="0"/>
    <s v=""/>
    <n v="0"/>
    <s v=""/>
    <s v="191291324WACP261761585"/>
  </r>
  <r>
    <n v="325"/>
    <n v="5695"/>
    <s v="ginamikael@yahoo.com"/>
    <s v="NWEKE Nkechi Regina"/>
    <s v="Dept of Child Health, UPTH, P. M. B 6173, Port Harcourt"/>
    <x v="0"/>
    <s v="University of Port Harcourt Teaching Hospital, Port Harcourt"/>
    <x v="1"/>
    <n v="8035503524"/>
    <s v="passeddissert"/>
    <x v="2"/>
    <x v="3"/>
    <s v="Abuja"/>
    <s v="NGN"/>
    <n v="812500"/>
    <s v=""/>
    <n v="0"/>
    <s v=""/>
    <n v="0"/>
    <s v=""/>
    <s v="56951325WACP235748226"/>
  </r>
  <r>
    <n v="326"/>
    <n v="20745"/>
    <s v="tonybush98@gmail.com"/>
    <s v="NWOHIRI Ijeoma Celine"/>
    <s v="10 Iyanda Bashua close, off Fola Agoro Road, Lagos"/>
    <x v="0"/>
    <s v="Lagos University Teaching Hospital"/>
    <x v="1"/>
    <s v="08068726904"/>
    <s v="firstsitting"/>
    <x v="0"/>
    <x v="2"/>
    <s v="Ibadan"/>
    <s v="NGN"/>
    <n v="552500"/>
    <s v=""/>
    <n v="110500"/>
    <s v=""/>
    <n v="0"/>
    <s v=""/>
    <s v="207451326WACP568049087"/>
  </r>
  <r>
    <n v="327"/>
    <n v="20040"/>
    <s v="yusuftaqiyya@yahoo.com"/>
    <s v="BAKO taqiyyat  yusuf"/>
    <s v="Ivy apartments wuye abuja"/>
    <x v="0"/>
    <s v="October 6th university egypt"/>
    <x v="1"/>
    <s v="07033175223"/>
    <s v="resitting"/>
    <x v="0"/>
    <x v="3"/>
    <s v="Abuja"/>
    <s v="NGN"/>
    <n v="552500"/>
    <s v=""/>
    <n v="0"/>
    <s v=""/>
    <n v="0"/>
    <s v=""/>
    <s v="200401327WACP478923457"/>
  </r>
  <r>
    <n v="328"/>
    <n v="18517"/>
    <s v="temmy4christj@gmail.com"/>
    <s v="ADESUYAN Caroline  Layo "/>
    <s v="2, Line 6 Olubukun Street  Ife City area Ile Ife, Osun State"/>
    <x v="0"/>
    <s v="OBAFEMI AWOLOWO UNIVERSITY TEACHING HOSPITALS COMPLEX, ILE IFE"/>
    <x v="1"/>
    <s v="07030077938"/>
    <s v="resitting"/>
    <x v="0"/>
    <x v="1"/>
    <s v="Ibadan"/>
    <s v="NGN"/>
    <n v="552500"/>
    <s v=""/>
    <n v="0"/>
    <s v=""/>
    <n v="0"/>
    <s v=""/>
    <s v="185171328WACP997867011"/>
  </r>
  <r>
    <n v="329"/>
    <n v="24355"/>
    <s v="seyioluwabukunmi99@gmail.com"/>
    <s v="ADELAKUN Bukunmi Esther"/>
    <s v="zone 8 iludun area testing ground osogbo, osun state"/>
    <x v="0"/>
    <s v="UNIVERSITY OF ILORIN TEACHING HOSPITAL"/>
    <x v="1"/>
    <s v="08140536671"/>
    <s v="firstsitting"/>
    <x v="1"/>
    <x v="2"/>
    <s v="Ibadan"/>
    <s v="NGN"/>
    <n v="195000"/>
    <s v=""/>
    <n v="0"/>
    <s v=""/>
    <n v="0"/>
    <s v=""/>
    <s v="243551329WACP88274751"/>
  </r>
  <r>
    <n v="330"/>
    <n v="368"/>
    <s v="driyareosas247@gmail.com"/>
    <s v="IYARE osarhiemen "/>
    <s v="department of community medicine "/>
    <x v="1"/>
    <s v="Alex Ekwueme Federal University Teaching Hospital, Abakaliki"/>
    <x v="1"/>
    <n v="23408034998746"/>
    <s v="firstsitting"/>
    <x v="2"/>
    <x v="2"/>
    <s v="Abuja"/>
    <s v="NGN"/>
    <n v="812500"/>
    <s v=""/>
    <n v="0"/>
    <s v=""/>
    <n v="162500"/>
    <s v=""/>
    <s v="3681330WACP410080139"/>
  </r>
  <r>
    <n v="331"/>
    <n v="3097"/>
    <s v="marufayodejijimoh@yahoo.com"/>
    <s v="JIMOH Maruf Ayodeji"/>
    <s v="Department of Child Health Unilorin Teaching Hospital"/>
    <x v="1"/>
    <s v="University of Ilorin Teaching Hospital Ilorin"/>
    <x v="1"/>
    <s v="08082766401"/>
    <s v="passedorals"/>
    <x v="2"/>
    <x v="3"/>
    <s v="Ibadan"/>
    <s v="NGN"/>
    <n v="812500"/>
    <s v=""/>
    <n v="0"/>
    <s v=""/>
    <n v="162500"/>
    <s v=""/>
    <s v="30971331WACP354462999"/>
  </r>
  <r>
    <n v="332"/>
    <n v="24370"/>
    <s v="uzomafideliachigbu@gmail.com"/>
    <s v="Okoro Amoji Uzoma Fidelia"/>
    <s v="Pw Kubwa Abuja"/>
    <x v="0"/>
    <s v="ABSUTH"/>
    <x v="1"/>
    <s v="07035311312"/>
    <s v="firstsitting"/>
    <x v="1"/>
    <x v="3"/>
    <s v="Abuja"/>
    <s v="NGN"/>
    <n v="195000"/>
    <s v=""/>
    <n v="0"/>
    <s v=""/>
    <n v="0"/>
    <s v=""/>
    <s v="243701332WACP721405229"/>
  </r>
  <r>
    <n v="333"/>
    <n v="19427"/>
    <s v="chidimmaudeozo@gmail.com"/>
    <s v="UGWUEZE  Chidimma Chiamaka"/>
    <s v="39 Adenuga Street New Bodija Ibadan, Oyo State"/>
    <x v="0"/>
    <s v="Enugu State University of Science and Technology"/>
    <x v="1"/>
    <s v="08137584811"/>
    <s v="firstsitting"/>
    <x v="0"/>
    <x v="2"/>
    <s v="Ibadan"/>
    <s v="NGN"/>
    <n v="552500"/>
    <s v=""/>
    <n v="110500"/>
    <s v=""/>
    <n v="0"/>
    <s v=""/>
    <s v="194271333WACP239441876"/>
  </r>
  <r>
    <n v="334"/>
    <n v="2933"/>
    <s v="vivianamadi@ymail.com"/>
    <s v="AMADI Nkeiruka  Vivian "/>
    <s v="17 Peter Chigbue Close, Alpha Beach Road,  off Lekki-Epe. Lagos "/>
    <x v="0"/>
    <s v="Onikan General Hospital, Lagos "/>
    <x v="1"/>
    <s v="08179076325"/>
    <s v="firstsitting"/>
    <x v="1"/>
    <x v="1"/>
    <s v="Ibadan"/>
    <s v="NGN"/>
    <n v="195000"/>
    <s v=""/>
    <n v="0"/>
    <s v=""/>
    <n v="0"/>
    <s v=""/>
    <s v="29331334WACP128142965"/>
  </r>
  <r>
    <n v="335"/>
    <n v="24211"/>
    <s v="nwenwechinwendu@gmail.com"/>
    <s v="NWENWE Chinwendu Ogechi"/>
    <s v="5 Aluede Street, Benin Technical College Road Benin City, Edo State, Nigeria"/>
    <x v="0"/>
    <s v="University of Benin Teaching Hospital PMB 1111 Lagos Benin Expressway, Ugbowo Benin City, Edo State, Nigeria"/>
    <x v="1"/>
    <s v="08146442319"/>
    <s v="firstsitting"/>
    <x v="1"/>
    <x v="3"/>
    <s v="Ibadan"/>
    <s v="NGN"/>
    <n v="195000"/>
    <s v=""/>
    <n v="0"/>
    <s v=""/>
    <n v="0"/>
    <s v=""/>
    <s v="242111335WACP277667060"/>
  </r>
  <r>
    <n v="336"/>
    <n v="23948"/>
    <s v="nworiechiamaka3@gmail.com"/>
    <s v="Nnajiofor Chiamaka Rita"/>
    <s v="No 2 Isuoba Penocks Enugu state"/>
    <x v="0"/>
    <s v="Godfrey Okoye University Teaching Hospital"/>
    <x v="1"/>
    <s v="08130485464"/>
    <s v="firstsitting"/>
    <x v="1"/>
    <x v="0"/>
    <s v="Enugu"/>
    <s v="NGN"/>
    <n v="195000"/>
    <s v=""/>
    <n v="0"/>
    <s v=""/>
    <n v="0"/>
    <s v=""/>
    <s v="239481336WACP423062504"/>
  </r>
  <r>
    <n v="337"/>
    <n v="6630"/>
    <s v="eromsmosel@gmail.com"/>
    <s v="OLIGBI Eromosele Emmanuel"/>
    <s v="Flat 3, Henry Morkah street, Gwagwalada"/>
    <x v="1"/>
    <s v="University of Abuja Teaching Hospital (UATH)"/>
    <x v="1"/>
    <s v="08090860019"/>
    <s v="resitting"/>
    <x v="0"/>
    <x v="3"/>
    <s v="Abuja"/>
    <s v="NGN"/>
    <n v="552500"/>
    <s v=""/>
    <n v="0"/>
    <s v=""/>
    <n v="0"/>
    <s v=""/>
    <s v="66301337WACP569979080"/>
  </r>
  <r>
    <n v="338"/>
    <n v="21307"/>
    <s v="isahruqayya@gmail.com"/>
    <s v="ISAH Rukayya ."/>
    <s v="22Road house no 11 Gwarimpa 2nd avenue Abuja"/>
    <x v="0"/>
    <s v="Nile university Sudan "/>
    <x v="1"/>
    <s v="08038913962"/>
    <s v="resitting"/>
    <x v="1"/>
    <x v="3"/>
    <s v="Abuja"/>
    <s v="NGN"/>
    <n v="195000"/>
    <s v=""/>
    <n v="0"/>
    <s v=""/>
    <n v="0"/>
    <s v=""/>
    <s v="213071338WACP63062410"/>
  </r>
  <r>
    <n v="339"/>
    <n v="24040"/>
    <s v="hopennenna34@gmail.com"/>
    <s v="OKAFOR  Hope "/>
    <s v="45 Angel Estate New GRA Trans-Ekulu"/>
    <x v="0"/>
    <s v="Enugu State University Teaching Hospital Parklane, Enugu"/>
    <x v="1"/>
    <s v="07065726562"/>
    <s v="firstsitting"/>
    <x v="1"/>
    <x v="3"/>
    <s v="Enugu"/>
    <s v="NGN"/>
    <n v="195000"/>
    <s v=""/>
    <n v="0"/>
    <s v=""/>
    <n v="0"/>
    <s v=""/>
    <s v="240401339WACP698949147"/>
  </r>
  <r>
    <n v="340"/>
    <n v="24331"/>
    <s v="drneurone13@gmail.com"/>
    <s v="IBUJE Taghogho Emuobo"/>
    <s v="1 Odo-efo, after osere Junction, asadam, Ilorin, Kwara State"/>
    <x v="1"/>
    <s v="University of Ilorin teaching hospital"/>
    <x v="1"/>
    <s v="09033689010"/>
    <s v="firstsitting"/>
    <x v="1"/>
    <x v="3"/>
    <s v="Ibadan"/>
    <s v="NGN"/>
    <n v="195000"/>
    <s v=""/>
    <n v="0"/>
    <s v=""/>
    <n v="0"/>
    <s v=""/>
    <s v="243311340WACP973685072"/>
  </r>
  <r>
    <n v="341"/>
    <n v="24232"/>
    <s v="okekeogechukwu40@gmail.com"/>
    <s v="OKEKE Ogechukwu Scholarstica"/>
    <s v="No 10 Solomon Street"/>
    <x v="0"/>
    <s v="Afe Babalola"/>
    <x v="1"/>
    <s v="08163177326"/>
    <s v="firstsitting"/>
    <x v="1"/>
    <x v="0"/>
    <s v="Enugu"/>
    <s v="NGN"/>
    <n v="195000"/>
    <s v=""/>
    <n v="0"/>
    <s v=""/>
    <n v="0"/>
    <s v=""/>
    <s v="242321341WACP629657239"/>
  </r>
  <r>
    <n v="342"/>
    <n v="18684"/>
    <s v="rachelwinslow.17@gmail.com"/>
    <s v="ONUH gift ojoduwene "/>
    <s v="federal medical centre keffi "/>
    <x v="0"/>
    <s v="Afe Babalola University Ado Ekiti, Ekiti State"/>
    <x v="1"/>
    <s v="08169470019"/>
    <s v="firstsitting"/>
    <x v="0"/>
    <x v="1"/>
    <s v="Abuja"/>
    <s v="NGN"/>
    <n v="552500"/>
    <s v=""/>
    <n v="0"/>
    <s v=""/>
    <n v="0"/>
    <s v=""/>
    <s v="186841342WACP95497827"/>
  </r>
  <r>
    <n v="343"/>
    <n v="23968"/>
    <s v="muhdsaboyandutse18@gmail.com"/>
    <s v="ABDULLAHI Muhammad Sabo"/>
    <s v="No 1 Yandutse Arewa, Ringim Local Government Jigawa State"/>
    <x v="1"/>
    <s v="University Medical Services, Sule Lamido University Kafin Hauaa"/>
    <x v="1"/>
    <s v="08066252285"/>
    <s v="firstsitting"/>
    <x v="1"/>
    <x v="3"/>
    <s v="Abuja"/>
    <s v="NGN"/>
    <n v="195000"/>
    <s v=""/>
    <n v="0"/>
    <s v=""/>
    <n v="0"/>
    <s v=""/>
    <s v="239681343WACP279922495"/>
  </r>
  <r>
    <n v="344"/>
    <n v="24330"/>
    <s v="diamondizugbara15@gmail.com"/>
    <s v="IZUGBARA Diamond Chidinma"/>
    <s v="Block 1 Flat 1, Phase 2 site 1, Kuje street, Kubwa, Abuja"/>
    <x v="0"/>
    <s v="Bingham University"/>
    <x v="1"/>
    <s v="08128220643"/>
    <s v="firstsitting"/>
    <x v="1"/>
    <x v="3"/>
    <s v="Abuja"/>
    <s v="NGN"/>
    <n v="195000"/>
    <s v=""/>
    <n v="0"/>
    <s v=""/>
    <n v="0"/>
    <s v=""/>
    <s v="243301344WACP932895765"/>
  </r>
  <r>
    <n v="345"/>
    <n v="24280"/>
    <s v="enejetajoel@gmail.com"/>
    <s v="ENEJETA Joel Ogagaoghene "/>
    <s v="No. 3 umuizana quarters ogbeiyase ugbolu"/>
    <x v="1"/>
    <s v="Delta state university, Abraka"/>
    <x v="1"/>
    <s v="07036366590"/>
    <s v="firstsitting"/>
    <x v="1"/>
    <x v="0"/>
    <s v="Enugu"/>
    <s v="NGN"/>
    <n v="195000"/>
    <s v=""/>
    <n v="0"/>
    <s v=""/>
    <n v="0"/>
    <s v=""/>
    <s v="242801345WACP233745540"/>
  </r>
  <r>
    <n v="346"/>
    <n v="12218"/>
    <s v="johnisrael@icloud.com"/>
    <s v="ISRAEL John Akintunde"/>
    <s v="Department of connumity Medicine, UCH Ibadan"/>
    <x v="1"/>
    <s v="University College HospitaÃ…â€š, Ibadan "/>
    <x v="1"/>
    <s v="08054193113"/>
    <s v="firstsitting"/>
    <x v="2"/>
    <x v="2"/>
    <s v="Ibadan"/>
    <s v="NGN"/>
    <n v="812500"/>
    <s v=""/>
    <n v="0"/>
    <s v=""/>
    <n v="162500"/>
    <s v=""/>
    <s v="122181346WACP384869237"/>
  </r>
  <r>
    <n v="347"/>
    <n v="4098"/>
    <s v="ifejioforebere@yahoo.com"/>
    <s v="IFEJIOFOR Eberechukwu Gloria"/>
    <s v="Department of Child Health, PMB 06, ABU Teaching Hospital, Shika Zaria"/>
    <x v="0"/>
    <s v="Ahmadu Bello University Teaching Hospital, Zaria"/>
    <x v="1"/>
    <n v="8037330054"/>
    <s v="firstsitting"/>
    <x v="2"/>
    <x v="3"/>
    <s v="Abuja"/>
    <s v="NGN"/>
    <n v="812500"/>
    <s v=""/>
    <n v="0"/>
    <s v=""/>
    <n v="162500"/>
    <s v=""/>
    <s v="40981347WACP675613324"/>
  </r>
  <r>
    <n v="348"/>
    <n v="24133"/>
    <s v="fatimazarma2@gmail.com"/>
    <s v="ZARMA Fatima Ajiya"/>
    <n v="2347032821160"/>
    <x v="0"/>
    <s v="Hayatt University College"/>
    <x v="1"/>
    <n v="2347032821160"/>
    <s v="firstsitting"/>
    <x v="1"/>
    <x v="3"/>
    <s v="Abuja"/>
    <s v="NGN"/>
    <n v="195000"/>
    <s v=""/>
    <n v="0"/>
    <s v=""/>
    <n v="0"/>
    <s v=""/>
    <s v="241331348WACP580499211"/>
  </r>
  <r>
    <n v="349"/>
    <n v="23362"/>
    <s v="ezeakaadanna@gmail.com"/>
    <s v="OBI Adanna  Vivian"/>
    <s v="19 Pentecost Avenue Phase 6, Trans-Ekulu, Enugu State."/>
    <x v="0"/>
    <s v="University of Nigeria Teaching Hospital Enugu"/>
    <x v="1"/>
    <s v="08164386291"/>
    <s v="resitting"/>
    <x v="1"/>
    <x v="1"/>
    <s v="Enugu"/>
    <s v="NGN"/>
    <n v="195000"/>
    <s v=""/>
    <n v="0"/>
    <s v=""/>
    <n v="0"/>
    <s v=""/>
    <s v="233621349WACP584138703"/>
  </r>
  <r>
    <n v="350"/>
    <n v="24243"/>
    <s v="alabighaffar@yahoo.com"/>
    <s v="ALABI Abdul-gaffar Fortune"/>
    <s v="Behind winner&amp;#039;s church, off airport road, ilorin, Kwara state"/>
    <x v="1"/>
    <s v="Kwara State University Teaching Hospital, ilorin."/>
    <x v="1"/>
    <s v="07056720022"/>
    <s v="firstsitting"/>
    <x v="1"/>
    <x v="0"/>
    <s v="Ibadan"/>
    <s v="NGN"/>
    <n v="195000"/>
    <s v=""/>
    <n v="0"/>
    <s v=""/>
    <n v="0"/>
    <s v=""/>
    <s v="242431350WACP195123088"/>
  </r>
  <r>
    <n v="351"/>
    <n v="19615"/>
    <s v="james_yewande@yahoo.com"/>
    <s v="JAMES yewande Oluwayomi"/>
    <s v="15, Adebajo, Kongi, Bodija, Ibadan, Oyo State, Nigeria"/>
    <x v="0"/>
    <s v="University of Ibadan "/>
    <x v="1"/>
    <n v="2348065007630"/>
    <s v="firstsitting"/>
    <x v="0"/>
    <x v="2"/>
    <s v="Ibadan"/>
    <s v="NGN"/>
    <n v="552500"/>
    <s v=""/>
    <n v="110500"/>
    <s v=""/>
    <n v="0"/>
    <s v=""/>
    <s v="196151351WACP428910622"/>
  </r>
  <r>
    <n v="352"/>
    <n v="24209"/>
    <s v="awwalhamidu@gmail.com"/>
    <s v="ABDULHAMID Awwal "/>
    <s v="Katuru Road, Badarawa, Kaduna State, Nigeria"/>
    <x v="1"/>
    <s v="American International University West Africa, The Gambia"/>
    <x v="1"/>
    <n v="2349033355870"/>
    <s v="firstsitting"/>
    <x v="1"/>
    <x v="0"/>
    <s v="Abuja"/>
    <s v="NGN"/>
    <n v="195000"/>
    <s v=""/>
    <n v="0"/>
    <s v=""/>
    <n v="0"/>
    <s v=""/>
    <s v="242091352WACP717234628"/>
  </r>
  <r>
    <n v="353"/>
    <n v="24381"/>
    <s v="nsadiq963@gmail.com"/>
    <s v="SADIQ Nafisa Ahmad"/>
    <s v="4b Jaji close off Jaji Road Malali Kaduna"/>
    <x v="0"/>
    <s v="Ahmadu Bello University Teaching Hospital Zaria"/>
    <x v="1"/>
    <n v="2348133817280"/>
    <s v="firstsitting"/>
    <x v="1"/>
    <x v="4"/>
    <s v="Abuja"/>
    <s v="NGN"/>
    <n v="195000"/>
    <s v=""/>
    <n v="0"/>
    <s v=""/>
    <n v="0"/>
    <s v=""/>
    <s v="243811353WACP382526352"/>
  </r>
  <r>
    <n v="354"/>
    <n v="9398"/>
    <s v="preciouseobute@gmail.com"/>
    <s v="OBUTE  Precious Ehi"/>
    <s v="2,Adonai Clse,Old Karu Rd, Box 299, Mararaba,  (Karu Ward) (FCT:90001) Nasarawa Nigeria"/>
    <x v="0"/>
    <s v="Bingham University Karu"/>
    <x v="1"/>
    <n v="8160515771"/>
    <s v="resitting"/>
    <x v="0"/>
    <x v="1"/>
    <s v="Abuja"/>
    <s v="NGN"/>
    <n v="552500"/>
    <s v=""/>
    <n v="0"/>
    <s v=""/>
    <n v="0"/>
    <s v=""/>
    <s v="93981354WACP360989237"/>
  </r>
  <r>
    <n v="355"/>
    <n v="20584"/>
    <s v="eberechukwuchukwu4@gmail.com"/>
    <s v="CHUKWU eberechukwu e"/>
    <s v="16 Asadu street, thinker&amp;#039;s corner Enugu"/>
    <x v="0"/>
    <s v="University of Nigeria Teaching Hospital, Ituku-Ozalla, Enugu"/>
    <x v="1"/>
    <s v="08037672588"/>
    <s v="firstsitting"/>
    <x v="2"/>
    <x v="1"/>
    <s v="Abuja"/>
    <s v="NGN"/>
    <n v="812500"/>
    <s v=""/>
    <n v="0"/>
    <s v=""/>
    <n v="162500"/>
    <s v=""/>
    <s v="205841355WACP863923231"/>
  </r>
  <r>
    <n v="356"/>
    <n v="21620"/>
    <s v="ukobaobatavwe@gmail.com"/>
    <s v="UKOBA obatavwe "/>
    <s v="NO 34 REDEMPTION ROAD, PIPELINE, RUMUOKWURUSI, RIVERS STATE, NIGERIA"/>
    <x v="1"/>
    <s v="DELTA STATE UNIVERSITY TEACHING HOSPITAL"/>
    <x v="1"/>
    <s v="08032785281"/>
    <s v="firstsitting"/>
    <x v="0"/>
    <x v="2"/>
    <s v="Ibadan"/>
    <s v="NGN"/>
    <n v="552500"/>
    <s v=""/>
    <n v="110500"/>
    <s v=""/>
    <n v="0"/>
    <s v=""/>
    <s v="216201356WACP747563393"/>
  </r>
  <r>
    <n v="357"/>
    <n v="21959"/>
    <s v="emisdo44@gmail.com"/>
    <s v="UDOMA Emmanuel  Isidore"/>
    <s v="Palmgroove close by RCCG, Abak, Akwa Ibom State, Nigeria "/>
    <x v="1"/>
    <s v="University of Uyo "/>
    <x v="1"/>
    <s v="08106247031"/>
    <s v="firstsitting"/>
    <x v="1"/>
    <x v="1"/>
    <s v="Ibadan"/>
    <s v="NGN"/>
    <n v="195000"/>
    <s v=""/>
    <n v="0"/>
    <s v=""/>
    <n v="0"/>
    <s v=""/>
    <s v="219591357WACP290022899"/>
  </r>
  <r>
    <n v="358"/>
    <n v="24281"/>
    <s v="joyoftheking@gmail.com"/>
    <s v="EDOKPAYI JOY OGHOGHO"/>
    <s v="9 Adesida close, off lukman jenmi street, agric road, Egan, Igando, Lagos"/>
    <x v="0"/>
    <s v="ALIMOSHO GENERAL HOSPITAL"/>
    <x v="1"/>
    <s v="08057866746"/>
    <s v="firstsitting"/>
    <x v="1"/>
    <x v="0"/>
    <s v="Ibadan"/>
    <s v="NGN"/>
    <n v="195000"/>
    <s v=""/>
    <n v="0"/>
    <s v=""/>
    <n v="0"/>
    <s v=""/>
    <s v="242811358WACP819050355"/>
  </r>
  <r>
    <n v="359"/>
    <n v="24319"/>
    <s v="rnsiah15@gmail.com"/>
    <s v="NSIAH RICHARD  "/>
    <s v="P.O Box 26"/>
    <x v="1"/>
    <s v="Ejura Government Hospital"/>
    <x v="2"/>
    <s v="0241893693"/>
    <s v="firstsitting"/>
    <x v="1"/>
    <x v="3"/>
    <s v="Accra"/>
    <s v="USD"/>
    <s v=""/>
    <n v="150"/>
    <s v=""/>
    <n v="0"/>
    <s v=""/>
    <n v="0"/>
    <s v="243191359WACP70169568"/>
  </r>
  <r>
    <n v="360"/>
    <n v="8708"/>
    <s v="sharonstephen97@gmail.com"/>
    <s v="OLAIDE-STEPHEN  Sharon Oluwamitobi "/>
    <s v="Plot 29 block 79 itumo Ogbonna Lekki phase 1, Lagos state."/>
    <x v="0"/>
    <s v="Babcock University "/>
    <x v="1"/>
    <n v="7017046761"/>
    <s v="firstsitting"/>
    <x v="0"/>
    <x v="1"/>
    <s v="Ibadan"/>
    <s v="NGN"/>
    <n v="552500"/>
    <s v=""/>
    <n v="0"/>
    <s v=""/>
    <n v="0"/>
    <s v=""/>
    <s v="87081360WACP787066755"/>
  </r>
  <r>
    <n v="361"/>
    <n v="24324"/>
    <s v="ifex199307@gmail.com"/>
    <s v="CHINURUEKPERE Ifeanyi Godswill"/>
    <s v="Dadinkowa new abuja Jos plateau state"/>
    <x v="1"/>
    <s v="University of Jos"/>
    <x v="1"/>
    <s v="08132238274"/>
    <s v="firstsitting"/>
    <x v="1"/>
    <x v="0"/>
    <s v="Enugu"/>
    <s v="NGN"/>
    <n v="195000"/>
    <s v=""/>
    <n v="0"/>
    <s v=""/>
    <n v="0"/>
    <s v=""/>
    <s v="243241361WACP719181964"/>
  </r>
  <r>
    <n v="362"/>
    <n v="24288"/>
    <s v="imeldacordelia24@gmail.com"/>
    <s v="ISIDIENU Cordelia Otito"/>
    <s v="Road 27 Ngozika hosing Estate Awka"/>
    <x v="0"/>
    <s v="Nnamdi Azikiwe University"/>
    <x v="1"/>
    <s v="09068759566"/>
    <s v="firstsitting"/>
    <x v="1"/>
    <x v="1"/>
    <s v="Enugu"/>
    <s v="NGN"/>
    <n v="195000"/>
    <s v=""/>
    <n v="0"/>
    <s v=""/>
    <n v="0"/>
    <s v=""/>
    <s v="242881362WACP794140363"/>
  </r>
  <r>
    <n v="363"/>
    <n v="1018"/>
    <s v="fiateideandrew@gmail.com"/>
    <s v="FIATEIDE ayibaebi andrew"/>
    <s v="3, BIOWEI STREET, KPANSIA II, YENAGOA, BAYELSA STATE"/>
    <x v="1"/>
    <s v="Federal Medical center, Yenagoa"/>
    <x v="1"/>
    <n v="8037829308"/>
    <s v="firstsitting"/>
    <x v="2"/>
    <x v="3"/>
    <s v="Abuja"/>
    <s v="NGN"/>
    <n v="812500"/>
    <s v=""/>
    <n v="0"/>
    <s v=""/>
    <n v="162500"/>
    <s v=""/>
    <s v="10181363WACP874246707"/>
  </r>
  <r>
    <n v="364"/>
    <n v="24391"/>
    <s v="osemwekhagoodness6@gmail.com"/>
    <s v="OSEMWEKHA Goodness Umamwosa"/>
    <s v="Road 15, Flat 1 Myrtle Building, NAF Harmony Estate, GU Ake Road Port Harcourt, Rivers State."/>
    <x v="0"/>
    <s v="Afe Babalola University"/>
    <x v="1"/>
    <s v="09023750395"/>
    <s v="firstsitting"/>
    <x v="1"/>
    <x v="4"/>
    <s v="Abuja"/>
    <s v="NGN"/>
    <n v="195000"/>
    <s v=""/>
    <n v="0"/>
    <s v=""/>
    <n v="0"/>
    <s v=""/>
    <s v="243911364WACP490636126"/>
  </r>
  <r>
    <n v="365"/>
    <n v="5197"/>
    <s v="doctordavisizekor@gmail.com"/>
    <s v="IZEKOR  eghomwanre  davis"/>
    <s v="DEPARTMENT OF Population Health UNIVERSITY OF CALABAR TEACHING HOSPITAL"/>
    <x v="1"/>
    <s v="UNIVERSITY OF CALABAR TEACHING HOSPITAL"/>
    <x v="1"/>
    <n v="8032646490"/>
    <s v="passedorals"/>
    <x v="2"/>
    <x v="1"/>
    <s v="Abuja"/>
    <s v="NGN"/>
    <n v="812500"/>
    <s v=""/>
    <n v="0"/>
    <s v=""/>
    <n v="162500"/>
    <s v=""/>
    <s v="51971365WACP592154424"/>
  </r>
  <r>
    <n v="366"/>
    <n v="19283"/>
    <s v="damilolaasalu.ad@gmail.com"/>
    <s v="ASALU damilola esther"/>
    <s v="Irrua Specialist Teaching Hospital, Irrua, Edo State "/>
    <x v="0"/>
    <s v="Bingham University "/>
    <x v="1"/>
    <s v="08106328263"/>
    <s v="firstsitting"/>
    <x v="0"/>
    <x v="4"/>
    <s v="Abuja"/>
    <s v="NGN"/>
    <n v="552500"/>
    <s v=""/>
    <n v="0"/>
    <s v=""/>
    <n v="0"/>
    <s v=""/>
    <s v="192831366WACP215255467"/>
  </r>
  <r>
    <n v="367"/>
    <n v="24308"/>
    <s v="akintiloakintomide@gmail.com"/>
    <s v="AKINTILO Akintomide Adeola"/>
    <s v="25 matadi street wuse zone 3"/>
    <x v="1"/>
    <s v="asokoro general hospital"/>
    <x v="1"/>
    <s v="07036293391"/>
    <s v="resitting"/>
    <x v="1"/>
    <x v="0"/>
    <s v="Abuja"/>
    <s v="NGN"/>
    <n v="195000"/>
    <s v=""/>
    <n v="0"/>
    <s v=""/>
    <n v="0"/>
    <s v=""/>
    <s v="243081367WACP321905692"/>
  </r>
  <r>
    <n v="368"/>
    <n v="24366"/>
    <s v="ubongnwawo@gmail.com"/>
    <s v="DOKUBO-WIZZDOM Ubong "/>
    <s v="No 5 Idowu Emma Street New Ilasan Road Ikate-Lekki"/>
    <x v="0"/>
    <s v="Igbinedion University Okada"/>
    <x v="1"/>
    <s v="09069119045"/>
    <s v="resitting"/>
    <x v="1"/>
    <x v="3"/>
    <s v="Ibadan"/>
    <s v="NGN"/>
    <n v="195000"/>
    <s v=""/>
    <n v="0"/>
    <s v=""/>
    <n v="0"/>
    <s v=""/>
    <s v="243661368WACP249214311"/>
  </r>
  <r>
    <n v="369"/>
    <n v="24155"/>
    <s v="princeetu29@gmail.com"/>
    <s v="ETU Prince Emmanuel"/>
    <s v="Plot 2 block XVII Ogun state housing corporation estate ajebo road abeokuta Ogun state"/>
    <x v="1"/>
    <s v="Crescent university clinic"/>
    <x v="1"/>
    <s v="07046572481"/>
    <s v="firstsitting"/>
    <x v="1"/>
    <x v="1"/>
    <s v="Ibadan"/>
    <s v="NGN"/>
    <n v="195000"/>
    <s v=""/>
    <n v="0"/>
    <s v=""/>
    <n v="0"/>
    <s v=""/>
    <s v="241551369WACP980204603"/>
  </r>
  <r>
    <n v="370"/>
    <n v="8313"/>
    <s v="orjidonatus83@yahoo.com"/>
    <s v=" Onyeka Orji Donatus"/>
    <s v="c/o Dr. Orji Donatus Onyeka, Department of Clinical Medicine, Nnamdi Azikiwe University Teaching Hospital, Nnewi, Anambra State, Nigeria"/>
    <x v="1"/>
    <s v="NNAMDI AZIKIWE UNIVERSITY TEACHING HOSPITAL NNEWI"/>
    <x v="1"/>
    <n v="8032164860"/>
    <s v="casebook"/>
    <x v="2"/>
    <x v="0"/>
    <s v="Abuja"/>
    <s v="NGN"/>
    <n v="812500"/>
    <s v=""/>
    <n v="0"/>
    <s v=""/>
    <n v="162500"/>
    <s v=""/>
    <s v="83131370WACP849274765"/>
  </r>
  <r>
    <n v="371"/>
    <n v="24402"/>
    <s v="lucyimoru04@gmail.com"/>
    <s v="INAKU LUCY ABOSEDE"/>
    <s v="PLOT 14, BLOCK G, SATELLITE TOWN, CALABAR"/>
    <x v="0"/>
    <s v="UNIVERSITY OF CALABAR TEACHING HOSPITAL"/>
    <x v="1"/>
    <s v="08038282356"/>
    <s v="firstsitting"/>
    <x v="1"/>
    <x v="0"/>
    <s v="Abuja"/>
    <s v="NGN"/>
    <n v="195000"/>
    <s v=""/>
    <n v="0"/>
    <s v=""/>
    <n v="0"/>
    <s v=""/>
    <s v="244021371WACP631842910"/>
  </r>
  <r>
    <n v="372"/>
    <n v="21328"/>
    <s v="udemsifymart@gmail.com"/>
    <s v="EMENIKE ifeoma martina"/>
    <s v="No. 2 Hill View Estate Ibagwa Nike, Enugu"/>
    <x v="0"/>
    <s v="University of Nigeria, Enugu Campus"/>
    <x v="1"/>
    <s v="07038803300"/>
    <s v="resitting"/>
    <x v="1"/>
    <x v="1"/>
    <s v="Enugu"/>
    <s v="NGN"/>
    <n v="195000"/>
    <s v=""/>
    <n v="0"/>
    <s v=""/>
    <n v="0"/>
    <s v=""/>
    <s v="213281372WACP306813204"/>
  </r>
  <r>
    <n v="374"/>
    <n v="20435"/>
    <s v="myeva94@gmail.com"/>
    <s v="GYAMAA-YEBOAH  Eva "/>
    <s v="Post Office Box 517, Estate Experimental School"/>
    <x v="0"/>
    <s v="St. James Clinic, Abesim,Ghana "/>
    <x v="2"/>
    <s v="0552358163/0506899302"/>
    <s v="firstsitting"/>
    <x v="1"/>
    <x v="1"/>
    <s v="Accra"/>
    <s v="USD"/>
    <s v=""/>
    <n v="150"/>
    <s v=""/>
    <n v="0"/>
    <s v=""/>
    <n v="0"/>
    <s v="GHWACP278548757"/>
  </r>
  <r>
    <n v="375"/>
    <n v="22533"/>
    <s v="docasu2013@hotmail.com"/>
    <s v="USMAN Abdurrahman Sani"/>
    <s v="Department of Child Health, FTH Katsina"/>
    <x v="1"/>
    <s v="Federal Teaching Hospital Katsina"/>
    <x v="1"/>
    <s v="07031969991"/>
    <s v="firstsitting"/>
    <x v="0"/>
    <x v="3"/>
    <s v="Abuja"/>
    <s v="NGN"/>
    <n v="552500"/>
    <s v=""/>
    <n v="0"/>
    <s v=""/>
    <n v="0"/>
    <s v=""/>
    <s v="225331375WACP14712727"/>
  </r>
  <r>
    <n v="376"/>
    <n v="9326"/>
    <s v="olunladeotobiloba@gmail.com"/>
    <s v="OLUNLADE Oluwatobiloba Faith"/>
    <s v="Villa Clara, Temidire Estate, Osogbo. Osun State"/>
    <x v="0"/>
    <s v="UNIOSUN Teaching Hospital. Osogbo"/>
    <x v="1"/>
    <n v="8130592038"/>
    <s v="firstsitting"/>
    <x v="0"/>
    <x v="0"/>
    <s v="Ibadan"/>
    <s v="NGN"/>
    <n v="552500"/>
    <s v=""/>
    <n v="0"/>
    <s v=""/>
    <n v="0"/>
    <s v=""/>
    <s v="93261376WACP109546885"/>
  </r>
  <r>
    <n v="377"/>
    <n v="5336"/>
    <s v="00070503000h@gmail.com"/>
    <s v="YUSUF Hamza "/>
    <s v="NO 16B CLAPPERTON ROAD SOKOTO"/>
    <x v="1"/>
    <s v="USMANU DANFODIYO UNIVERSITY TEACHING HOSPITAL ( UDUTH ) SOKOTO"/>
    <x v="1"/>
    <n v="2348030890891"/>
    <s v="passeddissert"/>
    <x v="2"/>
    <x v="2"/>
    <s v="Abuja"/>
    <s v="NGN"/>
    <n v="812500"/>
    <s v=""/>
    <n v="0"/>
    <s v=""/>
    <n v="0"/>
    <s v=""/>
    <s v="53361377WACP364777440"/>
  </r>
  <r>
    <n v="378"/>
    <n v="24395"/>
    <s v="drjessy26@gmail.com"/>
    <s v="OKOLUE Chinwendu Grace Jessica"/>
    <s v="Late Mr. Clement Okolue&amp;#039;s Compound, Awuda, Nnobi, Anambra State"/>
    <x v="0"/>
    <s v="Nnamdi Azikiwe University Teaching Hospital"/>
    <x v="1"/>
    <s v="08066474080"/>
    <s v="firstsitting"/>
    <x v="1"/>
    <x v="3"/>
    <s v="Enugu"/>
    <s v="NGN"/>
    <n v="195000"/>
    <s v=""/>
    <n v="0"/>
    <s v=""/>
    <n v="0"/>
    <s v=""/>
    <s v="243951378WACP242256716"/>
  </r>
  <r>
    <n v="379"/>
    <n v="24382"/>
    <s v="danquah0543540829@gmail.com"/>
    <s v="DANQUAH  Edmond Siaw"/>
    <s v="0543540829"/>
    <x v="1"/>
    <s v="UGMC, Accra"/>
    <x v="2"/>
    <s v="0246001842"/>
    <s v="firstsitting"/>
    <x v="1"/>
    <x v="3"/>
    <s v="Accra"/>
    <s v="NGN"/>
    <n v="195000"/>
    <s v=""/>
    <n v="0"/>
    <s v=""/>
    <n v="0"/>
    <s v=""/>
    <s v="243821379WACP108523352"/>
  </r>
  <r>
    <n v="380"/>
    <n v="10847"/>
    <s v="adaobiokeke86@gmail.com"/>
    <s v="UGOH Adaobi Stellamaris"/>
    <s v="Plot 1632 opp Sir White junction, Works layout, Amakohia jurisdiction, Owerri."/>
    <x v="0"/>
    <s v="Federal Medical Centre Owerri"/>
    <x v="1"/>
    <n v="8136058376"/>
    <s v="firstsitting"/>
    <x v="0"/>
    <x v="0"/>
    <s v="Ibadan"/>
    <s v="NGN"/>
    <n v="552500"/>
    <s v=""/>
    <n v="0"/>
    <s v=""/>
    <n v="0"/>
    <s v=""/>
    <s v="108471380WACP123462104"/>
  </r>
  <r>
    <n v="381"/>
    <n v="24191"/>
    <s v="oreoluwa.fuwape@yahoo.com"/>
    <s v="FUWAPE Oreoluwa Deborah"/>
    <s v="20, Prince Ogunmuda Elemoro street,"/>
    <x v="0"/>
    <s v="Babcock University, Ilishan-Remo, Ogun State, Nigeria"/>
    <x v="1"/>
    <s v="07051734684"/>
    <s v="firstsitting"/>
    <x v="1"/>
    <x v="0"/>
    <s v="Ibadan"/>
    <s v="NGN"/>
    <n v="195000"/>
    <s v=""/>
    <n v="0"/>
    <s v=""/>
    <n v="0"/>
    <s v=""/>
    <s v="241911381WACP806078488"/>
  </r>
  <r>
    <n v="382"/>
    <n v="23917"/>
    <s v="somadinagodsfavour1@gmail.com"/>
    <s v="UDE Somadina Godsfavour"/>
    <s v="7 Corporation Boulevard Trans Ekulu Enugu"/>
    <x v="1"/>
    <s v="University of Nigeria Nsukka"/>
    <x v="1"/>
    <s v="08054514526"/>
    <s v="firstsitting"/>
    <x v="1"/>
    <x v="3"/>
    <s v="Abuja"/>
    <s v="NGN"/>
    <n v="195000"/>
    <s v=""/>
    <n v="0"/>
    <s v=""/>
    <n v="0"/>
    <s v=""/>
    <s v="239171382WACP530356003"/>
  </r>
  <r>
    <n v="383"/>
    <n v="24344"/>
    <s v="williamkamara89@gmail.com"/>
    <s v="KAMARA William "/>
    <s v="Hastings Air Field"/>
    <x v="1"/>
    <s v="College of Medicine and Allied Health Sciences (COMAHS) University of Sierra Leone."/>
    <x v="3"/>
    <n v="23277695101"/>
    <s v="firstsitting"/>
    <x v="1"/>
    <x v="0"/>
    <s v="Freetown"/>
    <s v="NGN"/>
    <n v="195000"/>
    <s v=""/>
    <n v="0"/>
    <s v=""/>
    <n v="0"/>
    <s v=""/>
    <s v="243441383WACP505706510"/>
  </r>
  <r>
    <n v="384"/>
    <n v="18774"/>
    <s v="cakpoke@gmail.com"/>
    <s v="AKPOKE Chukwu Aja"/>
    <s v="Fidelis Oka Compound, Obama village, Abakaliki, Ebonyi State "/>
    <x v="1"/>
    <s v="Alex-Ekwueme Federal University Teaching Hospital, Abakaliki, Ebonyi State, Nigeria"/>
    <x v="1"/>
    <n v="2348062685860"/>
    <s v="firstsitting"/>
    <x v="2"/>
    <x v="2"/>
    <s v="Abuja"/>
    <s v="NGN"/>
    <n v="812500"/>
    <s v=""/>
    <n v="0"/>
    <s v=""/>
    <n v="162500"/>
    <s v=""/>
    <s v="187741384WACP658480419"/>
  </r>
  <r>
    <n v="385"/>
    <n v="18356"/>
    <s v="ann.onda@yahoo.com"/>
    <s v="Ikpe Ann Itoro"/>
    <s v="7 Ekong Uko Street, Eket, Akwa Ibom State"/>
    <x v="0"/>
    <s v="University of Uyo Teaching Hospital, Uyo, Akwa Ibom State."/>
    <x v="1"/>
    <s v="08069267921"/>
    <s v="firstsitting"/>
    <x v="0"/>
    <x v="1"/>
    <s v="Abuja"/>
    <s v="NGN"/>
    <n v="552500"/>
    <s v=""/>
    <n v="0"/>
    <s v=""/>
    <n v="0"/>
    <s v=""/>
    <s v="183561385WACP594695303"/>
  </r>
  <r>
    <n v="386"/>
    <n v="24230"/>
    <s v="sumayyasalisu15@gmail.com"/>
    <s v="SALISU Sumayya Khamisu"/>
    <s v="Kano State"/>
    <x v="0"/>
    <s v="Bayero University Kano"/>
    <x v="1"/>
    <s v="08144888471"/>
    <s v="firstsitting"/>
    <x v="1"/>
    <x v="0"/>
    <s v="Abuja"/>
    <s v="NGN"/>
    <n v="195000"/>
    <s v=""/>
    <n v="0"/>
    <s v=""/>
    <n v="0"/>
    <s v=""/>
    <s v="242301386WACP278406663"/>
  </r>
  <r>
    <n v="387"/>
    <n v="24347"/>
    <s v="aarondanjuma1987@gmail.com"/>
    <s v="Danjuma Shekwonuzayi Aaron"/>
    <s v="Gwagwalada, Abuja"/>
    <x v="1"/>
    <s v="Bingham university"/>
    <x v="1"/>
    <s v="07031852150"/>
    <s v="firstsitting"/>
    <x v="1"/>
    <x v="0"/>
    <s v="Abuja"/>
    <s v="NGN"/>
    <n v="195000"/>
    <s v=""/>
    <n v="0"/>
    <s v=""/>
    <n v="0"/>
    <s v=""/>
    <s v="243471387WACP406099642"/>
  </r>
  <r>
    <n v="388"/>
    <n v="24369"/>
    <s v="olanmairoha@yahoo.com"/>
    <s v="IROHA Olanma Okorie"/>
    <s v="3a oduduwa way"/>
    <x v="0"/>
    <s v="Bingham university"/>
    <x v="1"/>
    <s v="08130327355"/>
    <s v="firstsitting"/>
    <x v="1"/>
    <x v="3"/>
    <s v="Abuja"/>
    <s v="NGN"/>
    <n v="195000"/>
    <s v=""/>
    <n v="0"/>
    <s v=""/>
    <n v="0"/>
    <s v=""/>
    <s v="243691388WACP458095857"/>
  </r>
  <r>
    <n v="389"/>
    <n v="4090"/>
    <s v="glabar@ymail.com"/>
    <s v="MADI Gloria Nghina"/>
    <s v="No. 1 Victor Pam Avenue, Shehe Rayfield, Jos"/>
    <x v="0"/>
    <s v="JUTH"/>
    <x v="1"/>
    <n v="7067056464"/>
    <s v="firstsitting"/>
    <x v="2"/>
    <x v="0"/>
    <s v="Abuja"/>
    <s v="NGN"/>
    <n v="812500"/>
    <s v=""/>
    <n v="0"/>
    <s v=""/>
    <n v="162500"/>
    <s v=""/>
    <s v="40901389WACP578482263"/>
  </r>
  <r>
    <n v="390"/>
    <n v="21243"/>
    <s v="abdulsarumi@gmail.com"/>
    <s v="SARUMI  Abdulkareem  Babatunde "/>
    <s v="FLAT 3 GIDAN YARIMA MILGOMA OPP ABUTH-SHIKA "/>
    <x v="1"/>
    <s v="AHMADU BELLO UNIVERSITY TEACHING HOSPITAL ZARIA "/>
    <x v="1"/>
    <s v="08035464853"/>
    <s v="firstsitting"/>
    <x v="0"/>
    <x v="2"/>
    <s v="Abuja"/>
    <s v="NGN"/>
    <n v="552500"/>
    <s v=""/>
    <n v="110500"/>
    <s v=""/>
    <n v="0"/>
    <s v=""/>
    <s v="212431390WACP922147581"/>
  </r>
  <r>
    <n v="391"/>
    <n v="271"/>
    <s v="spinkybrown@gmail.com"/>
    <s v="AKPUGHE Harriet Voke"/>
    <s v="3 prince audu close oku layout orugwhorun, udu delta state"/>
    <x v="0"/>
    <s v="delta state university teaching hospital oghara"/>
    <x v="1"/>
    <s v="07032482265"/>
    <s v="firstsitting"/>
    <x v="0"/>
    <x v="2"/>
    <s v="Ibadan"/>
    <s v="NGN"/>
    <n v="552500"/>
    <s v=""/>
    <n v="110500"/>
    <s v=""/>
    <n v="0"/>
    <s v=""/>
    <s v="2711391WACP416814437"/>
  </r>
  <r>
    <n v="392"/>
    <n v="4012"/>
    <s v="wnenrit@yahoo.com"/>
    <s v="WAMBUTDA  Nenrit  Lokrit "/>
    <s v="Clinical Medicine Department JUTH Jos, Lamingo Plateau State"/>
    <x v="0"/>
    <s v="JOS UNIVERSITY TEACHING HOSPITAL, JUTH"/>
    <x v="1"/>
    <n v="7038368020"/>
    <s v="firstsitting"/>
    <x v="2"/>
    <x v="0"/>
    <s v="Abuja"/>
    <s v="NGN"/>
    <n v="812500"/>
    <s v=""/>
    <n v="0"/>
    <s v=""/>
    <n v="162500"/>
    <s v=""/>
    <s v="40121392WACP812444108"/>
  </r>
  <r>
    <n v="393"/>
    <n v="2879"/>
    <s v="chinweubafrancis@yahoo.com"/>
    <s v="CHINWEUBA Francis Uzochukwu"/>
    <s v="Dept of Population Health National Hospital Abuja"/>
    <x v="1"/>
    <s v="Federal Capital Territory."/>
    <x v="1"/>
    <n v="2348165777778"/>
    <s v="firstsitting"/>
    <x v="2"/>
    <x v="1"/>
    <s v="Ibadan"/>
    <s v="NGN"/>
    <n v="812500"/>
    <s v=""/>
    <n v="0"/>
    <s v=""/>
    <n v="162500"/>
    <s v=""/>
    <s v="28791393WACP743104083"/>
  </r>
  <r>
    <n v="394"/>
    <n v="22359"/>
    <s v="yauusman031@gmail.com"/>
    <s v="USMAN Yau "/>
    <s v="Mairuwa Faskari LGA, Katsina state Nigeria"/>
    <x v="1"/>
    <s v="University of Maiduguri College Of Medical Sciences "/>
    <x v="1"/>
    <s v="07066551650"/>
    <s v="firstsitting"/>
    <x v="1"/>
    <x v="0"/>
    <s v="Abuja"/>
    <s v="NGN"/>
    <n v="195000"/>
    <s v=""/>
    <n v="0"/>
    <s v=""/>
    <n v="0"/>
    <s v=""/>
    <s v="223591394WACP619743944"/>
  </r>
  <r>
    <n v="395"/>
    <n v="24332"/>
    <s v="aishaaibrahim17@gmail.com"/>
    <s v="IBRAHIM  Aisha Aliyu"/>
    <s v="Sharada Phase II, Kano"/>
    <x v="0"/>
    <s v="Aminu Kano Teaching Hospital"/>
    <x v="1"/>
    <n v="2348146196738"/>
    <s v="firstsitting"/>
    <x v="1"/>
    <x v="2"/>
    <s v="Abuja"/>
    <s v="NGN"/>
    <n v="195000"/>
    <s v=""/>
    <n v="0"/>
    <s v=""/>
    <n v="0"/>
    <s v=""/>
    <s v="243321395WACP447276573"/>
  </r>
  <r>
    <n v="396"/>
    <n v="24405"/>
    <s v="aseeyah33@gmail.com"/>
    <s v="YUNUS Asiya Ahmad"/>
    <s v="Bauchi"/>
    <x v="0"/>
    <s v="ATBUTH"/>
    <x v="1"/>
    <s v="08066602192"/>
    <s v="firstsitting"/>
    <x v="1"/>
    <x v="0"/>
    <s v="Abuja"/>
    <s v="NGN"/>
    <n v="195000"/>
    <s v=""/>
    <n v="0"/>
    <s v=""/>
    <n v="0"/>
    <s v=""/>
    <s v="244051396WACP661457463"/>
  </r>
  <r>
    <n v="397"/>
    <n v="19986"/>
    <s v="oduroalexa@gmail.com"/>
    <s v="ODURO Jill Alexa"/>
    <s v="P.O. Box Tl 700, Tamale"/>
    <x v="0"/>
    <s v="KORLE BU TEACHING HOSPITAL"/>
    <x v="2"/>
    <s v="0206582599"/>
    <s v="resitting"/>
    <x v="0"/>
    <x v="3"/>
    <s v="Accra"/>
    <s v="USD"/>
    <s v=""/>
    <n v="425"/>
    <s v=""/>
    <n v="0"/>
    <s v=""/>
    <n v="0"/>
    <s v="GHWACP19986397"/>
  </r>
  <r>
    <n v="398"/>
    <n v="23063"/>
    <s v="ifykriss@yahoo.co.uk"/>
    <s v="UDEH Ifeoma Uchechukwu"/>
    <s v="Number 142 Okota road opposite Access bank, Isolo-Oshodi, Lagos"/>
    <x v="0"/>
    <s v="Igbinedion University Okada, Edo state"/>
    <x v="1"/>
    <s v="08050718248"/>
    <s v="firstsitting"/>
    <x v="1"/>
    <x v="0"/>
    <s v="Ibadan"/>
    <s v="NGN"/>
    <n v="195000"/>
    <s v=""/>
    <n v="0"/>
    <s v=""/>
    <n v="0"/>
    <s v=""/>
    <s v="230631398WACP969508116"/>
  </r>
  <r>
    <n v="399"/>
    <n v="16262"/>
    <s v="augustineodanye1@yahoo.com"/>
    <s v="ODANYE Augustine Leke"/>
    <s v="No 12 bamgbopa street, abule ijesha, Yaba, Lagos"/>
    <x v="1"/>
    <s v="Lagos University Teaching Hospital and UNIMEDTHC, ONDO."/>
    <x v="1"/>
    <n v="2348035921138"/>
    <s v="passedorals"/>
    <x v="2"/>
    <x v="3"/>
    <s v="Ibadan"/>
    <s v="NGN"/>
    <n v="812500"/>
    <s v=""/>
    <n v="0"/>
    <s v=""/>
    <n v="162500"/>
    <s v=""/>
    <s v="162621399WACP881292981"/>
  </r>
  <r>
    <n v="400"/>
    <n v="22223"/>
    <s v="karimahsaleh014@gmail.com"/>
    <s v="SALEH Karimah Abdulhamid "/>
    <s v="Chikaji Sabon Layi Zaria, Kaduna."/>
    <x v="0"/>
    <s v="Islamic University in Uganda"/>
    <x v="1"/>
    <s v="08138021008"/>
    <s v="firstsitting"/>
    <x v="1"/>
    <x v="3"/>
    <s v="Abuja"/>
    <s v="NGN"/>
    <n v="195000"/>
    <s v=""/>
    <n v="0"/>
    <s v=""/>
    <n v="0"/>
    <s v=""/>
    <s v="GHWACP527565601"/>
  </r>
  <r>
    <n v="401"/>
    <n v="23291"/>
    <s v="owens4smile@gmail.com"/>
    <s v="OSADOLOR owens osarenoma"/>
    <s v="8,osarenmwinda st behind school of health technology off dumez road"/>
    <x v="1"/>
    <s v="edo specialist hospital benin"/>
    <x v="1"/>
    <s v="08138872603"/>
    <s v="resitting"/>
    <x v="1"/>
    <x v="0"/>
    <s v="Enugu"/>
    <s v="NGN"/>
    <n v="195000"/>
    <s v=""/>
    <n v="0"/>
    <s v=""/>
    <n v="0"/>
    <s v=""/>
    <s v="232911401WACP958604084"/>
  </r>
  <r>
    <n v="402"/>
    <n v="18795"/>
    <s v="mskalgo230798@gmail.com"/>
    <s v="SANI Maryam Kalgo"/>
    <s v="Department of Clinical Medicine,Usman danfodio university teaching hospital sokoto."/>
    <x v="0"/>
    <s v="Usman danfodio university teaching hospital sokoto"/>
    <x v="1"/>
    <s v="08138748284"/>
    <s v="firstsitting"/>
    <x v="2"/>
    <x v="0"/>
    <s v="Abuja"/>
    <s v="NGN"/>
    <n v="812500"/>
    <s v=""/>
    <n v="0"/>
    <s v=""/>
    <n v="162500"/>
    <s v=""/>
    <s v="187951402WACP909767771"/>
  </r>
  <r>
    <n v="403"/>
    <n v="18072"/>
    <s v="blessingchituru@ymail.com"/>
    <s v="AMADI Blessing Chituru"/>
    <s v="Department of Child Health, Rivers State University Teaching Hospital"/>
    <x v="0"/>
    <s v="Rivers State University Teaching Hospital"/>
    <x v="1"/>
    <s v="08148190556"/>
    <s v="resitting"/>
    <x v="0"/>
    <x v="3"/>
    <s v="Enugu"/>
    <s v="NGN"/>
    <n v="552500"/>
    <s v=""/>
    <n v="0"/>
    <s v=""/>
    <n v="0"/>
    <s v=""/>
    <s v="180721403WACP796872925"/>
  </r>
  <r>
    <n v="404"/>
    <n v="9992"/>
    <s v="vic4laughter@yahoo.com"/>
    <s v="OMOLOLA Victoria Abimbola"/>
    <s v="No 14 street, Ajasa command White House bus stop Lagos state."/>
    <x v="0"/>
    <s v="University of ilorin"/>
    <x v="1"/>
    <s v="08034261557"/>
    <s v="resitting"/>
    <x v="0"/>
    <x v="1"/>
    <s v="Ibadan"/>
    <s v="NGN"/>
    <n v="552500"/>
    <s v=""/>
    <n v="0"/>
    <s v=""/>
    <n v="0"/>
    <s v=""/>
    <s v="99921404WACP306278159"/>
  </r>
  <r>
    <n v="405"/>
    <n v="1343"/>
    <s v="joynimzing2080@gmail.com"/>
    <s v="AYUBA  Joy Ringle"/>
    <s v="C/o Department of Child Health,JUTH, P.M.B 2076, Jos, Plateau State"/>
    <x v="0"/>
    <s v="Jos University Teaching Hospital "/>
    <x v="1"/>
    <n v="8067822925"/>
    <s v="firstsitting"/>
    <x v="2"/>
    <x v="3"/>
    <s v="Abuja"/>
    <s v="NGN"/>
    <n v="812500"/>
    <s v=""/>
    <n v="0"/>
    <s v=""/>
    <n v="162500"/>
    <s v=""/>
    <s v="13431405WACP549297573"/>
  </r>
  <r>
    <n v="406"/>
    <n v="10804"/>
    <s v="fobtoyinj8@gmail.com"/>
    <s v="FAGBOHUN  Oluwatoyin  Bosede"/>
    <s v="P.o.box 637, Garki, Abuja, Nigeria"/>
    <x v="0"/>
    <s v="Bowen University Iwo"/>
    <x v="1"/>
    <s v="08165768853"/>
    <s v="firstsitting"/>
    <x v="0"/>
    <x v="1"/>
    <s v="Abuja"/>
    <s v="NGN"/>
    <n v="552500"/>
    <s v=""/>
    <n v="0"/>
    <s v=""/>
    <n v="0"/>
    <s v=""/>
    <s v="108041406WACP388627704"/>
  </r>
  <r>
    <n v="407"/>
    <n v="22456"/>
    <s v="osaivbieiyamu@gmail.com"/>
    <s v="IKHUIWU Osaivbie Iriagbonse"/>
    <s v="14, Fokutu Avenue, Ajao Estate, Anthony Village, Lagos"/>
    <x v="0"/>
    <s v="Lagos State University Teaching Hospital "/>
    <x v="1"/>
    <s v="08074119576"/>
    <s v="firstsitting"/>
    <x v="0"/>
    <x v="1"/>
    <s v="Ibadan"/>
    <s v="NGN"/>
    <n v="552500"/>
    <s v=""/>
    <n v="0"/>
    <s v=""/>
    <n v="0"/>
    <s v=""/>
    <s v="224561407WACP393690481"/>
  </r>
  <r>
    <n v="408"/>
    <n v="21398"/>
    <s v="tafeedah92@gmail.com"/>
    <s v="TAFIDA Kabiru Ibrahim"/>
    <s v="Tatari Ali Quarters Azare"/>
    <x v="1"/>
    <s v="Federal University Of Health Sciences Teaching Hospital, Azare."/>
    <x v="1"/>
    <s v="07065840877"/>
    <s v="firstsitting"/>
    <x v="0"/>
    <x v="1"/>
    <s v="Abuja"/>
    <s v="NGN"/>
    <n v="552500"/>
    <s v=""/>
    <n v="0"/>
    <s v=""/>
    <n v="0"/>
    <s v=""/>
    <s v="213981408WACP533112052"/>
  </r>
  <r>
    <n v="409"/>
    <n v="19349"/>
    <s v="oluwatobiezeT@gmail.com"/>
    <s v="JOHN-ELENDU  Tochukwu Oluwatobi"/>
    <s v="49, Ogunmuyiwa Street off Baruwa Busstop, Ijesha Surulere, Lagos, Nigeria."/>
    <x v="0"/>
    <s v="University of Lagos "/>
    <x v="1"/>
    <s v="08188364807"/>
    <s v="firstsitting"/>
    <x v="0"/>
    <x v="0"/>
    <s v="Ibadan"/>
    <s v="NGN"/>
    <n v="552500"/>
    <s v=""/>
    <n v="0"/>
    <s v=""/>
    <n v="0"/>
    <s v=""/>
    <s v="193491409WACP58187078"/>
  </r>
  <r>
    <n v="410"/>
    <n v="11990"/>
    <s v="genevieveoforkansii@gmail.com"/>
    <s v="OFORKANSI  Ijeoma Genevieve"/>
    <s v="NO 4 ASOGWA CLOSE,  NEAR OUR SAVIOUR ANG CHURCH ONEDAY BUS STOP AGBANI RD AWKUNANAW ENUGU "/>
    <x v="0"/>
    <s v="UNIVERSITY OF NIGERIA TEACHING HOSPITAL ITUKU OZALLA ENUGU "/>
    <x v="1"/>
    <s v="08030956210"/>
    <s v="resitting"/>
    <x v="0"/>
    <x v="3"/>
    <s v="Abuja"/>
    <s v="NGN"/>
    <n v="552500"/>
    <s v=""/>
    <n v="0"/>
    <s v=""/>
    <n v="0"/>
    <s v=""/>
    <s v="119901410WACP114329394"/>
  </r>
  <r>
    <n v="411"/>
    <n v="24421"/>
    <s v="nou258197278@noun.edu.ng"/>
    <s v="OKOLIE Gladness Uche"/>
    <s v="No 10,sir nod Okoli crescent oduke, Asaba"/>
    <x v="1"/>
    <s v="Mother and child specialist hospital owa alero Delta state"/>
    <x v="1"/>
    <s v="07035447198"/>
    <s v="firstsitting"/>
    <x v="1"/>
    <x v="2"/>
    <s v="Enugu"/>
    <s v="NGN"/>
    <n v="195000"/>
    <s v=""/>
    <n v="0"/>
    <s v=""/>
    <n v="0"/>
    <s v=""/>
    <s v="244211411WACP878245074"/>
  </r>
  <r>
    <n v="412"/>
    <n v="6062"/>
    <s v="afelyndaa@gmail.com"/>
    <s v="ATSEN lynda afe"/>
    <s v="University of Abuja Teaching Hospital Gwagwalada "/>
    <x v="0"/>
    <s v="University of Abuja Teaching Hospital Gwagwalada"/>
    <x v="1"/>
    <s v="08068131469"/>
    <s v="casebook"/>
    <x v="2"/>
    <x v="3"/>
    <s v="Ibadan"/>
    <s v="NGN"/>
    <n v="812500"/>
    <s v=""/>
    <n v="0"/>
    <s v=""/>
    <n v="162500"/>
    <s v=""/>
    <s v="60621412WACP717839593"/>
  </r>
  <r>
    <n v="413"/>
    <n v="971"/>
    <s v="ummisufi@yahoo.com"/>
    <s v="ADAMU Rabi Sufi "/>
    <s v="Number 20 korau roadNasarawa GRA Kano"/>
    <x v="0"/>
    <s v="Aminu Kano Teaching Hospital Kano"/>
    <x v="1"/>
    <n v="8037852557"/>
    <s v="firstsitting"/>
    <x v="2"/>
    <x v="2"/>
    <s v="Ibadan"/>
    <s v="NGN"/>
    <n v="812500"/>
    <s v=""/>
    <n v="0"/>
    <s v=""/>
    <n v="162500"/>
    <s v=""/>
    <s v="9711413WACP813937148"/>
  </r>
  <r>
    <n v="414"/>
    <n v="18020"/>
    <s v="onyinyechi.anoke@gmail.com"/>
    <s v="ANOKE Onyinyechi Victoria"/>
    <s v="Anatomical Pathology Department, University of Benin Teaching Hospital"/>
    <x v="0"/>
    <s v="University of Benin Teaching Hospital"/>
    <x v="1"/>
    <s v="08102679428"/>
    <s v="firstsitting"/>
    <x v="0"/>
    <x v="0"/>
    <s v="Ibadan"/>
    <s v="NGN"/>
    <n v="552500"/>
    <s v=""/>
    <n v="110500"/>
    <s v=""/>
    <n v="0"/>
    <s v=""/>
    <s v="180201414WACP352174463"/>
  </r>
  <r>
    <n v="415"/>
    <n v="9698"/>
    <s v="trumpgoddu@gmail.com"/>
    <s v="Godwin ANIGBOGU  Ogbobe"/>
    <s v="Department of Community Medicine, Alex Ekwueme Federal Teaching Hospital, Abakaliki"/>
    <x v="1"/>
    <s v="Alex Ekwueme Federal University Teaching Hospital, Abakaliki"/>
    <x v="1"/>
    <n v="8063585294"/>
    <s v="firstsitting"/>
    <x v="0"/>
    <x v="2"/>
    <s v="Enugu"/>
    <s v="USD"/>
    <s v=""/>
    <n v="425"/>
    <s v=""/>
    <n v="85"/>
    <s v=""/>
    <n v="0"/>
    <s v="96981415WACP596910936"/>
  </r>
  <r>
    <n v="416"/>
    <n v="7712"/>
    <s v="nimsascophd13@gmail.com"/>
    <s v="ISA Hamza "/>
    <s v="Department of Clinical Medicine,Ahmadu Bello University Teaching Hospital Zaria,Kaduna State.Nigeria "/>
    <x v="1"/>
    <s v="Ahmadu Bello University Teaching Hospital Zaria"/>
    <x v="1"/>
    <n v="2348034530255"/>
    <s v="casebook"/>
    <x v="2"/>
    <x v="0"/>
    <s v="Abuja"/>
    <s v="NGN"/>
    <n v="812500"/>
    <s v=""/>
    <n v="0"/>
    <s v=""/>
    <n v="162500"/>
    <s v=""/>
    <s v="77121416WACP286356414"/>
  </r>
  <r>
    <n v="417"/>
    <n v="18711"/>
    <s v="adeyemicapella@yahoo.com"/>
    <s v="Adeyemi Blessing Oladayo"/>
    <s v="Block 1A, Mercy Court , Redemption city , Ogun state "/>
    <x v="0"/>
    <s v="Redeemers Health Centre"/>
    <x v="1"/>
    <s v="08038423853"/>
    <s v="firstsitting"/>
    <x v="0"/>
    <x v="0"/>
    <s v="Ibadan"/>
    <s v="NGN"/>
    <n v="552500"/>
    <s v=""/>
    <n v="0"/>
    <s v=""/>
    <n v="0"/>
    <s v=""/>
    <s v="187111417WACP41860387"/>
  </r>
  <r>
    <n v="418"/>
    <n v="24351"/>
    <s v="emma@yoaent.com"/>
    <s v="AMANKWAA Emmanuel Wiredu"/>
    <s v="0557909518"/>
    <x v="1"/>
    <s v="GHS - Achimota Hospital "/>
    <x v="2"/>
    <s v="0557909518"/>
    <s v="firstsitting"/>
    <x v="1"/>
    <x v="2"/>
    <s v="Accra"/>
    <s v="USD"/>
    <s v=""/>
    <n v="150"/>
    <s v=""/>
    <n v="0"/>
    <s v=""/>
    <n v="0"/>
    <s v="GHWACP645792218"/>
  </r>
  <r>
    <n v="419"/>
    <n v="8574"/>
    <s v="fridemma1@gmail.com"/>
    <s v="ALOBU Friday  Iteshi "/>
    <s v="Department of Clinical Medicine,ESUT Teaching Hospital Parklane, Enugu, Enugu State"/>
    <x v="1"/>
    <s v="ENUGU STATE UNIVERSITY UNIVERSITY TEACHING PARKLANE"/>
    <x v="1"/>
    <n v="2348134598862"/>
    <s v="resitting"/>
    <x v="0"/>
    <x v="0"/>
    <s v="Ibadan"/>
    <s v="NGN"/>
    <n v="552500"/>
    <s v=""/>
    <n v="0"/>
    <s v=""/>
    <n v="0"/>
    <s v=""/>
    <s v="85741419WACP689528475"/>
  </r>
  <r>
    <n v="420"/>
    <n v="24150"/>
    <s v="Adewalevictoria.o@gmail.com"/>
    <s v="AYOOLA Victoria Oluwayemisi"/>
    <s v="Estate 15, Redeemption camp, Pakuro, Ogun State"/>
    <x v="0"/>
    <s v="Bowen University Teaching Hospital"/>
    <x v="1"/>
    <s v="08134025126"/>
    <s v="firstsitting"/>
    <x v="1"/>
    <x v="1"/>
    <s v="Ibadan"/>
    <s v="NGN"/>
    <n v="195000"/>
    <s v=""/>
    <n v="0"/>
    <s v=""/>
    <n v="0"/>
    <s v=""/>
    <s v="241501420WACP11054876"/>
  </r>
  <r>
    <n v="421"/>
    <n v="23773"/>
    <s v="Okorouchenna8@yahoo.com"/>
    <s v="OKORO Uchenna Alexander"/>
    <s v="45 Umuimo road aba"/>
    <x v="1"/>
    <s v="ABSUTH"/>
    <x v="1"/>
    <s v="08037900957"/>
    <s v="firstsitting"/>
    <x v="1"/>
    <x v="3"/>
    <s v="Enugu"/>
    <s v="NGN"/>
    <n v="195000"/>
    <s v=""/>
    <n v="0"/>
    <s v=""/>
    <n v="0"/>
    <s v=""/>
    <s v="237731421WACP497352447"/>
  </r>
  <r>
    <n v="422"/>
    <n v="24145"/>
    <s v="adebolakasopefoluwa57@gmail.com"/>
    <s v="BOLARINWA Adebola Kasopefoluwa"/>
    <s v="14, Currency Close, Oluyole Extension, Ibadan"/>
    <x v="0"/>
    <s v="University of Ibadan"/>
    <x v="1"/>
    <s v="07064235351"/>
    <s v="firstsitting"/>
    <x v="1"/>
    <x v="4"/>
    <s v="Ibadan"/>
    <s v="NGN"/>
    <n v="195000"/>
    <s v=""/>
    <n v="0"/>
    <s v=""/>
    <n v="0"/>
    <s v=""/>
    <s v="241451422WACP372669595"/>
  </r>
  <r>
    <n v="423"/>
    <n v="2700"/>
    <s v="abaatsem@yahoo.com"/>
    <s v="ATSEM  Nana Aba  Not Applicable "/>
    <s v="P. O. BOX LG 1102 , LEGON , ACCRA , GHANA"/>
    <x v="0"/>
    <s v="KORLE BU TEACHING HOSPITAL "/>
    <x v="2"/>
    <n v="209844142"/>
    <s v="firstsitting"/>
    <x v="2"/>
    <x v="1"/>
    <s v="Accra"/>
    <s v="USD"/>
    <s v=""/>
    <n v="625"/>
    <s v=""/>
    <n v="0"/>
    <s v=""/>
    <n v="125"/>
    <s v="GHWACP879294157"/>
  </r>
  <r>
    <n v="424"/>
    <n v="5283"/>
    <s v="olaphemmy11@yahoo.com"/>
    <s v="AINA oluwafemi adedayo"/>
    <s v="UNIOSUN  TEACHING HOSPITAL OSOGBO."/>
    <x v="1"/>
    <s v="UNIOSUN TEACHING HOSPITAL"/>
    <x v="1"/>
    <n v="8039133709"/>
    <s v="firstsitting"/>
    <x v="2"/>
    <x v="0"/>
    <s v="Ibadan"/>
    <s v="NGN"/>
    <n v="812500"/>
    <s v=""/>
    <n v="0"/>
    <s v=""/>
    <n v="162500"/>
    <s v=""/>
    <s v="52831424WACP843710629"/>
  </r>
  <r>
    <n v="425"/>
    <n v="24371"/>
    <s v="yomifola7@gmail.com"/>
    <s v="FOLA-ADIO Sheriff abayomi"/>
    <s v="07076021367"/>
    <x v="1"/>
    <s v="Sobi Specialist Hospital"/>
    <x v="1"/>
    <s v="07076021367"/>
    <s v="firstsitting"/>
    <x v="1"/>
    <x v="3"/>
    <s v="Ibadan"/>
    <s v="NGN"/>
    <n v="195000"/>
    <s v=""/>
    <n v="0"/>
    <s v=""/>
    <n v="0"/>
    <s v=""/>
    <s v="243711425WACP161052663"/>
  </r>
  <r>
    <n v="426"/>
    <n v="18526"/>
    <s v="elversh105@gmail.com"/>
    <s v="IKPAMBESE Vershima David"/>
    <s v="Federal Medical Center Makurdi"/>
    <x v="1"/>
    <s v="National Hospital Abuja"/>
    <x v="1"/>
    <s v="08066905353"/>
    <s v="resitting"/>
    <x v="0"/>
    <x v="3"/>
    <s v="Abuja"/>
    <s v="NGN"/>
    <n v="552500"/>
    <s v=""/>
    <n v="0"/>
    <s v=""/>
    <n v="0"/>
    <s v=""/>
    <s v="185261426WACP706814753"/>
  </r>
  <r>
    <n v="427"/>
    <n v="24153"/>
    <s v="drjamesdgreat@gmail.com"/>
    <s v="GRIKPA James Ebimiyen"/>
    <s v="Engr. John Ekpe&amp;#039;s compound, Jude Omorigho Street Ugbeyiyi, Sapele Delta state, Nigeria"/>
    <x v="1"/>
    <s v="Delta state University Teaching Hospital Oghara, Delta state, Nigeria"/>
    <x v="1"/>
    <s v="07036566141"/>
    <s v="firstsitting"/>
    <x v="1"/>
    <x v="0"/>
    <s v="Abuja"/>
    <s v="NGN"/>
    <n v="195000"/>
    <s v=""/>
    <n v="0"/>
    <s v=""/>
    <n v="0"/>
    <s v=""/>
    <s v="241531427WACP53810413"/>
  </r>
  <r>
    <n v="428"/>
    <n v="3965"/>
    <s v="paul.msugh@gmail.com"/>
    <s v="ASOR Paul Msugh"/>
    <s v="Benue State University Teaching Hospital KM 3 Gboko Road Makurdi "/>
    <x v="1"/>
    <s v="Benue State University Teaching Hospital KM 3 Gboko Road Makurdi "/>
    <x v="1"/>
    <s v="08034031643"/>
    <s v="firstsitting"/>
    <x v="2"/>
    <x v="3"/>
    <s v="Ibadan"/>
    <s v="NGN"/>
    <n v="812500"/>
    <s v=""/>
    <n v="0"/>
    <s v=""/>
    <n v="162500"/>
    <s v=""/>
    <s v="39651428WACP699140449"/>
  </r>
  <r>
    <n v="429"/>
    <n v="18841"/>
    <s v="naadjeley@ymail.com"/>
    <s v="ADJETEY  Naomi Dianne Naa Adjeley "/>
    <s v="KATH(CHILD HEALTH DIRECTORATE), P.O. BOX 1934, KUMASI, GHANA"/>
    <x v="0"/>
    <s v="Komfo Anokye Teaching Hospital "/>
    <x v="2"/>
    <n v="233243266616"/>
    <s v="passedorals"/>
    <x v="2"/>
    <x v="1"/>
    <s v="Accra"/>
    <s v="USD"/>
    <s v=""/>
    <n v="625"/>
    <s v=""/>
    <n v="0"/>
    <s v=""/>
    <n v="125"/>
    <s v="GHWACP480200981"/>
  </r>
  <r>
    <n v="430"/>
    <n v="11133"/>
    <s v="richealobodo@gmail.com"/>
    <s v="OBODO  Celestina  chisom"/>
    <s v="ENUGU STATE UNIVERSITY TEACHING HOSPITAL PARKLANE "/>
    <x v="0"/>
    <s v="ENUGU STATE UNIVERSITY TEACHING HOSPITAL PARKLANE"/>
    <x v="1"/>
    <s v="08030913903"/>
    <s v="firstsitting"/>
    <x v="0"/>
    <x v="3"/>
    <s v="Ibadan"/>
    <s v="NGN"/>
    <n v="552500"/>
    <s v=""/>
    <n v="0"/>
    <s v=""/>
    <n v="0"/>
    <s v=""/>
    <s v="111331430WACP922152771"/>
  </r>
  <r>
    <n v="431"/>
    <n v="24135"/>
    <s v="goodnessdibeh@gmail.com"/>
    <s v="IBEH Goodness Daberechi"/>
    <s v="Ndiakwu Otolo Nnewi Anambra State"/>
    <x v="0"/>
    <s v="Nnamdi Azikiwe University"/>
    <x v="1"/>
    <s v="08149023923"/>
    <s v="firstsitting"/>
    <x v="1"/>
    <x v="3"/>
    <s v="Ibadan"/>
    <s v="NGN"/>
    <n v="195000"/>
    <s v=""/>
    <n v="0"/>
    <s v=""/>
    <n v="0"/>
    <s v=""/>
    <s v="241351431WACP468858025"/>
  </r>
  <r>
    <n v="432"/>
    <n v="24406"/>
    <s v="nafisat.isah.ahmad@gmail.com"/>
    <s v="AHMAD Nafisat Isah"/>
    <s v="Plot 11/13 Ahmadu chanchangi road kinkinau GRA,kaduna"/>
    <x v="0"/>
    <s v="Nile university Khartoum"/>
    <x v="1"/>
    <s v="08061458733"/>
    <s v="firstsitting"/>
    <x v="1"/>
    <x v="2"/>
    <s v="Abuja"/>
    <s v="NGN"/>
    <n v="195000"/>
    <s v=""/>
    <n v="0"/>
    <s v=""/>
    <n v="0"/>
    <s v=""/>
    <s v="244061432WACP784950299"/>
  </r>
  <r>
    <n v="433"/>
    <n v="21725"/>
    <s v="linaanthony45@gmail.com"/>
    <s v="ARIRI Ugochi Petrolina"/>
    <s v="Umuagu umuguma Owerri"/>
    <x v="0"/>
    <s v="Imo state university"/>
    <x v="1"/>
    <s v="08060483369"/>
    <s v="resitting"/>
    <x v="1"/>
    <x v="4"/>
    <s v="Enugu"/>
    <s v="NGN"/>
    <n v="195000"/>
    <s v=""/>
    <n v="0"/>
    <s v=""/>
    <n v="0"/>
    <s v=""/>
    <s v="217251433WACP621601770"/>
  </r>
  <r>
    <n v="435"/>
    <n v="21248"/>
    <s v="nuvity2013@gmail.com"/>
    <s v="OKUPA-OYOBERE  Oghenesiuvwe  Nuvie"/>
    <s v="Oyobere close James Amafade street Along NPA express way Ekpan "/>
    <x v="0"/>
    <s v="Delta state university teaching hospital, Oghara"/>
    <x v="1"/>
    <s v="08134972198"/>
    <s v="firstsitting"/>
    <x v="0"/>
    <x v="2"/>
    <s v="Abuja"/>
    <s v="NGN"/>
    <n v="552500"/>
    <s v=""/>
    <n v="110500"/>
    <s v=""/>
    <n v="0"/>
    <s v=""/>
    <s v="212481435WACP161115009"/>
  </r>
  <r>
    <n v="436"/>
    <n v="22849"/>
    <s v="zulaihatusarki@gmail.com"/>
    <s v="SULAIMAN  Zaliha  Sarki"/>
    <s v="777 housing estate"/>
    <x v="0"/>
    <s v="El-razi university "/>
    <x v="1"/>
    <s v="07063930084"/>
    <s v="firstsitting"/>
    <x v="1"/>
    <x v="1"/>
    <s v="Abuja"/>
    <s v="NGN"/>
    <n v="195000"/>
    <s v=""/>
    <n v="0"/>
    <s v=""/>
    <n v="0"/>
    <s v=""/>
    <s v="228491436WACP917638516"/>
  </r>
  <r>
    <n v="437"/>
    <n v="24428"/>
    <s v="yakakazanna@gmail.com"/>
    <s v="ZANNAH YAKAKA UMAR"/>
    <s v="House 24, 21 Road, Second Avenue, Gwarinpa"/>
    <x v="0"/>
    <s v="Private Hospital (LESHA HOSPITAL)"/>
    <x v="1"/>
    <s v="08065265756"/>
    <s v="firstsitting"/>
    <x v="1"/>
    <x v="0"/>
    <s v="Abuja"/>
    <s v="NGN"/>
    <n v="195000"/>
    <s v=""/>
    <n v="0"/>
    <s v=""/>
    <n v="0"/>
    <s v=""/>
    <s v="244281437WACP872653258"/>
  </r>
  <r>
    <n v="438"/>
    <n v="10604"/>
    <s v="templeetete@yahoo.com"/>
    <s v="Temple Bassey Etete"/>
    <s v="Department of Child Health, University of Benin Teaching Hospital, Benin City, Edo State"/>
    <x v="1"/>
    <s v="University of Benin Teaching Hospital"/>
    <x v="1"/>
    <s v="08036316645"/>
    <s v="firstsitting"/>
    <x v="2"/>
    <x v="3"/>
    <s v="Ibadan"/>
    <s v="NGN"/>
    <n v="812500"/>
    <s v=""/>
    <n v="0"/>
    <s v=""/>
    <n v="162500"/>
    <s v=""/>
    <s v="106041438WACP612759116"/>
  </r>
  <r>
    <n v="439"/>
    <n v="24282"/>
    <s v="oseiyaw1994@yahoo.com"/>
    <s v="FREDUA-ANTOH Barima Osei Yaw"/>
    <s v="C/O Prof. Mrs. Ernestina Fredua-Antoh, B.I.R.D-K.N.U.S.T, Kumasi"/>
    <x v="1"/>
    <s v="Komfo Anokye Teaching Hospital"/>
    <x v="2"/>
    <s v="0542312998"/>
    <s v="firstsitting"/>
    <x v="1"/>
    <x v="3"/>
    <s v="Accra"/>
    <s v="USD"/>
    <s v=""/>
    <n v="150"/>
    <s v=""/>
    <n v="0"/>
    <s v=""/>
    <n v="0"/>
    <s v="GHWACP375494968"/>
  </r>
  <r>
    <n v="440"/>
    <n v="18580"/>
    <s v="dareaderemianu@gmail.com"/>
    <s v="DARE aderemi aanuoluwapo"/>
    <s v="Federal medical centre Owo, Ondo state "/>
    <x v="1"/>
    <s v="Federal medical centre Owo, Ondo State "/>
    <x v="1"/>
    <s v="07062166675"/>
    <s v="resitting"/>
    <x v="0"/>
    <x v="0"/>
    <s v="Ibadan"/>
    <s v="NGN"/>
    <n v="552500"/>
    <s v=""/>
    <n v="0"/>
    <s v=""/>
    <n v="0"/>
    <s v=""/>
    <s v="185801440WACP610495202"/>
  </r>
  <r>
    <n v="441"/>
    <n v="4107"/>
    <s v="colonellegacy35@gmail.com"/>
    <s v="OKEREKE Henry Chimnonso"/>
    <s v="Department of community medicine, University of Nigeria Teaching Hospital(Old site), Enugu"/>
    <x v="1"/>
    <s v="University of Nigeria Teaching Hospital Enugu"/>
    <x v="1"/>
    <n v="8030924224"/>
    <s v="firstsitting"/>
    <x v="2"/>
    <x v="2"/>
    <s v="Abuja"/>
    <s v="NGN"/>
    <n v="812500"/>
    <s v=""/>
    <n v="0"/>
    <s v=""/>
    <n v="162500"/>
    <s v=""/>
    <s v="41071441WACP285314965"/>
  </r>
  <r>
    <n v="442"/>
    <n v="18037"/>
    <s v="Aishabashirfarfaru687@gmail.com"/>
    <s v="BASHIR Aisha  Farfaru"/>
    <s v="Malali. Katsina "/>
    <x v="0"/>
    <s v="Federal teaching Hospital Katsina. "/>
    <x v="1"/>
    <s v="08060828029"/>
    <s v="firstsitting"/>
    <x v="0"/>
    <x v="3"/>
    <s v="Abuja"/>
    <s v="NGN"/>
    <n v="552500"/>
    <s v=""/>
    <n v="0"/>
    <s v=""/>
    <n v="0"/>
    <s v=""/>
    <s v="180371442WACP438170038"/>
  </r>
  <r>
    <n v="443"/>
    <n v="22617"/>
    <s v="hauwahassan278@gmail.com"/>
    <s v="HASSAN hauwa "/>
    <s v="NO 30 UMAR ADAMU STREET"/>
    <x v="0"/>
    <s v="SHENYANG MEDICAL COLLEGE"/>
    <x v="1"/>
    <s v="09048425070"/>
    <s v="firstsitting"/>
    <x v="1"/>
    <x v="2"/>
    <s v="Abuja"/>
    <s v="NGN"/>
    <n v="195000"/>
    <s v=""/>
    <n v="0"/>
    <s v=""/>
    <n v="0"/>
    <s v=""/>
    <s v="226171443WACP645692294"/>
  </r>
  <r>
    <n v="444"/>
    <n v="11042"/>
    <s v="vincentogidi100@gmail.com"/>
    <s v="OGIDI Vincent Oodo"/>
    <s v="One man village by world gate junction mararaba, nasarawa state"/>
    <x v="1"/>
    <s v="Federal medical centre keffi, Nasarawa state"/>
    <x v="1"/>
    <n v="7035605838"/>
    <s v="resitting"/>
    <x v="1"/>
    <x v="0"/>
    <s v="Abuja"/>
    <s v="NGN"/>
    <n v="195000"/>
    <s v=""/>
    <n v="0"/>
    <s v=""/>
    <n v="0"/>
    <s v=""/>
    <s v="110421444WACP688191057"/>
  </r>
  <r>
    <n v="445"/>
    <n v="24431"/>
    <s v="khadeejerhahmad@yahoo.com"/>
    <s v="AHMAD Khadija Abdulrahman"/>
    <s v="No15 Sabon masallaci street zaria road kano"/>
    <x v="0"/>
    <s v="Aminu Kano Teaching Hospital"/>
    <x v="1"/>
    <s v="09036437750"/>
    <s v="firstsitting"/>
    <x v="1"/>
    <x v="0"/>
    <s v="Abuja"/>
    <s v="NGN"/>
    <n v="195000"/>
    <s v=""/>
    <n v="0"/>
    <s v=""/>
    <n v="0"/>
    <s v=""/>
    <s v="244311445WACP302201449"/>
  </r>
  <r>
    <n v="446"/>
    <n v="3691"/>
    <s v="oluwandedada@yahoo.com"/>
    <s v="DADA Oluwande Esther"/>
    <s v="Clinical Medicine, UNIVERSITY COLLEGE HOSPITAL, IBADAN."/>
    <x v="0"/>
    <s v="University College Hospital Ibadan"/>
    <x v="1"/>
    <n v="8022982488"/>
    <s v="dissertation"/>
    <x v="2"/>
    <x v="0"/>
    <s v="Ibadan"/>
    <s v="NGN"/>
    <n v="812500"/>
    <s v=""/>
    <n v="0"/>
    <s v=""/>
    <n v="162500"/>
    <s v=""/>
    <s v="36911446WACP126828774"/>
  </r>
  <r>
    <n v="447"/>
    <n v="6043"/>
    <s v="ibrahimayuba51@gmail.com"/>
    <s v="AYUBA Ibrahim Muhammad"/>
    <s v="C/O FEDERAL TEACHING HOSPITAL, KATSINA"/>
    <x v="1"/>
    <s v="FEDERAL TEACHING HOSPITAL, KATSINA "/>
    <x v="1"/>
    <s v="08034037884"/>
    <s v="firstsitting"/>
    <x v="2"/>
    <x v="1"/>
    <s v="Abuja"/>
    <s v="NGN"/>
    <n v="812500"/>
    <s v=""/>
    <n v="0"/>
    <s v=""/>
    <n v="162500"/>
    <s v=""/>
    <s v="60431447WACP777211720"/>
  </r>
  <r>
    <n v="448"/>
    <n v="11318"/>
    <s v="emilia_nkem@yahoo.com"/>
    <s v="ALLOH EMILIA NKEMDILIM"/>
    <s v="DEPARTMENT OF Clinical Medicine,LAGOS UNIVERSITY TEACHING HOSPITAL, IDI-ARABA,LAGOS"/>
    <x v="0"/>
    <s v="LAGOS UNIVERSITY TEACHING HOSPITAL, IDI-ARABA,LAGOS"/>
    <x v="1"/>
    <s v="07034577054"/>
    <s v="dissertation"/>
    <x v="2"/>
    <x v="0"/>
    <s v="Ibadan"/>
    <s v="NGN"/>
    <n v="812500"/>
    <s v=""/>
    <n v="0"/>
    <s v=""/>
    <n v="162500"/>
    <s v=""/>
    <s v="113181448WACP400239727"/>
  </r>
  <r>
    <n v="449"/>
    <n v="20191"/>
    <s v="aishamaidubu@gmail.com"/>
    <s v="SALEH Aisha "/>
    <s v="No 6 Ibiyeye Road Doctors quarters Kaduna"/>
    <x v="0"/>
    <s v="Nile University "/>
    <x v="1"/>
    <s v="08146041658"/>
    <s v="firstsitting"/>
    <x v="1"/>
    <x v="1"/>
    <s v="Abuja"/>
    <s v="NGN"/>
    <n v="195000"/>
    <s v=""/>
    <n v="0"/>
    <s v=""/>
    <n v="0"/>
    <s v=""/>
    <s v="201911449WACP99982291"/>
  </r>
  <r>
    <n v="450"/>
    <n v="24311"/>
    <s v="olamideabiodun047@gmail.com"/>
    <s v="ABIODUN Olamide Faith"/>
    <s v="5/11 ONIFADE STREET, OKEBADAN ESTATE, AKOBO. IBADAN. OYO STATE."/>
    <x v="0"/>
    <s v="OOUTH"/>
    <x v="1"/>
    <s v="07016264897"/>
    <s v="firstsitting"/>
    <x v="1"/>
    <x v="0"/>
    <s v="Ibadan"/>
    <s v="NGN"/>
    <n v="195000"/>
    <s v=""/>
    <n v="0"/>
    <s v=""/>
    <n v="0"/>
    <s v=""/>
    <s v="243111450WACP151630064"/>
  </r>
  <r>
    <n v="452"/>
    <n v="1873"/>
    <s v="dridris061@gmail.com"/>
    <s v="IDRIS Mukhtar Shehu"/>
    <s v="Emir`s Palace Zaria, Kaduna State Nigeria"/>
    <x v="1"/>
    <s v="ABUTH ZARIA"/>
    <x v="1"/>
    <n v="2348111226463"/>
    <s v="firstsitting"/>
    <x v="2"/>
    <x v="0"/>
    <s v="Abuja"/>
    <s v="NGN"/>
    <n v="812500"/>
    <s v=""/>
    <n v="110500"/>
    <s v=""/>
    <n v="162500"/>
    <s v=""/>
    <s v="18731452WACP798303848"/>
  </r>
  <r>
    <n v="453"/>
    <n v="5394"/>
    <s v="oladunni.egejuru@gmail.com"/>
    <s v="OKODUGHA  Oladunni  Nkiruka"/>
    <s v="20a tobak okunoren street, omole phase 2"/>
    <x v="0"/>
    <s v="Lagos University Teaching Hospital idi-araba "/>
    <x v="1"/>
    <s v="08138613457"/>
    <s v="firstsitting"/>
    <x v="2"/>
    <x v="1"/>
    <s v="Ibadan"/>
    <s v="NGN"/>
    <n v="812500"/>
    <s v=""/>
    <n v="0"/>
    <s v=""/>
    <n v="162500"/>
    <s v=""/>
    <s v="53941453WACP477408983"/>
  </r>
  <r>
    <n v="454"/>
    <n v="6453"/>
    <s v="arinzenonso@yahoo.com"/>
    <s v="UMEANAEDOBE  nonso arinze"/>
    <s v="No 47A KURA ROAD WEST OF MINES JOS PLATEAU STATE NIGERIA"/>
    <x v="1"/>
    <s v="Bingham University Karu Nasarawa State"/>
    <x v="1"/>
    <n v="8163825362"/>
    <s v="firstsitting"/>
    <x v="0"/>
    <x v="2"/>
    <s v="Enugu"/>
    <s v="NGN"/>
    <n v="552500"/>
    <s v=""/>
    <n v="110500"/>
    <s v=""/>
    <n v="0"/>
    <s v=""/>
    <s v="64531454WACP163094013"/>
  </r>
  <r>
    <n v="455"/>
    <n v="24408"/>
    <s v="ruthasq@gmail.com"/>
    <s v="ASHONG-QUARTEY Ruth "/>
    <s v="Holy family hosp ,box 36 techiman"/>
    <x v="0"/>
    <s v="Holy family hospital"/>
    <x v="2"/>
    <s v="0543128993"/>
    <s v="firstsitting"/>
    <x v="1"/>
    <x v="3"/>
    <s v="Accra"/>
    <s v="USD"/>
    <s v=""/>
    <n v="150"/>
    <s v=""/>
    <n v="0"/>
    <s v=""/>
    <n v="0"/>
    <s v="GHWACP337871163"/>
  </r>
  <r>
    <n v="456"/>
    <n v="6682"/>
    <s v="chimaiheanyi156@yahoo.com"/>
    <s v="OPARAJI  chima iheanyi"/>
    <s v="DEPARTMENT OF Clinical Medicine, FEDERAL MEDICAL CENTRE OWERRI"/>
    <x v="1"/>
    <s v="FEDERAL MEDICAL CENTRE, OWERRI"/>
    <x v="1"/>
    <s v="08123349125"/>
    <s v="casebook"/>
    <x v="2"/>
    <x v="0"/>
    <s v="Ibadan"/>
    <s v="NGN"/>
    <n v="812500"/>
    <s v=""/>
    <n v="0"/>
    <s v=""/>
    <n v="162500"/>
    <s v=""/>
    <s v="66821456WACP922458875"/>
  </r>
  <r>
    <n v="457"/>
    <n v="24204"/>
    <s v="ellaboye87@gmail.com"/>
    <s v="BOYE Emmanuella Sungmanbo"/>
    <s v="P. O Box 1934"/>
    <x v="0"/>
    <s v="Komfo Anokye Teaching Hospitality"/>
    <x v="2"/>
    <s v="0501347642"/>
    <s v="firstsitting"/>
    <x v="1"/>
    <x v="3"/>
    <s v="Accra"/>
    <s v="USD"/>
    <s v=""/>
    <n v="150"/>
    <s v=""/>
    <n v="0"/>
    <s v=""/>
    <n v="0"/>
    <s v="GHWACP160247880"/>
  </r>
  <r>
    <n v="458"/>
    <n v="423"/>
    <s v="otuharrisonsamuel@gmail.com"/>
    <s v="SAMUEL  Harrison Dr"/>
    <s v="Asokoro District Hospital,11 JULIUS NYERERE CRESCENT,  76 Kafe District, Asokoro 900103, Abuja"/>
    <x v="1"/>
    <s v="Asokoro District Hospital FCTA Abuja Nigeria"/>
    <x v="1"/>
    <s v="08068232655"/>
    <s v="firstsitting"/>
    <x v="2"/>
    <x v="0"/>
    <s v="Abuja"/>
    <s v="NGN"/>
    <n v="812500"/>
    <s v=""/>
    <n v="0"/>
    <s v=""/>
    <n v="162500"/>
    <s v=""/>
    <s v="4231458WACP127494383"/>
  </r>
  <r>
    <n v="459"/>
    <n v="6497"/>
    <s v="audomfon@gmail.com"/>
    <s v="VICTOR Aniedi Kenneth"/>
    <s v="department of Child Health, FUTH, Owerri"/>
    <x v="0"/>
    <s v="Federal University Teaching Hospital, Owerri, Imo State"/>
    <x v="1"/>
    <s v="07038091609/07011372801"/>
    <s v="firstsitting"/>
    <x v="2"/>
    <x v="3"/>
    <s v="Ibadan"/>
    <s v="NGN"/>
    <n v="812500"/>
    <s v=""/>
    <n v="0"/>
    <s v=""/>
    <n v="162500"/>
    <s v=""/>
    <s v="64971459WACP236799190"/>
  </r>
  <r>
    <n v="460"/>
    <n v="3850"/>
    <s v="akoitam@gmail.com"/>
    <s v="ITAM Ako Hogan"/>
    <s v="Department Of Child Health University Of Calabar Teaching Hospital Calabar Cross River State"/>
    <x v="0"/>
    <s v="University Of Calabar Teaching Hospital Calabar.Cross River State"/>
    <x v="1"/>
    <n v="8.0350196310802498E+20"/>
    <s v="firstsitting"/>
    <x v="2"/>
    <x v="3"/>
    <s v="Abuja"/>
    <s v="NGN"/>
    <n v="812500"/>
    <s v=""/>
    <n v="0"/>
    <s v=""/>
    <n v="162500"/>
    <s v=""/>
    <s v="38501460WACP941334387"/>
  </r>
  <r>
    <n v="461"/>
    <n v="3287"/>
    <s v="ijionah@gmail.com"/>
    <s v="IJI Onah Benjamin "/>
    <s v="Obi-Agwala Ainu, Oju Local Government Area, Benue State. "/>
    <x v="1"/>
    <s v="FMC MAKURDI "/>
    <x v="1"/>
    <n v="8055934237"/>
    <s v="resitting"/>
    <x v="0"/>
    <x v="0"/>
    <s v="Abuja"/>
    <s v="NGN"/>
    <n v="552500"/>
    <s v=""/>
    <n v="0"/>
    <s v=""/>
    <n v="0"/>
    <s v=""/>
    <s v="32871461WACP736772383"/>
  </r>
  <r>
    <n v="462"/>
    <n v="2605"/>
    <s v="lukmantopsy@yahoo.com"/>
    <s v="ABDULAZIZ  Lukman Muhammad "/>
    <s v="Department of Clinical Medicine,  Barau Dikko Teaching Hospital Kaduna."/>
    <x v="1"/>
    <s v="Barau Dikko Teaching Hospital Kaduna"/>
    <x v="1"/>
    <n v="8033667050"/>
    <s v="firstsitting"/>
    <x v="2"/>
    <x v="0"/>
    <s v="Abuja"/>
    <s v="NGN"/>
    <n v="812500"/>
    <s v=""/>
    <n v="0"/>
    <s v=""/>
    <n v="162500"/>
    <s v=""/>
    <s v="26051462WACP668758411"/>
  </r>
  <r>
    <n v="463"/>
    <n v="1116"/>
    <s v="drchinyereoliji@gmail.com"/>
    <s v="OLIJI chinyere maureen"/>
    <s v="DEPARTMENT OF Population Health, ENUGU STATE UNIVERSITY TEACHING HOSPITAL,PARKLANE ENUGU."/>
    <x v="0"/>
    <s v="ENUGU STATE UNIVERSITY TEACHING HOSPITAL, PARKLANE ENUGU STATE"/>
    <x v="1"/>
    <n v="8030549264"/>
    <s v="firstsitting"/>
    <x v="2"/>
    <x v="1"/>
    <s v="Abuja"/>
    <s v="NGN"/>
    <n v="812500"/>
    <s v=""/>
    <n v="0"/>
    <s v=""/>
    <n v="162500"/>
    <s v=""/>
    <s v="11161463WACP416440536"/>
  </r>
  <r>
    <n v="464"/>
    <n v="24439"/>
    <s v="kwabenaopoqu@gmail.com"/>
    <s v="OPOKU-GYEBI Seth "/>
    <s v="PMB 67, MADINA"/>
    <x v="1"/>
    <s v="KORLE BU TEACHING HOSPITAL"/>
    <x v="2"/>
    <s v="0553077387"/>
    <s v="firstsitting"/>
    <x v="1"/>
    <x v="3"/>
    <s v="Accra"/>
    <s v="USD"/>
    <s v=""/>
    <n v="150"/>
    <s v=""/>
    <n v="0"/>
    <s v=""/>
    <n v="0"/>
    <s v="GHWACP345563788"/>
  </r>
  <r>
    <n v="465"/>
    <n v="24424"/>
    <s v="debbyluvmum@gmail.com"/>
    <s v="EZE Deborah Chekwube"/>
    <s v="16b salita street New Haven extension, Enugu state"/>
    <x v="0"/>
    <s v="Jiujiang medical college"/>
    <x v="1"/>
    <n v="234913217003"/>
    <s v="firstsitting"/>
    <x v="1"/>
    <x v="0"/>
    <s v="Enugu"/>
    <s v="NGN"/>
    <n v="195000"/>
    <s v=""/>
    <n v="0"/>
    <s v=""/>
    <n v="0"/>
    <s v=""/>
    <s v="244241465WACP658766774"/>
  </r>
  <r>
    <n v="466"/>
    <n v="23992"/>
    <s v="eromokomah1994@gmail.com"/>
    <s v="EGBONG Glory Nkoro"/>
    <s v="No 3 Amazing Grace Estate, Asari Iso, Calabar, Cross River State."/>
    <x v="0"/>
    <s v="Danylo Halysky Lviv National Medical University"/>
    <x v="1"/>
    <s v="07062285040"/>
    <s v="firstsitting"/>
    <x v="1"/>
    <x v="3"/>
    <s v="Enugu"/>
    <s v="NGN"/>
    <n v="195000"/>
    <s v=""/>
    <n v="0"/>
    <s v=""/>
    <n v="0"/>
    <s v=""/>
    <s v="239921466WACP805546075"/>
  </r>
  <r>
    <n v="467"/>
    <n v="24075"/>
    <s v="drgambomiabdul@gmail.com"/>
    <s v="GONI Abdullahi Gambomi"/>
    <s v="CBDA Qtrs Maiduguri"/>
    <x v="1"/>
    <s v="Yobe Specialist Hospital Damaturu"/>
    <x v="1"/>
    <s v="08039453474"/>
    <s v="firstsitting"/>
    <x v="1"/>
    <x v="2"/>
    <s v="Abuja"/>
    <s v="NGN"/>
    <n v="195000"/>
    <s v=""/>
    <n v="0"/>
    <s v=""/>
    <n v="0"/>
    <s v=""/>
    <s v="240751467WACP587224152"/>
  </r>
  <r>
    <n v="468"/>
    <n v="4144"/>
    <s v="teadekanye@gmail.com"/>
    <s v="ONI Taiwo Ebunoluwa "/>
    <s v="Department of Population Health, Babcock university teaching hospital, Ilishan-Remo Ogun state."/>
    <x v="0"/>
    <s v="Department of Population Health, Babcock university teaching hospital, Ilishan-Remo Ogun state"/>
    <x v="1"/>
    <s v="08062193774"/>
    <s v="firstsitting"/>
    <x v="2"/>
    <x v="1"/>
    <s v="Ibadan"/>
    <s v="NGN"/>
    <n v="812500"/>
    <s v=""/>
    <n v="0"/>
    <s v=""/>
    <n v="162500"/>
    <s v=""/>
    <s v="41441468WACP295732835"/>
  </r>
  <r>
    <n v="469"/>
    <n v="24360"/>
    <s v="amankwaatiaevans@gmail.com"/>
    <s v="AMANKWAATIA Evans "/>
    <s v="C/o Rev. Kwaku Amoateng, P. O. Box 11344, Adum-Kumasi"/>
    <x v="1"/>
    <s v="Komfo Anokye Teaching Hospital"/>
    <x v="2"/>
    <s v="0552945252"/>
    <s v="firstsitting"/>
    <x v="1"/>
    <x v="3"/>
    <s v="Accra"/>
    <s v="USD"/>
    <s v=""/>
    <n v="150"/>
    <s v=""/>
    <n v="0"/>
    <s v=""/>
    <n v="0"/>
    <s v="GHWACP24360469"/>
  </r>
  <r>
    <n v="470"/>
    <n v="1213"/>
    <s v="olafunkeabolaji@yahoo.com"/>
    <s v="ABOLAJI Idiat Olafunke"/>
    <s v="21 IJERO ROAD EBUTE METTA LAGOS"/>
    <x v="0"/>
    <s v="GENERAL HOSPITAL LAGOS"/>
    <x v="1"/>
    <s v="08035834387"/>
    <s v="firstsitting"/>
    <x v="2"/>
    <x v="0"/>
    <s v="Ibadan"/>
    <s v="NGN"/>
    <n v="812500"/>
    <s v=""/>
    <n v="0"/>
    <s v=""/>
    <n v="162500"/>
    <s v=""/>
    <s v="12131470WACP768484201"/>
  </r>
  <r>
    <n v="471"/>
    <n v="24166"/>
    <s v="nabilasanisaleh@gmail.com"/>
    <s v="SALEH Nabila Sani"/>
    <s v="T/G Shanu Farm center, Tarauni LGA, Kano"/>
    <x v="0"/>
    <s v="AKTH"/>
    <x v="1"/>
    <s v="09031231815"/>
    <s v="firstsitting"/>
    <x v="1"/>
    <x v="0"/>
    <s v="Abuja"/>
    <s v="NGN"/>
    <n v="195000"/>
    <s v=""/>
    <n v="0"/>
    <s v=""/>
    <n v="0"/>
    <s v=""/>
    <s v="241661471WACP610611696"/>
  </r>
  <r>
    <n v="472"/>
    <n v="19555"/>
    <s v="Livingstoneayerite@gmail.com"/>
    <s v="AYERITE Livingstone Gelegukuma"/>
    <s v="Department of Child Health, Federal Medical Centre,  PMB 502, Yenagoa, Bayelsa state, Nigeria"/>
    <x v="1"/>
    <s v="Federal Medical Centre, Yenagoa"/>
    <x v="1"/>
    <s v="08037726532"/>
    <s v="resitting"/>
    <x v="0"/>
    <x v="3"/>
    <s v="Enugu"/>
    <s v="NGN"/>
    <n v="552500"/>
    <s v=""/>
    <n v="0"/>
    <s v=""/>
    <n v="0"/>
    <s v=""/>
    <s v="195551472WACP673630773"/>
  </r>
  <r>
    <n v="473"/>
    <n v="7270"/>
    <s v="mcakhigbe@yahoo.com"/>
    <s v="AKHIGBE ThankGod "/>
    <s v="7, OKHALE STREET BEHIND GEOKAD HOTEL, IRRUA, EDO STATE"/>
    <x v="1"/>
    <s v="AMBROSE ALLI UNIVERSITY EKPOMA"/>
    <x v="1"/>
    <s v="07061066655"/>
    <s v="resitting"/>
    <x v="0"/>
    <x v="3"/>
    <s v="Abuja"/>
    <s v="NGN"/>
    <n v="552500"/>
    <s v=""/>
    <n v="0"/>
    <s v=""/>
    <n v="0"/>
    <s v=""/>
    <s v="72701473WACP619827831"/>
  </r>
  <r>
    <n v="474"/>
    <n v="24443"/>
    <s v="benzcollections@gmail.com"/>
    <s v="OGBU EMMANUEL OLISAEMEKA"/>
    <s v="Department of Community Medicine UNTH Ituku Ozalla, Enugu"/>
    <x v="1"/>
    <s v="University of Nigeria Teaching Hospital UNTH Ituku Ozalla, Enugu"/>
    <x v="1"/>
    <s v="07033751510"/>
    <s v="firstsitting"/>
    <x v="1"/>
    <x v="2"/>
    <s v="Enugu"/>
    <s v="NGN"/>
    <n v="195000"/>
    <s v=""/>
    <n v="0"/>
    <s v=""/>
    <n v="0"/>
    <s v=""/>
    <s v="244431474WACP624331855"/>
  </r>
  <r>
    <n v="475"/>
    <n v="19648"/>
    <s v="ahmedamina6463@gmail.com"/>
    <s v="Ahmed  Amina Ladidi"/>
    <s v="E23A Ramat Road, Ung. Rimi, Kaduna "/>
    <x v="0"/>
    <s v="Institute of Traditional and Non Traditional Medicine, Dnipropetrovsk Ukraine"/>
    <x v="1"/>
    <n v="2348065666463"/>
    <s v="resitting"/>
    <x v="0"/>
    <x v="1"/>
    <s v="Abuja"/>
    <s v="NGN"/>
    <n v="552500"/>
    <s v=""/>
    <n v="0"/>
    <s v=""/>
    <n v="0"/>
    <s v=""/>
    <s v="196481475WACP959253029"/>
  </r>
  <r>
    <n v="476"/>
    <n v="21480"/>
    <s v="dr.adeleyebabarinsa@gmail.com"/>
    <s v="BABARINSA  Adeleye  Olugbade "/>
    <s v="Baptist Medical Centre Saki Oyo State "/>
    <x v="1"/>
    <s v="Baptist Medical Centre, P.M.B 43, Ajegunle, Saki, Oyo State "/>
    <x v="1"/>
    <s v="08139554785"/>
    <s v="firstsitting"/>
    <x v="0"/>
    <x v="0"/>
    <s v="Ibadan"/>
    <s v="NGN"/>
    <n v="552500"/>
    <s v=""/>
    <n v="0"/>
    <s v=""/>
    <n v="0"/>
    <s v=""/>
    <s v="214801476WACP599424001"/>
  </r>
  <r>
    <n v="477"/>
    <n v="24139"/>
    <s v="abdulxarewa@gmail.com"/>
    <s v="ZAREWA Abdullahi Gali"/>
    <s v="NUMBER 978 NAIBAWA TSAKIYA KANO STATE NIGERIA"/>
    <x v="1"/>
    <s v="SHENYENG MEDICAL COLLEGE CHINA"/>
    <x v="1"/>
    <s v="08065940000"/>
    <s v="firstsitting"/>
    <x v="1"/>
    <x v="3"/>
    <s v="Abuja"/>
    <s v="NGN"/>
    <n v="195000"/>
    <s v=""/>
    <n v="0"/>
    <s v=""/>
    <n v="0"/>
    <s v=""/>
    <s v="241391477WACP65768392"/>
  </r>
  <r>
    <n v="478"/>
    <n v="24419"/>
    <s v="zirazainab@gmail.com"/>
    <s v="ZIRA Zainab Mohammed"/>
    <s v="No 6, Thomas Sankara Street, Asokoro, Abuja"/>
    <x v="0"/>
    <s v="Semmelweis University"/>
    <x v="1"/>
    <n v="2347069004595"/>
    <s v="firstsitting"/>
    <x v="1"/>
    <x v="3"/>
    <s v="Abuja"/>
    <s v="NGN"/>
    <n v="195000"/>
    <s v=""/>
    <n v="0"/>
    <s v=""/>
    <n v="0"/>
    <s v=""/>
    <s v="244191478WACP573259412"/>
  </r>
  <r>
    <n v="479"/>
    <n v="18907"/>
    <s v="safsings@gmail.com"/>
    <s v="SINGHATEH Safiatou Barkisu"/>
    <s v="Paradise Estate, Old Yundum, The Gambia"/>
    <x v="0"/>
    <s v="BAFROW MEDICAL CENTER "/>
    <x v="0"/>
    <n v="2203869527"/>
    <s v="firstsitting"/>
    <x v="0"/>
    <x v="0"/>
    <s v="Accra"/>
    <s v="USD"/>
    <s v=""/>
    <n v="425"/>
    <s v=""/>
    <n v="0"/>
    <s v=""/>
    <n v="0"/>
    <s v="189071479WACP92819780"/>
  </r>
  <r>
    <n v="480"/>
    <n v="7375"/>
    <s v="olaoti18@gmail.com"/>
    <s v="OGUNDARE  Olaoti  Oyeyemi"/>
    <s v="Behavioral Health department, urban comprehensive health center, Eleyele, Ile-Ife, Osun State, Nigeria. "/>
    <x v="0"/>
    <s v="Obafemi Awolowo University Teaching Hospital Complex, Ile-Ife, Osun State, Nigeria. "/>
    <x v="1"/>
    <n v="8033616592"/>
    <s v="firstsitting"/>
    <x v="2"/>
    <x v="2"/>
    <s v="Ibadan"/>
    <s v="NGN"/>
    <n v="812500"/>
    <s v=""/>
    <n v="0"/>
    <s v=""/>
    <n v="162500"/>
    <s v=""/>
    <s v="73751480WACP277119915"/>
  </r>
  <r>
    <n v="481"/>
    <n v="19397"/>
    <s v="excelafagha@gmail.com"/>
    <s v="AFAGHA  Emmanuel "/>
    <s v="22 FEDERAL ROAD BENIN CITY "/>
    <x v="1"/>
    <s v="FEDERAL NEUROPSYCHIATRIC HOSPITAL BENIN CITY"/>
    <x v="1"/>
    <s v="07013151736"/>
    <s v="firstsitting"/>
    <x v="0"/>
    <x v="4"/>
    <s v="Ibadan"/>
    <s v="NGN"/>
    <n v="552500"/>
    <s v=""/>
    <n v="0"/>
    <s v=""/>
    <n v="0"/>
    <s v=""/>
    <s v="193971481WACP544199768"/>
  </r>
  <r>
    <n v="482"/>
    <n v="24306"/>
    <s v="mosesnunoo63@gmail.com"/>
    <s v="NUNOO MOSES AKWAH"/>
    <s v="11 Anyaa Market Street"/>
    <x v="1"/>
    <s v="Mortuary and Funerals Facilities Agency, Ministry Of Health"/>
    <x v="2"/>
    <n v="233551825918"/>
    <s v="firstsitting"/>
    <x v="1"/>
    <x v="2"/>
    <s v="Accra"/>
    <s v="USD"/>
    <s v=""/>
    <n v="150"/>
    <s v=""/>
    <n v="0"/>
    <s v=""/>
    <n v="0"/>
    <s v="GHWACP588025973"/>
  </r>
  <r>
    <n v="483"/>
    <n v="21871"/>
    <s v="glomakay@gmail.com"/>
    <s v="AGBENYEGAH  Gloria  Makafui"/>
    <s v="KATH box 1934 Adum Kumasi "/>
    <x v="0"/>
    <s v="Komfo Anokye Teaching Hospital "/>
    <x v="2"/>
    <s v="0551304596"/>
    <s v="resitting"/>
    <x v="1"/>
    <x v="3"/>
    <s v="Accra"/>
    <s v="USD"/>
    <s v=""/>
    <n v="150"/>
    <s v=""/>
    <n v="0"/>
    <s v=""/>
    <n v="0"/>
    <s v="GHWACP678587992"/>
  </r>
  <r>
    <n v="484"/>
    <n v="18934"/>
    <s v="dearar467@gmail.com"/>
    <s v="AWUDU-RAHMAN Rashid "/>
    <s v="GM-022-9231"/>
    <x v="1"/>
    <s v="Korle Bu Teaching Hospital Accra - Ghana"/>
    <x v="2"/>
    <s v="+233 207275247"/>
    <s v="resitting"/>
    <x v="0"/>
    <x v="3"/>
    <s v="Accra"/>
    <s v="USD"/>
    <s v=""/>
    <n v="425"/>
    <s v=""/>
    <n v="0"/>
    <s v=""/>
    <n v="0"/>
    <s v="GHWACP867915305"/>
  </r>
  <r>
    <n v="485"/>
    <n v="23418"/>
    <s v="amaakomaa96@gmail.com"/>
    <s v="OBENG Mercy Akomaa"/>
    <s v="Hse No 58 William T Okain St, Tantra Hill - Accra"/>
    <x v="0"/>
    <s v="Korle Bu Teaching Hospital"/>
    <x v="2"/>
    <s v="0263596335"/>
    <s v="firstsitting"/>
    <x v="1"/>
    <x v="1"/>
    <s v="Accra"/>
    <s v="USD"/>
    <s v=""/>
    <n v="150"/>
    <s v=""/>
    <n v="0"/>
    <s v=""/>
    <n v="0"/>
    <s v="GHWACP170469467"/>
  </r>
  <r>
    <n v="486"/>
    <n v="19183"/>
    <s v="lolasimbobab@gmail.com"/>
    <s v="BABALOLA Olasimbo Abosede"/>
    <s v="Department of Behavioral Health and Foundation Care, Lagos University Teaching Hospital, Idi-Araba, Lagos State."/>
    <x v="0"/>
    <s v="Lagos University Teaching Hospital"/>
    <x v="1"/>
    <s v="08065485730"/>
    <s v="firstsitting"/>
    <x v="0"/>
    <x v="2"/>
    <s v="Ibadan"/>
    <s v="NGN"/>
    <n v="552500"/>
    <s v=""/>
    <n v="110500"/>
    <s v=""/>
    <n v="0"/>
    <s v=""/>
    <s v="191831486WACP630217196"/>
  </r>
  <r>
    <n v="487"/>
    <n v="10973"/>
    <s v="shetizie92@yahoo.com"/>
    <s v="OGUNBUSOLA Oluwaseyi Tolulope "/>
    <s v="No 2, usman O jibrin street, guzape, Abuja. "/>
    <x v="0"/>
    <s v="Nisa premier hospital, alex ekuweme way, Jabi, Abuja."/>
    <x v="1"/>
    <s v="08135082465"/>
    <s v="firstsitting"/>
    <x v="0"/>
    <x v="0"/>
    <s v="Abuja"/>
    <s v="NGN"/>
    <n v="552500"/>
    <s v=""/>
    <n v="0"/>
    <s v=""/>
    <n v="0"/>
    <s v=""/>
    <s v="109731487WACP250657553"/>
  </r>
  <r>
    <n v="488"/>
    <n v="24042"/>
    <s v="mubarakobilowo1@gmail.com"/>
    <s v="OBILOWO Mubarak Gbolahan"/>
    <s v="No 18 Safana road, Sardauna Estate, Katsina, Katsina state"/>
    <x v="1"/>
    <s v="Edo University Iyamho College of Medical Sciences"/>
    <x v="1"/>
    <s v="08160746218"/>
    <s v="firstsitting"/>
    <x v="1"/>
    <x v="4"/>
    <s v="Abuja"/>
    <s v="NGN"/>
    <n v="195000"/>
    <s v=""/>
    <n v="0"/>
    <s v=""/>
    <n v="0"/>
    <s v=""/>
    <s v="240421488WACP424340546"/>
  </r>
  <r>
    <n v="489"/>
    <n v="24338"/>
    <s v="talk2laks@gmail.com"/>
    <s v="ABDULRAHAMAN  Olalekan Abdulrauf"/>
    <s v="No 10 Basin road ilorin"/>
    <x v="1"/>
    <s v="Crimea Federal University, Russia"/>
    <x v="1"/>
    <s v="08164498003"/>
    <s v="firstsitting"/>
    <x v="1"/>
    <x v="0"/>
    <s v="Ibadan"/>
    <s v="NGN"/>
    <n v="195000"/>
    <s v=""/>
    <n v="0"/>
    <s v=""/>
    <n v="0"/>
    <s v=""/>
    <s v="243381489WACP231504169"/>
  </r>
  <r>
    <n v="490"/>
    <n v="9431"/>
    <s v="Bellicosefine@gmail.com"/>
    <s v="OGBONNA okechukwu emmanuel"/>
    <s v="Block A4, Legacy Estate, Presco Junction, Abakaliki, Ebonyi state"/>
    <x v="1"/>
    <s v="Alex Ekwueme federal teaching hospital, Abakaliki"/>
    <x v="1"/>
    <s v="08034608276"/>
    <s v="resitting"/>
    <x v="0"/>
    <x v="1"/>
    <s v="Abuja"/>
    <s v="NGN"/>
    <n v="552500"/>
    <s v=""/>
    <n v="0"/>
    <s v=""/>
    <n v="0"/>
    <s v=""/>
    <s v="94311490WACP190069469"/>
  </r>
  <r>
    <n v="491"/>
    <n v="2852"/>
    <s v="rabiisyaka@gmail.com"/>
    <s v="ISIAKA rabi  "/>
    <s v="National Hospital Abuja"/>
    <x v="0"/>
    <s v="National Hospital Abuja"/>
    <x v="1"/>
    <n v="8035610091"/>
    <s v="dissertation"/>
    <x v="2"/>
    <x v="0"/>
    <s v="Abuja"/>
    <s v="NGN"/>
    <n v="812500"/>
    <s v=""/>
    <n v="0"/>
    <s v=""/>
    <n v="162500"/>
    <s v=""/>
    <s v="28521491WACP246114716"/>
  </r>
  <r>
    <n v="492"/>
    <n v="19485"/>
    <s v="seunolasope@gmail.com"/>
    <s v="Akinsola  Oluwaseun  Oriyomi "/>
    <s v="No 9 Sanusi street, Somolu.Onipanu .Lagos"/>
    <x v="0"/>
    <s v="Igbinedion  University  Okada, Edo state.Nigeria"/>
    <x v="1"/>
    <s v="08099239251"/>
    <s v="firstsitting"/>
    <x v="0"/>
    <x v="0"/>
    <s v="Ibadan"/>
    <s v="NGN"/>
    <n v="552500"/>
    <s v=""/>
    <n v="0"/>
    <s v=""/>
    <n v="0"/>
    <s v=""/>
    <s v="194851492WACP716403450"/>
  </r>
  <r>
    <n v="493"/>
    <s v="B0D"/>
    <s v="asaretolulope@gmail.com"/>
    <s v="ASARE Tolulope Damilola"/>
    <s v="5 Otunba Taiwo close Imoru off Ijebu ode. Ogun state Nigeria "/>
    <x v="1"/>
    <s v="Olabisi Onabanjo University Teaching Hospital, Sagamu, Ogun state, Nigeria"/>
    <x v="1"/>
    <n v="2348067117303"/>
    <s v="firstsitting"/>
    <x v="2"/>
    <x v="1"/>
    <s v="Ibadan"/>
    <s v="NGN"/>
    <n v="812500"/>
    <s v=""/>
    <n v="0"/>
    <s v=""/>
    <n v="162500"/>
    <s v=""/>
    <s v="40911493WACP643479796"/>
  </r>
  <r>
    <n v="494"/>
    <n v="19075"/>
    <s v="docsallyisa@gmail.com"/>
    <s v="SULEIMAN Saliha  Yahaya "/>
    <s v="Plot 140 dansokoto street katsina road kano state "/>
    <x v="0"/>
    <s v="Batterjee medical college "/>
    <x v="1"/>
    <s v="08083461990"/>
    <s v="resitting"/>
    <x v="1"/>
    <x v="0"/>
    <s v="Abuja"/>
    <s v="NGN"/>
    <n v="195000"/>
    <s v=""/>
    <n v="0"/>
    <s v=""/>
    <n v="0"/>
    <s v=""/>
    <s v="190751494WACP5964504"/>
  </r>
  <r>
    <n v="495"/>
    <n v="6410"/>
    <s v="uhgarba@yahoo.com"/>
    <s v="GARBA Usman Hussaini"/>
    <s v="DEPARTMENT OF Population Health AMINU KANO TEACHING HOSPITAL P.M.B. 3452 ZARIA ROAD KANO"/>
    <x v="1"/>
    <s v="AMINU KANO TEACHING HOSPITAL"/>
    <x v="1"/>
    <n v="8035945036"/>
    <s v="firstsitting"/>
    <x v="2"/>
    <x v="1"/>
    <s v="Abuja"/>
    <s v="NGN"/>
    <n v="812500"/>
    <s v=""/>
    <n v="0"/>
    <s v=""/>
    <n v="162500"/>
    <s v=""/>
    <s v="64101495WACP826892541"/>
  </r>
  <r>
    <n v="496"/>
    <n v="11654"/>
    <s v="temiloluwaale@gmail.com"/>
    <s v="ODUKOYA Temiloluwa Oluwafisayo"/>
    <s v="9A, Ike asoguwa close, Anthony."/>
    <x v="0"/>
    <s v="Lagos University Teaching Hospital, Idi-Araba, Lagos State."/>
    <x v="1"/>
    <n v="7063035797"/>
    <s v="firstsitting"/>
    <x v="0"/>
    <x v="2"/>
    <s v="Ibadan"/>
    <s v="NGN"/>
    <n v="552500"/>
    <s v=""/>
    <n v="110500"/>
    <s v=""/>
    <n v="0"/>
    <s v=""/>
    <s v="116541496WACP700689554"/>
  </r>
  <r>
    <n v="497"/>
    <n v="22460"/>
    <s v="eustaceobi3@gmail.com"/>
    <s v="OBI Eustace Chukwuneche"/>
    <s v="Ogbonna Onovo Police Estate, Ozalla Enugu State "/>
    <x v="1"/>
    <s v="University of Nigeria Teaching Hospital UNTH, Ituku-Ozalla Enugu"/>
    <x v="1"/>
    <s v="08067777166"/>
    <s v="passeddissert"/>
    <x v="2"/>
    <x v="2"/>
    <s v="Abuja"/>
    <s v="NGN"/>
    <n v="812500"/>
    <s v=""/>
    <n v="0"/>
    <s v=""/>
    <n v="0"/>
    <s v=""/>
    <s v="224601497WACP156889631"/>
  </r>
  <r>
    <n v="498"/>
    <n v="18883"/>
    <s v="fsawaneh@gmail.com"/>
    <s v="SAWANEH FATOUMATA "/>
    <s v="Sukuta, Western region"/>
    <x v="0"/>
    <s v="Edward Francis Small Teaching Hospital"/>
    <x v="0"/>
    <n v="2207098127"/>
    <s v="firstsitting"/>
    <x v="0"/>
    <x v="0"/>
    <s v="Banjul"/>
    <s v="USD"/>
    <s v=""/>
    <n v="425"/>
    <s v=""/>
    <n v="0"/>
    <s v=""/>
    <n v="0"/>
    <s v="188831498WACP850587737"/>
  </r>
  <r>
    <n v="499"/>
    <n v="20023"/>
    <s v="amawuanthony2@gmail.com"/>
    <s v="AMAWU Anthony Uyimulam"/>
    <s v="c/o Office of the H.O.D, Population Health department, University of Calabar Teaching Hospital (UCTH), Calabar, Cross River State "/>
    <x v="1"/>
    <s v="University of Calabar Teaching Hospital (UCTH), Calabar, Cross River State."/>
    <x v="1"/>
    <s v="+234 (0) 8122660994"/>
    <s v="firstsitting"/>
    <x v="0"/>
    <x v="1"/>
    <s v="Enugu"/>
    <s v="NGN"/>
    <n v="552500"/>
    <s v=""/>
    <n v="0"/>
    <s v=""/>
    <n v="0"/>
    <s v=""/>
    <s v="200231499WACP257321596"/>
  </r>
  <r>
    <n v="500"/>
    <n v="19297"/>
    <s v="nwachi.eo1989@gmail.com"/>
    <s v="NWACHI Emmanuel Ogbonnia"/>
    <s v="Department of Child Health, Federal Medical Centre, Abuja"/>
    <x v="1"/>
    <s v="Federal Medical Centre, Jabi-Airport Road, Abuja"/>
    <x v="1"/>
    <s v="08035464076"/>
    <s v="firstsitting"/>
    <x v="0"/>
    <x v="3"/>
    <s v="Abuja"/>
    <s v="NGN"/>
    <n v="552500"/>
    <s v=""/>
    <n v="0"/>
    <s v=""/>
    <n v="0"/>
    <s v=""/>
    <s v="192971500WACP48083779"/>
  </r>
  <r>
    <n v="501"/>
    <n v="24404"/>
    <s v="isiyakufauziyya@gmail.com"/>
    <s v="ISIYAKU Fauziyya Tijjani"/>
    <s v="No 249 limancin kona Zaria"/>
    <x v="0"/>
    <s v="Ahmadu Bello University teaching hospital"/>
    <x v="1"/>
    <s v="08131016721"/>
    <s v="firstsitting"/>
    <x v="1"/>
    <x v="1"/>
    <s v="Abuja"/>
    <s v="NGN"/>
    <n v="195000"/>
    <s v=""/>
    <n v="0"/>
    <s v=""/>
    <n v="0"/>
    <s v=""/>
    <s v="244041501WACP959492161"/>
  </r>
  <r>
    <n v="502"/>
    <n v="2318"/>
    <s v="Udomarcel62@gmail.com"/>
    <s v="UDOH Ekikere Marcel"/>
    <s v="16 udousoro lane uyo"/>
    <x v="1"/>
    <s v="University of uyo teaching hospital"/>
    <x v="1"/>
    <s v="07039484703"/>
    <s v="firstsitting"/>
    <x v="2"/>
    <x v="3"/>
    <s v="Abuja"/>
    <s v="NGN"/>
    <n v="812500"/>
    <s v=""/>
    <n v="0"/>
    <s v=""/>
    <n v="162500"/>
    <s v=""/>
    <s v="23181502WACP594062021"/>
  </r>
  <r>
    <n v="503"/>
    <n v="1892"/>
    <s v="aibomxie@yahoo.com"/>
    <s v="DOUGLAS Boma Ibiba"/>
    <s v="Child Health, RIVERS STATE UNIVERSITY TEACHING HOSPITAL, PORT HARCOURT"/>
    <x v="0"/>
    <s v="RIVERS STATE UNIVERSITY TEACHING HOSPITAL"/>
    <x v="1"/>
    <s v="08162919425"/>
    <s v="firstsitting"/>
    <x v="0"/>
    <x v="3"/>
    <s v="Abuja"/>
    <s v="NGN"/>
    <n v="552500"/>
    <s v=""/>
    <n v="0"/>
    <s v=""/>
    <n v="0"/>
    <s v=""/>
    <s v="18921503WACP872279579"/>
  </r>
  <r>
    <n v="504"/>
    <n v="18626"/>
    <s v="Rabeesani05@gmail.com"/>
    <s v="SANI Rabiat  "/>
    <s v="No 46, Kashim Ibrahim Road, Unguwan Rimi, Kaduna"/>
    <x v="0"/>
    <s v="Federal Medical Centre Jabi, Abuja"/>
    <x v="1"/>
    <s v="08063399585"/>
    <s v="resitting"/>
    <x v="0"/>
    <x v="1"/>
    <s v="Abuja"/>
    <s v="NGN"/>
    <n v="552500"/>
    <s v=""/>
    <n v="0"/>
    <s v=""/>
    <n v="0"/>
    <s v=""/>
    <s v="186261504WACP437931826"/>
  </r>
  <r>
    <n v="505"/>
    <n v="23969"/>
    <s v="pakoatart@gmail.com"/>
    <s v="ARTHUR Papa Kojo"/>
    <s v="P.O. Box KS 100, Kasoa"/>
    <x v="1"/>
    <s v="Kasoa Polyclinic"/>
    <x v="2"/>
    <s v="0546412036"/>
    <s v="firstsitting"/>
    <x v="1"/>
    <x v="2"/>
    <s v="Accra"/>
    <s v="USD"/>
    <s v=""/>
    <n v="150"/>
    <s v=""/>
    <n v="0"/>
    <s v=""/>
    <n v="0"/>
    <s v="GHWACP931568298"/>
  </r>
  <r>
    <n v="506"/>
    <n v="24411"/>
    <s v="adaezeobijuru53@gmail.com"/>
    <s v="JOHNNY-OBIJURU Adaeze "/>
    <s v="No.36 Gado Nasko road kubwa Abuja"/>
    <x v="0"/>
    <s v="Madonna university Elele Rivers state"/>
    <x v="1"/>
    <s v="07064866779"/>
    <s v="firstsitting"/>
    <x v="1"/>
    <x v="1"/>
    <s v="Abuja"/>
    <s v="NGN"/>
    <n v="195000"/>
    <s v=""/>
    <n v="0"/>
    <s v=""/>
    <n v="0"/>
    <s v=""/>
    <s v="244111506WACP183031843"/>
  </r>
  <r>
    <n v="507"/>
    <n v="10729"/>
    <s v="adetoyesebadejo@gmail.com"/>
    <s v="DADA adetoyese opeoluwa"/>
    <s v="6A Ola Adebiyi street, peace estate,  sholuyi gbagada Lagos"/>
    <x v="0"/>
    <s v="General Hospital Lagos"/>
    <x v="1"/>
    <s v="08035743904"/>
    <s v="firstsitting"/>
    <x v="2"/>
    <x v="0"/>
    <s v="Ibadan"/>
    <s v="NGN"/>
    <n v="812500"/>
    <s v=""/>
    <n v="0"/>
    <s v=""/>
    <n v="162500"/>
    <s v=""/>
    <s v="107291507WACP884636744"/>
  </r>
  <r>
    <n v="508"/>
    <n v="24367"/>
    <s v="dennisituah@gmail.com"/>
    <s v="ITUA Dennis Ehizode"/>
    <s v="30 Oluwaga Avenue Ipaja Lagos"/>
    <x v="1"/>
    <s v="Bingham University Teaching Hospital"/>
    <x v="1"/>
    <s v="08104668593"/>
    <s v="firstsitting"/>
    <x v="1"/>
    <x v="3"/>
    <s v="Ibadan"/>
    <s v="NGN"/>
    <n v="195000"/>
    <s v=""/>
    <n v="0"/>
    <s v=""/>
    <n v="0"/>
    <s v=""/>
    <s v="243671508WACP968545583"/>
  </r>
  <r>
    <n v="509"/>
    <n v="8469"/>
    <s v="eonodjefemue@yahoo.com"/>
    <s v="ONODJEFEMUE EFETURI NIL"/>
    <s v="Clinical Medicine Department, university of port harcourt teaching hospital, port harcourt"/>
    <x v="0"/>
    <s v="UNIVERSITY OF PORT-HARCOURT TEACHING HOSPITAL, PORT-HARCOURT"/>
    <x v="1"/>
    <s v="08038970790"/>
    <s v="passedorals"/>
    <x v="2"/>
    <x v="0"/>
    <s v="Ibadan"/>
    <s v="NGN"/>
    <n v="812500"/>
    <s v=""/>
    <n v="0"/>
    <s v=""/>
    <n v="162500"/>
    <s v=""/>
    <s v="84691509WACP335949648"/>
  </r>
  <r>
    <n v="510"/>
    <n v="5985"/>
    <s v="adenikeoluwakemi40@yahoo.com"/>
    <s v="Oluwakemi  OLADIMEJI  Adenike"/>
    <s v="Department of  Population Health, Lautech Teaching Hospital Osogbo"/>
    <x v="0"/>
    <s v="Lautech  Teaching  Hospital  Osogbo "/>
    <x v="1"/>
    <n v="8038616091"/>
    <s v="firstsitting"/>
    <x v="2"/>
    <x v="1"/>
    <s v="Ibadan"/>
    <s v="NGN"/>
    <n v="812500"/>
    <s v=""/>
    <n v="0"/>
    <s v=""/>
    <n v="162500"/>
    <s v=""/>
    <s v="59851510WACP616624511"/>
  </r>
  <r>
    <n v="511"/>
    <n v="19074"/>
    <s v="hardmanvicky01@gmail.com"/>
    <s v="ADELEYE Victor Mayowa"/>
    <s v="33 Akin Akeju Street, Okeila, Ado - Ekiti"/>
    <x v="1"/>
    <s v="University of Ilorin"/>
    <x v="1"/>
    <n v="2348102562592"/>
    <s v="firstsitting"/>
    <x v="0"/>
    <x v="2"/>
    <s v="Ibadan"/>
    <s v="NGN"/>
    <n v="552500"/>
    <s v=""/>
    <n v="110500"/>
    <s v=""/>
    <n v="0"/>
    <s v=""/>
    <s v="190741511WACP571094991"/>
  </r>
  <r>
    <n v="512"/>
    <n v="24447"/>
    <s v="kolason2010@gmail.com"/>
    <s v="SALAMI Kolawole John"/>
    <s v="No 1, okontokon street,  Ette, Ikot-Abasi LGA, Akwa Ibom State"/>
    <x v="1"/>
    <s v="University of Uyo Teaching Hospital"/>
    <x v="1"/>
    <s v="08069566832"/>
    <s v="firstsitting"/>
    <x v="1"/>
    <x v="0"/>
    <s v="Enugu"/>
    <s v="NGN"/>
    <n v="195000"/>
    <s v=""/>
    <n v="0"/>
    <s v=""/>
    <n v="0"/>
    <s v=""/>
    <s v="244471512WACP336045572"/>
  </r>
  <r>
    <n v="513"/>
    <n v="2500"/>
    <s v="rityx.cn@gmail.com"/>
    <s v="NNAEMEKA Charity  Osuokam"/>
    <s v="Department of Population Health, ARD University of Port Harcourt Teaching Hospital, P.O. Box 11178, PH, Ri"/>
    <x v="0"/>
    <s v="University of Port Harcourt Teaching Hospital "/>
    <x v="1"/>
    <n v="8037181071"/>
    <s v="firstsitting"/>
    <x v="2"/>
    <x v="1"/>
    <s v="Abuja"/>
    <s v="NGN"/>
    <n v="812500"/>
    <s v=""/>
    <n v="0"/>
    <s v=""/>
    <n v="162500"/>
    <s v=""/>
    <s v="25001513WACP734599976"/>
  </r>
  <r>
    <n v="514"/>
    <n v="24399"/>
    <s v="joy.akang1@gmail.com"/>
    <s v="AKANG Joy Imaobong"/>
    <s v="No 19 Aroro Yerokun, Arulogun Road Ibadan"/>
    <x v="0"/>
    <s v="University College Hospital, Ibadan"/>
    <x v="1"/>
    <s v="08136189177"/>
    <s v="firstsitting"/>
    <x v="1"/>
    <x v="4"/>
    <s v="Ibadan"/>
    <s v="NGN"/>
    <n v="195000"/>
    <s v=""/>
    <n v="0"/>
    <s v=""/>
    <n v="0"/>
    <s v=""/>
    <s v="243991514WACP125899399"/>
  </r>
  <r>
    <n v="515"/>
    <n v="5366"/>
    <s v="favouradesanya77@gmail.com"/>
    <s v="ADESANYA  Adebimpe Favour"/>
    <s v="No 1, Faith &amp;amp; Favour Street, Lalu Community, Off Ayepe Road, Sagamu"/>
    <x v="0"/>
    <s v="OOUTH "/>
    <x v="1"/>
    <s v="07069459381"/>
    <s v="resitting"/>
    <x v="0"/>
    <x v="1"/>
    <s v="Ibadan"/>
    <s v="NGN"/>
    <n v="552500"/>
    <s v=""/>
    <n v="0"/>
    <s v=""/>
    <n v="0"/>
    <s v=""/>
    <s v="53661515WACP375777540"/>
  </r>
  <r>
    <n v="516"/>
    <n v="24407"/>
    <s v="goteh72@gmail.com"/>
    <s v="MBEE  GOTEH  "/>
    <s v="42 Alcon rd portharcourt"/>
    <x v="1"/>
    <s v="Rsuth"/>
    <x v="1"/>
    <s v="07033424290"/>
    <s v="firstsitting"/>
    <x v="1"/>
    <x v="3"/>
    <s v="Enugu"/>
    <s v="NGN"/>
    <n v="195000"/>
    <s v=""/>
    <n v="0"/>
    <s v=""/>
    <n v="0"/>
    <s v=""/>
    <s v="244071516WACP784469040"/>
  </r>
  <r>
    <n v="517"/>
    <n v="24184"/>
    <s v="adebayoadedamola0@gmail.com"/>
    <s v="ADEBAYO James Adedamola"/>
    <s v="Behind Mallam Tope Furniture, Osogbo, Osun state"/>
    <x v="1"/>
    <s v="Ladoke Akintola University of Technology, Ogbomoso, Oyo State."/>
    <x v="1"/>
    <s v="08161513337"/>
    <s v="firstsitting"/>
    <x v="1"/>
    <x v="1"/>
    <s v="Ibadan"/>
    <s v="NGN"/>
    <n v="195000"/>
    <s v=""/>
    <n v="0"/>
    <s v=""/>
    <n v="0"/>
    <s v=""/>
    <s v="241841517WACP692725824"/>
  </r>
  <r>
    <n v="518"/>
    <n v="19880"/>
    <s v="nnaburich@gmail.com"/>
    <s v="NNABU Richard Chukwuka"/>
    <s v="Department of Community Medicine"/>
    <x v="1"/>
    <s v="Alex Ekwueme Federal Teaching Hospital Abakaliki"/>
    <x v="1"/>
    <n v="2348030832758"/>
    <s v="firstsitting"/>
    <x v="2"/>
    <x v="2"/>
    <s v="Abuja"/>
    <s v="NGN"/>
    <n v="812500"/>
    <s v=""/>
    <n v="0"/>
    <s v=""/>
    <n v="162500"/>
    <s v=""/>
    <s v="198801518WACP111302546"/>
  </r>
  <r>
    <n v="519"/>
    <n v="7602"/>
    <s v="valfabbeck@yahoo.com"/>
    <s v="KOGBARA  Valentine Bulabari"/>
    <s v="Department of Clinical Medicine, Rivers State University Teaching Hospital,Port Harcourt. Rivers State, Nigeria."/>
    <x v="1"/>
    <s v="Rivers State University Teaching Hospital, Port Harcourt."/>
    <x v="1"/>
    <s v="08037485025"/>
    <s v="firstsitting"/>
    <x v="2"/>
    <x v="0"/>
    <s v="Ibadan"/>
    <s v="NGN"/>
    <n v="812500"/>
    <s v=""/>
    <n v="0"/>
    <s v=""/>
    <n v="162500"/>
    <s v=""/>
    <s v="76021519WACP828864995"/>
  </r>
  <r>
    <n v="520"/>
    <n v="1223"/>
    <s v="anngeorgeokwuchukwu@gmail.com"/>
    <s v="UGWU Ann Okwuchukwu"/>
    <s v="NO 2 BARRISTER AKAKA STREET OFF SHINGE ROAD LAFIA NASARAWA STATE "/>
    <x v="0"/>
    <s v="DALHATU ARAF SPECIALIST HOSPITAL, LAFIA, NASARAWA STATE"/>
    <x v="1"/>
    <s v="08032293372"/>
    <s v="resitting"/>
    <x v="0"/>
    <x v="1"/>
    <s v="Abuja"/>
    <s v="NGN"/>
    <n v="552500"/>
    <s v=""/>
    <n v="0"/>
    <s v=""/>
    <n v="0"/>
    <s v=""/>
    <s v="12231520WACP227781842"/>
  </r>
  <r>
    <n v="521"/>
    <n v="3112"/>
    <s v="ladesther@gmail.com"/>
    <s v="ISMAILA Esther Ladidi"/>
    <s v="Department of Community Medicine, Jos University Teaching Hospital P.M.B 2076, Jos Plateau State"/>
    <x v="0"/>
    <s v="Jos University Teaching Hospital"/>
    <x v="1"/>
    <n v="8037034147"/>
    <s v="firstsitting"/>
    <x v="2"/>
    <x v="2"/>
    <s v="Abuja"/>
    <s v="NGN"/>
    <n v="812500"/>
    <s v=""/>
    <n v="0"/>
    <s v=""/>
    <n v="162500"/>
    <s v=""/>
    <s v="31121521WACP416478029"/>
  </r>
  <r>
    <n v="522"/>
    <n v="24401"/>
    <s v="abayomikabeer@gmail.com"/>
    <s v="ABAYOMI Abdul-kabeer Oladimeji"/>
    <s v="No:26 Omo-owo Area off Irra Offa kwara State Nigeria West Africa."/>
    <x v="1"/>
    <s v="University Of Ilorin Teaching Hospital"/>
    <x v="1"/>
    <s v="08103303744"/>
    <s v="firstsitting"/>
    <x v="1"/>
    <x v="0"/>
    <s v="Ibadan"/>
    <s v="NGN"/>
    <n v="195000"/>
    <s v=""/>
    <n v="0"/>
    <s v=""/>
    <n v="0"/>
    <s v=""/>
    <s v="244011522WACP509205638"/>
  </r>
  <r>
    <n v="523"/>
    <n v="20497"/>
    <s v="mongunoalamin@gmail.com"/>
    <s v="MONGUNO  Alamin  Tijjani "/>
    <s v="House no:2 Imam Malik Islamic center way,Maiduguri Borno State. "/>
    <x v="1"/>
    <s v="University of Maiduguri Teaching Hospital "/>
    <x v="1"/>
    <s v="08030570418"/>
    <s v="firstsitting"/>
    <x v="0"/>
    <x v="2"/>
    <s v="Abuja"/>
    <s v="NGN"/>
    <n v="552500"/>
    <s v=""/>
    <n v="110500"/>
    <s v=""/>
    <n v="0"/>
    <s v=""/>
    <s v="204971523WACP420826332"/>
  </r>
  <r>
    <n v="524"/>
    <n v="21277"/>
    <s v="idongforchrist@yahoo.com"/>
    <s v="UNANAM  Idongesit  Aniefiok "/>
    <s v="Owo, Ondo state "/>
    <x v="1"/>
    <s v="University of Uyo "/>
    <x v="1"/>
    <s v="08182492448"/>
    <s v="firstsitting"/>
    <x v="0"/>
    <x v="1"/>
    <s v="Ibadan"/>
    <s v="NGN"/>
    <n v="552500"/>
    <s v=""/>
    <n v="0"/>
    <s v=""/>
    <n v="0"/>
    <s v=""/>
    <s v="212771524WACP288678113"/>
  </r>
  <r>
    <n v="525"/>
    <n v="6044"/>
    <s v="igonomarth@gmail.com"/>
    <s v="ONOJA Martha Joseph"/>
    <s v="DEPARTMENT OF COMMUNITY MEDICINE JOS UNIVERSITY TEACHING HOSPITAL,PMB 2076,JOS"/>
    <x v="0"/>
    <s v="JOS UNIVERSITY TEACHING HOSPITAL"/>
    <x v="1"/>
    <n v="8036914049"/>
    <s v="firstsitting"/>
    <x v="2"/>
    <x v="2"/>
    <s v="Abuja"/>
    <s v="NGN"/>
    <n v="812500"/>
    <s v=""/>
    <n v="0"/>
    <s v=""/>
    <n v="162500"/>
    <s v=""/>
    <s v="60441525WACP510529474"/>
  </r>
  <r>
    <n v="526"/>
    <n v="8222"/>
    <s v="bathosky49@gmail.com"/>
    <s v="Bartholomew Nwankwo Chinedu"/>
    <s v="NO. 79 WTC ESTATE, ENUGU STATE"/>
    <x v="1"/>
    <s v="ESUT TEACHING HOSPITAL PARKLANE, ENUGU"/>
    <x v="1"/>
    <n v="8030880899"/>
    <s v="firstsitting"/>
    <x v="2"/>
    <x v="2"/>
    <s v="Abuja"/>
    <s v="NGN"/>
    <n v="812500"/>
    <s v=""/>
    <n v="0"/>
    <s v=""/>
    <n v="162500"/>
    <s v=""/>
    <s v="82221526WACP240229880"/>
  </r>
  <r>
    <n v="527"/>
    <n v="24091"/>
    <s v="nwatuangela@gmail.com"/>
    <s v="NWATU chiebonam veronica"/>
    <s v="511 B close ,house 9 festac town lagos state"/>
    <x v="0"/>
    <s v="Enugu state university of science and techonology"/>
    <x v="1"/>
    <s v="08135775480"/>
    <s v="firstsitting"/>
    <x v="1"/>
    <x v="0"/>
    <s v="Ibadan"/>
    <s v="NGN"/>
    <n v="195000"/>
    <s v=""/>
    <n v="0"/>
    <s v=""/>
    <n v="0"/>
    <s v=""/>
    <s v="240911527WACP388071044"/>
  </r>
  <r>
    <n v="528"/>
    <n v="10473"/>
    <s v="ekeneogborogu@gmail.com"/>
    <s v="OGBOROGU ekene leo"/>
    <s v="Clinical Medicine DEPARTMENT FEDERAL MEDICAL CENTER OWERRI, IMO STATE. "/>
    <x v="1"/>
    <s v="Federal University Teaching Hospital, Owerri"/>
    <x v="1"/>
    <n v="2349136446611"/>
    <s v="dissertation"/>
    <x v="2"/>
    <x v="0"/>
    <s v="Ibadan"/>
    <s v="NGN"/>
    <n v="812500"/>
    <s v=""/>
    <n v="0"/>
    <s v=""/>
    <n v="162500"/>
    <s v=""/>
    <s v="104731528WACP153252899"/>
  </r>
  <r>
    <n v="529"/>
    <n v="4302"/>
    <s v="hallarn@gmail.com"/>
    <s v="YUSUF  Abdullazeez  Olanrewaju"/>
    <s v="Km8 hadejia Rd dansarai Gezawa LGA, Kano."/>
    <x v="1"/>
    <s v="Aminu Kano Teaching Hospital Kano"/>
    <x v="1"/>
    <n v="7030924299"/>
    <s v="firstsitting"/>
    <x v="0"/>
    <x v="0"/>
    <s v="Abuja"/>
    <s v="NGN"/>
    <n v="552500"/>
    <s v=""/>
    <n v="0"/>
    <s v=""/>
    <n v="0"/>
    <s v=""/>
    <s v="43021529WACP84952457"/>
  </r>
  <r>
    <n v="530"/>
    <n v="24342"/>
    <s v="tumtumalachi@gmail.com"/>
    <s v="ALACHI Geraldine Etumelo"/>
    <s v="13b rcc quarters green roof estate, transekulu, Enugu"/>
    <x v="0"/>
    <s v="Benue state university, Makurdi, Benue state"/>
    <x v="1"/>
    <s v="09056521074"/>
    <s v="firstsitting"/>
    <x v="1"/>
    <x v="3"/>
    <s v="Ibadan"/>
    <s v="NGN"/>
    <n v="195000"/>
    <s v=""/>
    <n v="0"/>
    <s v=""/>
    <n v="0"/>
    <s v=""/>
    <s v="243421530WACP667984051"/>
  </r>
  <r>
    <n v="531"/>
    <n v="18457"/>
    <s v="veragodfrey.vg@gmail.com"/>
    <s v="ADEBAYO  Vera Omonivie"/>
    <s v="MOQ 39, MYHOUNG MILITARY BARRACKS, YABA LAGOS"/>
    <x v="0"/>
    <s v="Lagos state university teaching hospital Ikeja, Lagos"/>
    <x v="1"/>
    <s v="08051995403"/>
    <s v="firstsitting"/>
    <x v="0"/>
    <x v="0"/>
    <s v="Ibadan"/>
    <s v="NGN"/>
    <n v="552500"/>
    <s v=""/>
    <n v="110500"/>
    <s v=""/>
    <n v="0"/>
    <s v=""/>
    <s v="184571531WACP516237837"/>
  </r>
  <r>
    <n v="532"/>
    <n v="11044"/>
    <s v="nasirfatima1806@yahoo.com"/>
    <s v="Fatima Nasir Sani"/>
    <s v="No 6, Ibrahim Ali close, zone D 2nd gate, Apo Legislative Quaters "/>
    <x v="0"/>
    <s v="Federal Medical Centre, Jabi, Abuja."/>
    <x v="1"/>
    <n v="8149794612"/>
    <s v="firstsitting"/>
    <x v="0"/>
    <x v="3"/>
    <s v="Abuja"/>
    <s v="NGN"/>
    <n v="552500"/>
    <s v=""/>
    <n v="0"/>
    <s v=""/>
    <n v="0"/>
    <s v=""/>
    <s v="110441532WACP208078753"/>
  </r>
  <r>
    <n v="533"/>
    <n v="24444"/>
    <s v="idrissa.momoh@gmail.com"/>
    <s v="KONDORVOH Idrissa Momoh"/>
    <s v="5 Main Motor road Gloucester Village"/>
    <x v="1"/>
    <s v="Ola During Children Hospital"/>
    <x v="3"/>
    <s v="079412532"/>
    <s v="firstsitting"/>
    <x v="1"/>
    <x v="1"/>
    <s v="Freetown"/>
    <s v="NGN"/>
    <n v="195000"/>
    <s v=""/>
    <n v="0"/>
    <s v=""/>
    <n v="0"/>
    <s v=""/>
    <s v="244441533WACP553043771"/>
  </r>
  <r>
    <n v="534"/>
    <n v="21873"/>
    <s v="alfadaali@yahoo.co.uk"/>
    <s v="MUHAMMAD Abubakar Adam"/>
    <s v="110, Sheikh Sheriff Ibrahim Saleh Street, Gwange 1 Ward, Maiduguri, Borno State"/>
    <x v="1"/>
    <s v="Aminu Kano Teaching Hospital, Kano, Nigeria"/>
    <x v="1"/>
    <s v="08031334845"/>
    <s v="firstsitting"/>
    <x v="0"/>
    <x v="2"/>
    <s v="Abuja"/>
    <s v="NGN"/>
    <n v="552500"/>
    <s v=""/>
    <n v="110500"/>
    <s v=""/>
    <n v="0"/>
    <s v=""/>
    <s v="218731534WACP946650144"/>
  </r>
  <r>
    <n v="535"/>
    <n v="24384"/>
    <s v="Koweikayla14@gmail.com"/>
    <s v="KOWEI gift tamara-miyentei"/>
    <s v="93b 2nd west of textile mill road, Benin city,Edo state"/>
    <x v="0"/>
    <s v="Igbinedion university okada"/>
    <x v="1"/>
    <s v="07033044191"/>
    <s v="firstsitting"/>
    <x v="1"/>
    <x v="1"/>
    <s v="Abuja"/>
    <s v="NGN"/>
    <n v="195000"/>
    <s v=""/>
    <n v="0"/>
    <s v=""/>
    <n v="0"/>
    <s v=""/>
    <s v="243841535WACP277397631"/>
  </r>
  <r>
    <n v="536"/>
    <n v="6664"/>
    <s v="ndmario111@gmail.com"/>
    <s v="OSUJI  nnamdi  thaddeus "/>
    <s v="ECWA HOSPITAL EGBE "/>
    <x v="1"/>
    <s v="ECWA HOSPITAL EGBE KOGI STATE "/>
    <x v="1"/>
    <s v="08032734137"/>
    <s v="firstsitting"/>
    <x v="2"/>
    <x v="0"/>
    <s v="Abuja"/>
    <s v="NGN"/>
    <n v="812500"/>
    <s v=""/>
    <n v="0"/>
    <s v=""/>
    <n v="162500"/>
    <s v=""/>
    <s v="66641536WACP980461285"/>
  </r>
  <r>
    <n v="537"/>
    <n v="11012"/>
    <s v="zeebello1@gmail.com"/>
    <s v="BELLO Zainab  Isah"/>
    <s v="Plot 233, M.I.M Bawa Street , Farawa layout II, Kumbotso LGA. Kano state"/>
    <x v="0"/>
    <s v="Aminu Kano Teaching Hospital "/>
    <x v="1"/>
    <n v="8067193124"/>
    <s v="firstsitting"/>
    <x v="0"/>
    <x v="0"/>
    <s v="Abuja"/>
    <s v="NGN"/>
    <n v="552500"/>
    <s v=""/>
    <n v="0"/>
    <s v=""/>
    <n v="0"/>
    <s v=""/>
    <s v="110121537WACP512900713"/>
  </r>
  <r>
    <n v="538"/>
    <n v="24465"/>
    <s v="hegenesis25@gmail.com"/>
    <s v="HEZEKIAH Genesis "/>
    <s v="Bagadaza Quarters, Gombe State, Nigeria"/>
    <x v="0"/>
    <s v="Gombe State University"/>
    <x v="1"/>
    <s v="07040608200"/>
    <s v="firstsitting"/>
    <x v="1"/>
    <x v="2"/>
    <s v="Abuja"/>
    <s v="NGN"/>
    <n v="195000"/>
    <s v=""/>
    <n v="0"/>
    <s v=""/>
    <n v="0"/>
    <s v=""/>
    <s v="244651538WACP265746224"/>
  </r>
  <r>
    <n v="539"/>
    <n v="20273"/>
    <s v="malams96@gmail.com"/>
    <s v="ABDULMALIK Abdulrahim  "/>
    <s v="No 62Ummarun Dallaje Cresent Batagarawa Lowcost, Katsina"/>
    <x v="1"/>
    <s v="Federal Teaching Hospital Katsina "/>
    <x v="1"/>
    <n v="2348025265640"/>
    <s v="firstsitting"/>
    <x v="0"/>
    <x v="3"/>
    <s v="Abuja"/>
    <s v="NGN"/>
    <n v="552500"/>
    <s v=""/>
    <n v="0"/>
    <s v=""/>
    <n v="0"/>
    <s v=""/>
    <s v="202731539WACP757338610"/>
  </r>
  <r>
    <n v="540"/>
    <n v="24457"/>
    <s v="24petej@gmail.com"/>
    <s v="Wisman Victoria "/>
    <s v="60 kissy bye pass"/>
    <x v="0"/>
    <s v="Ola during children&amp;#039;s hospital"/>
    <x v="3"/>
    <s v="078-658218"/>
    <s v="firstsitting"/>
    <x v="1"/>
    <x v="1"/>
    <s v="Freetown"/>
    <s v="NGN"/>
    <n v="195000"/>
    <s v=""/>
    <n v="0"/>
    <s v=""/>
    <n v="0"/>
    <s v=""/>
    <s v="244571540WACP142312274"/>
  </r>
  <r>
    <n v="541"/>
    <n v="24446"/>
    <s v="hamzamansaray12@gmail.com"/>
    <s v="MANSARAY Hamza "/>
    <s v="91 Cemetery Road, Orugu, Freetown"/>
    <x v="1"/>
    <s v="Ola During Children&amp;#039;s Hospital"/>
    <x v="3"/>
    <n v="23234120469"/>
    <s v="firstsitting"/>
    <x v="1"/>
    <x v="1"/>
    <s v="Freetown"/>
    <s v="NGN"/>
    <n v="195000"/>
    <s v=""/>
    <n v="0"/>
    <s v=""/>
    <n v="0"/>
    <s v=""/>
    <s v="244461541WACP579233601"/>
  </r>
  <r>
    <n v="542"/>
    <n v="24413"/>
    <s v="rahimkamara137@gmail.com"/>
    <s v="KAMARA Rahim "/>
    <s v="12 Kargbo Drive, Metchem, Freetown."/>
    <x v="1"/>
    <s v="Ola During Children&amp;#039;s Hospital"/>
    <x v="3"/>
    <n v="23231819123"/>
    <s v="firstsitting"/>
    <x v="1"/>
    <x v="1"/>
    <s v="Freetown"/>
    <s v="NGN"/>
    <n v="195000"/>
    <s v=""/>
    <n v="0"/>
    <s v=""/>
    <n v="0"/>
    <s v=""/>
    <s v="244131542WACP276379020"/>
  </r>
  <r>
    <n v="543"/>
    <n v="24456"/>
    <s v="yusifusahidbangura81@gmail.com"/>
    <s v="Bangura Yusifu Sahid"/>
    <s v="Jui, Freetown"/>
    <x v="1"/>
    <s v="Ola During Children&amp;#039;s Hospital (ODCH)"/>
    <x v="3"/>
    <n v="23234610270"/>
    <s v="firstsitting"/>
    <x v="1"/>
    <x v="1"/>
    <s v="Freetown"/>
    <s v="NGN"/>
    <n v="195000"/>
    <s v=""/>
    <n v="0"/>
    <s v=""/>
    <n v="0"/>
    <s v=""/>
    <s v="244561543WACP152428173"/>
  </r>
  <r>
    <n v="544"/>
    <n v="24467"/>
    <s v="danielkarimvandi@gmail.com"/>
    <s v="VANDI Daniel Karim"/>
    <s v="4-Lamin Drive, Off cemetery road, Adonkia - Freetown"/>
    <x v="1"/>
    <s v="Ola During Children&amp;#039;s Hospital"/>
    <x v="3"/>
    <n v="23278255197"/>
    <s v="firstsitting"/>
    <x v="1"/>
    <x v="1"/>
    <s v="Freetown"/>
    <s v="NGN"/>
    <n v="195000"/>
    <s v=""/>
    <n v="0"/>
    <s v=""/>
    <n v="0"/>
    <s v=""/>
    <s v="244671544WACP133268677"/>
  </r>
  <r>
    <n v="545"/>
    <n v="4859"/>
    <s v="yemi.amuda@yahoo.com"/>
    <s v="AMUDA Adeyemi Akeem"/>
    <s v="Department of Behavioral Health, Urban Comprehensive Health Centre, Obafemi Awolowo University Teaching Hospitals Complex (OAUTHC), Ile-Ife, Osun State, Nigeria"/>
    <x v="1"/>
    <s v="Obafemi Awolowo University Teaching Hospitals Complex (OAUTHC), Ile-Ife, Osun State"/>
    <x v="1"/>
    <s v="08035539324"/>
    <s v="firstsitting"/>
    <x v="2"/>
    <x v="2"/>
    <s v="Ibadan"/>
    <s v="NGN"/>
    <n v="812500"/>
    <s v=""/>
    <n v="0"/>
    <s v=""/>
    <n v="162500"/>
    <s v=""/>
    <s v="48591545WACP50986892"/>
  </r>
  <r>
    <n v="546"/>
    <n v="24409"/>
    <s v="cherryosigwe@gmail.com"/>
    <s v="OSIGWE Adannaya Cherry"/>
    <s v="Federal Neuropsychiatric Hospital Benin"/>
    <x v="0"/>
    <s v="Federal Neuropsychiatric Hospital Benin"/>
    <x v="1"/>
    <s v="08036465851"/>
    <s v="firstsitting"/>
    <x v="1"/>
    <x v="4"/>
    <s v="Enugu"/>
    <s v="NGN"/>
    <n v="195000"/>
    <s v=""/>
    <n v="0"/>
    <s v=""/>
    <n v="0"/>
    <s v=""/>
    <s v="244091546WACP23365349"/>
  </r>
  <r>
    <n v="547"/>
    <n v="21097"/>
    <s v="sjadjare@gmail.com"/>
    <s v="AGYARE Simeon Jude"/>
    <s v="ECG BOX 521 Accra Ghana"/>
    <x v="1"/>
    <s v="Korle Bu Teaching Hospital "/>
    <x v="2"/>
    <s v="0596318873"/>
    <s v="firstsitting"/>
    <x v="1"/>
    <x v="4"/>
    <s v="Accra"/>
    <s v="USD"/>
    <s v=""/>
    <n v="150"/>
    <s v=""/>
    <n v="0"/>
    <s v=""/>
    <n v="0"/>
    <s v="GHWACP633028656"/>
  </r>
  <r>
    <n v="548"/>
    <n v="24463"/>
    <s v="batuly273@gmail.com"/>
    <s v="BAH Fatmata Batuly"/>
    <s v="8 lower Patton st"/>
    <x v="0"/>
    <s v="University of Sierra Leone teaching hospital complex"/>
    <x v="3"/>
    <n v="23280644495"/>
    <s v="firstsitting"/>
    <x v="1"/>
    <x v="1"/>
    <s v="Freetown"/>
    <s v="NGN"/>
    <n v="195000"/>
    <s v=""/>
    <n v="0"/>
    <s v=""/>
    <n v="0"/>
    <s v=""/>
    <s v="244631548WACP978024273"/>
  </r>
  <r>
    <n v="549"/>
    <n v="23609"/>
    <s v="giftedhand3994@gmail.com"/>
    <s v="IBEKA Gift Marvellous"/>
    <s v="PH Alpha2 Secretariat Tourist Beach"/>
    <x v="0"/>
    <s v="Rivers State University Teaching Hospital"/>
    <x v="1"/>
    <s v="07050791786"/>
    <s v="resitting"/>
    <x v="1"/>
    <x v="1"/>
    <s v="Ibadan"/>
    <s v="NGN"/>
    <n v="195000"/>
    <s v=""/>
    <n v="0"/>
    <s v=""/>
    <n v="0"/>
    <s v=""/>
    <s v="236091549WACP274941522"/>
  </r>
  <r>
    <n v="550"/>
    <n v="9454"/>
    <s v="dchoosen88@gmail.com"/>
    <s v="ABDUR-RAHEEM  Mukhtar  Oluwatosin "/>
    <s v="Department of Population Health,Federal Teaching Hospital Katsina, Katsina, Nigeria."/>
    <x v="1"/>
    <s v="Federal Teaching Hospital Katsina,Katsina,Nigeria "/>
    <x v="1"/>
    <n v="8036921324"/>
    <s v="resitting"/>
    <x v="0"/>
    <x v="1"/>
    <s v="Abuja"/>
    <s v="NGN"/>
    <n v="552500"/>
    <s v=""/>
    <n v="0"/>
    <s v=""/>
    <n v="0"/>
    <s v=""/>
    <s v="94541550WACP739405359"/>
  </r>
  <r>
    <n v="551"/>
    <n v="6096"/>
    <s v="snipcee@gmail.com"/>
    <s v="AKOR Ogecha Idoko"/>
    <s v="University of Abuja Teaching Hospital, Population Health department."/>
    <x v="0"/>
    <s v="University of Abuja Teaching Hospital,Abuja. "/>
    <x v="1"/>
    <s v="07038266940"/>
    <s v="resitting"/>
    <x v="2"/>
    <x v="1"/>
    <s v="Abuja"/>
    <s v="NGN"/>
    <n v="812500"/>
    <s v=""/>
    <n v="0"/>
    <s v=""/>
    <n v="162500"/>
    <s v=""/>
    <s v="60961551WACP367240528"/>
  </r>
  <r>
    <n v="552"/>
    <n v="24185"/>
    <s v="fatimazara56@gmail.com"/>
    <s v="EL-RUFAI Fatima Ibrahim"/>
    <s v="Jewel shelter estate jahi ahmedu bello way abuja"/>
    <x v="0"/>
    <s v="Trust charitos hospital abuja"/>
    <x v="1"/>
    <s v="08165655528"/>
    <s v="firstsitting"/>
    <x v="1"/>
    <x v="0"/>
    <s v="Abuja"/>
    <s v="NGN"/>
    <n v="195000"/>
    <s v=""/>
    <n v="0"/>
    <s v=""/>
    <n v="0"/>
    <s v=""/>
    <s v="241851552WACP557041472"/>
  </r>
  <r>
    <n v="553"/>
    <n v="20767"/>
    <s v="zahraxuxu@gmail.com"/>
    <s v="HABIB zahra Ringim"/>
    <s v="NO. 233 A MEDILE QUARTERS KANO"/>
    <x v="0"/>
    <s v="AMINU KANO TEACHING HOSPITAL"/>
    <x v="1"/>
    <s v="08034886433"/>
    <s v="firstsitting"/>
    <x v="0"/>
    <x v="0"/>
    <s v="Abuja"/>
    <s v="NGN"/>
    <n v="552500"/>
    <s v=""/>
    <n v="0"/>
    <s v=""/>
    <n v="0"/>
    <s v=""/>
    <s v="207671553WACP803437035"/>
  </r>
  <r>
    <n v="554"/>
    <n v="2747"/>
    <s v="maryamtinuola2015@gmail.com"/>
    <s v="SALIHU Maryam Abdulkadri"/>
    <s v="DEPARTMENT OF Population Health, FEDERAL MEDICAL CENTRE, P.M,B. 14, BIDA, NIGER STATE"/>
    <x v="0"/>
    <s v="FEDERAL MEDICAL CENTRE, BIDA"/>
    <x v="1"/>
    <n v="8131391831"/>
    <s v="firstsitting"/>
    <x v="2"/>
    <x v="1"/>
    <s v="Abuja"/>
    <s v="NGN"/>
    <n v="812500"/>
    <s v=""/>
    <n v="0"/>
    <s v=""/>
    <n v="162500"/>
    <s v=""/>
    <s v="27471554WACP94403500"/>
  </r>
  <r>
    <n v="555"/>
    <n v="24341"/>
    <s v="suleimanalhajiusman@gmail.com"/>
    <s v="USMAN Suleiman Alhaji"/>
    <s v="No 2 Machina road, Federal Medical Center Nguru, Yobe State"/>
    <x v="1"/>
    <s v="Federal Medical Center Nguru"/>
    <x v="1"/>
    <s v="08069597785"/>
    <s v="firstsitting"/>
    <x v="1"/>
    <x v="3"/>
    <s v="Abuja"/>
    <s v="NGN"/>
    <n v="195000"/>
    <s v=""/>
    <n v="0"/>
    <s v=""/>
    <n v="0"/>
    <s v=""/>
    <s v="243411555WACP280398161"/>
  </r>
  <r>
    <n v="556"/>
    <n v="24466"/>
    <s v="muhammedsippideentarawally@gmail.com"/>
    <s v="DEEN-TARAWALLY Muhammed Sippi"/>
    <s v="30a Old railway line Tengbeh town, Freetown Sierra Leone"/>
    <x v="1"/>
    <s v="Ola During children Hospital, Freetown , Sierra Leone"/>
    <x v="3"/>
    <n v="23279091886"/>
    <s v="firstsitting"/>
    <x v="1"/>
    <x v="1"/>
    <s v="Freetown"/>
    <s v="NGN"/>
    <n v="195000"/>
    <s v=""/>
    <n v="0"/>
    <s v=""/>
    <n v="0"/>
    <s v=""/>
    <s v="244661556WACP113395069"/>
  </r>
  <r>
    <n v="557"/>
    <n v="10547"/>
    <s v="ugwusamuelchika@yahoo.com"/>
    <s v="UGWU samuel chika"/>
    <s v="DEPARTMENT OF Child Health, JUTH, PMB 2076, JOS . PLATEAU STATE"/>
    <x v="1"/>
    <s v="Jos university teaching hospital jos "/>
    <x v="1"/>
    <n v="7039053568"/>
    <s v="firstsitting"/>
    <x v="2"/>
    <x v="3"/>
    <s v="Ibadan"/>
    <s v="NGN"/>
    <n v="812500"/>
    <s v=""/>
    <n v="0"/>
    <s v=""/>
    <n v="162500"/>
    <s v=""/>
    <s v="105471557WACP175947572"/>
  </r>
  <r>
    <n v="558"/>
    <n v="11126"/>
    <s v="okunolatemitope14@gmail.com"/>
    <s v="OKUNOLA TEMITOPE EMMANUEL"/>
    <s v="DEPARTMENT OF Clinical Medicine, LAGOS UNIVERSITY TEACHING HOSPITAL,IDI-ARABA,LAGOS"/>
    <x v="1"/>
    <s v="LAGOS  UNIVERSITY TEACHING HOSPITAL,IDI-ARABA,LAGOS"/>
    <x v="1"/>
    <n v="7030147475"/>
    <s v="casebook"/>
    <x v="2"/>
    <x v="0"/>
    <s v="Ibadan"/>
    <s v="NGN"/>
    <n v="812500"/>
    <s v=""/>
    <n v="0"/>
    <s v=""/>
    <n v="162500"/>
    <s v=""/>
    <s v="111261558WACP237273722"/>
  </r>
  <r>
    <n v="559"/>
    <n v="23915"/>
    <s v="angela.ackah@gmail.com"/>
    <s v="ACKAH Angela "/>
    <s v="P. O. BOX 100, NSAWAM"/>
    <x v="0"/>
    <s v="Nsawam Government Hospital"/>
    <x v="2"/>
    <s v="0247040241"/>
    <s v="firstsitting"/>
    <x v="1"/>
    <x v="3"/>
    <s v="Accra"/>
    <s v="USD"/>
    <s v=""/>
    <n v="150"/>
    <s v=""/>
    <n v="0"/>
    <s v=""/>
    <n v="0"/>
    <s v="239151559WACP904487170"/>
  </r>
  <r>
    <n v="560"/>
    <n v="19076"/>
    <s v="brinzy55@gmail.com"/>
    <s v="EZERIE  Bridget  Chinwekele "/>
    <s v="No 90 Elijiji Road,Woji,Portharcourt "/>
    <x v="0"/>
    <s v="Abia state university uturu"/>
    <x v="1"/>
    <s v="08105515355"/>
    <s v="resitting"/>
    <x v="1"/>
    <x v="1"/>
    <s v="Enugu"/>
    <s v="NGN"/>
    <n v="195000"/>
    <s v=""/>
    <n v="0"/>
    <s v=""/>
    <n v="0"/>
    <s v=""/>
    <s v="190761560WACP359170895"/>
  </r>
  <r>
    <n v="561"/>
    <n v="5092"/>
    <s v="queennosa1@gmail.com"/>
    <s v="IGBINOVIA Nosa Queen"/>
    <s v="NO. 11 JULIUS NYERERE CRESENT, ASOKORO DISTRICT HOSPITAL"/>
    <x v="0"/>
    <s v="ASOKORO DISTRICTHOSPITAL, FCT ABUJA. NIGERIA"/>
    <x v="1"/>
    <s v="08034181117"/>
    <s v="firstsitting"/>
    <x v="2"/>
    <x v="0"/>
    <s v="Abuja"/>
    <s v="NGN"/>
    <n v="812500"/>
    <s v=""/>
    <n v="0"/>
    <s v=""/>
    <n v="162500"/>
    <s v=""/>
    <s v="50921561WACP433429312"/>
  </r>
  <r>
    <n v="562"/>
    <n v="7518"/>
    <s v="aishaamuhammad2014@gmail.com"/>
    <s v="ABDULLAHI  Aishatu  "/>
    <s v="Population Health Department Aminu Kano Teaching Hospital"/>
    <x v="0"/>
    <s v="Aminu Kano Teaching Hospital"/>
    <x v="1"/>
    <n v="8068268420"/>
    <s v="firstsitting"/>
    <x v="2"/>
    <x v="1"/>
    <s v="Abuja"/>
    <s v="NGN"/>
    <n v="812500"/>
    <s v=""/>
    <n v="0"/>
    <s v=""/>
    <n v="162500"/>
    <s v=""/>
    <s v="75181562WACP954291154"/>
  </r>
  <r>
    <n v="563"/>
    <n v="24469"/>
    <s v="chukwudishedrack@gmail.com"/>
    <s v="IKE Shedrack Chukwudi"/>
    <s v="ECWA Hospital, Egbe, Kogi State"/>
    <x v="1"/>
    <s v="University of Nigeria, Nsukka"/>
    <x v="1"/>
    <s v="08138251573"/>
    <s v="firstsitting"/>
    <x v="1"/>
    <x v="0"/>
    <s v="Enugu"/>
    <s v="NGN"/>
    <n v="195000"/>
    <s v=""/>
    <n v="0"/>
    <s v=""/>
    <n v="0"/>
    <s v=""/>
    <s v="244691563WACP615994586"/>
  </r>
  <r>
    <n v="564"/>
    <n v="24259"/>
    <s v="siakpere22@gmail.com"/>
    <s v="OBI Onome Naomi"/>
    <s v="Plot 696 7th Avenue along 62 road Gwarimpa estate Abuja"/>
    <x v="0"/>
    <s v="Kharkiv national medical university"/>
    <x v="1"/>
    <s v="09017221221"/>
    <s v="firstsitting"/>
    <x v="1"/>
    <x v="4"/>
    <s v="Abuja"/>
    <s v="NGN"/>
    <n v="195000"/>
    <s v=""/>
    <n v="0"/>
    <s v=""/>
    <n v="0"/>
    <s v=""/>
    <s v="242591564WACP951748548"/>
  </r>
  <r>
    <n v="565"/>
    <n v="24028"/>
    <s v="esinamzowonu25@gmail.com"/>
    <s v="ZOWONU Esinam Yawo"/>
    <s v="plt 1c blk a"/>
    <x v="0"/>
    <s v="Atua"/>
    <x v="2"/>
    <s v="0530301863/0206723883"/>
    <s v="firstsitting"/>
    <x v="1"/>
    <x v="3"/>
    <s v="Accra"/>
    <s v="USD"/>
    <s v=""/>
    <n v="150"/>
    <s v=""/>
    <n v="0"/>
    <s v=""/>
    <n v="0"/>
    <s v="GHWACP179774526"/>
  </r>
  <r>
    <n v="566"/>
    <n v="18416"/>
    <s v="Zainabaminumusa@gmail.com"/>
    <s v="MUSA Zainab Aminu"/>
    <s v="Sharada phase 2 along santolo avenue kano"/>
    <x v="0"/>
    <s v="AMINU KANO TEACHING HOSPITAL, KANO. "/>
    <x v="1"/>
    <s v="08033912083"/>
    <s v="firstsitting"/>
    <x v="0"/>
    <x v="0"/>
    <s v="Abuja"/>
    <s v="NGN"/>
    <n v="552500"/>
    <s v=""/>
    <n v="0"/>
    <s v=""/>
    <n v="0"/>
    <s v=""/>
    <s v="184161566WACP974085705"/>
  </r>
  <r>
    <n v="568"/>
    <n v="5785"/>
    <s v="duchima84@yahoo.com"/>
    <s v="OBE Temitope Damilola"/>
    <s v="57, Afolabi Obe Street, Ori Oke, Ejigbo, Lagos."/>
    <x v="0"/>
    <s v="Lagos State University Teaching Hospital, Ikeja, Lagos."/>
    <x v="1"/>
    <n v="7062413660"/>
    <s v="firstsitting"/>
    <x v="2"/>
    <x v="0"/>
    <s v="Ibadan"/>
    <s v="NGN"/>
    <n v="812500"/>
    <s v=""/>
    <n v="0"/>
    <s v=""/>
    <n v="162500"/>
    <s v=""/>
    <s v="57851568WACP522631718"/>
  </r>
  <r>
    <n v="569"/>
    <n v="24474"/>
    <s v="nadiamaleeeq@gmail.com"/>
    <s v="ABDULKADIR Nadia Malik"/>
    <s v="Murtala muhammad specialist hospital"/>
    <x v="0"/>
    <s v="Murtala muhammad specialist hospital"/>
    <x v="1"/>
    <n v="2348125422516"/>
    <s v="firstsitting"/>
    <x v="1"/>
    <x v="2"/>
    <s v="Abuja"/>
    <s v="NGN"/>
    <n v="195000"/>
    <s v=""/>
    <n v="0"/>
    <s v=""/>
    <n v="0"/>
    <s v=""/>
    <s v="244741569WACP272539715"/>
  </r>
  <r>
    <n v="570"/>
    <n v="24292"/>
    <s v="baleemma67@gmail.com"/>
    <s v="BALE Emmanuel "/>
    <s v="No 1 Akpo Street Okwagbe"/>
    <x v="1"/>
    <s v="Mother and Child Specialist Hospital Owa Alero"/>
    <x v="1"/>
    <s v="08161380402"/>
    <s v="firstsitting"/>
    <x v="1"/>
    <x v="0"/>
    <s v="Enugu"/>
    <s v="NGN"/>
    <n v="195000"/>
    <s v=""/>
    <n v="0"/>
    <s v=""/>
    <n v="0"/>
    <s v=""/>
    <s v="242921570WACP5848648"/>
  </r>
  <r>
    <n v="571"/>
    <n v="24383"/>
    <s v="harlynaabba@gmail.com"/>
    <s v="NAABBA Halima Hussein"/>
    <s v="No 10 FHA Sharada phase two"/>
    <x v="0"/>
    <s v="Muhammadu Abdullahi Wase Teaching Hospital"/>
    <x v="1"/>
    <n v="2349099717294"/>
    <s v="firstsitting"/>
    <x v="1"/>
    <x v="2"/>
    <s v="Abuja"/>
    <s v="NGN"/>
    <n v="195000"/>
    <s v=""/>
    <n v="0"/>
    <s v=""/>
    <n v="0"/>
    <s v=""/>
    <s v="243831571WACP838250164"/>
  </r>
  <r>
    <n v="572"/>
    <n v="19826"/>
    <s v="patcyn55@yahoo.com"/>
    <s v="OKEKE Patricia Onyebuchi "/>
    <s v="18 Chief Nnadokoye st Ajao estate,Lagos state,Nigeria"/>
    <x v="0"/>
    <s v="Lagos University Teaching Hospital, Nigeria "/>
    <x v="1"/>
    <n v="2348038420446"/>
    <s v="resitting"/>
    <x v="0"/>
    <x v="1"/>
    <s v="Ibadan"/>
    <s v="NGN"/>
    <n v="552500"/>
    <s v=""/>
    <n v="0"/>
    <s v=""/>
    <n v="0"/>
    <s v=""/>
    <s v="198261572WACP157751075"/>
  </r>
  <r>
    <n v="573"/>
    <n v="20132"/>
    <s v="azorahijeoma271@gmail.com"/>
    <s v="IHUOMA Ijeoma Nelly"/>
    <s v="13 methodist  road world bank housing esate aba"/>
    <x v="0"/>
    <s v="fmc umuahia "/>
    <x v="1"/>
    <s v="07035332986"/>
    <s v="firstsitting"/>
    <x v="0"/>
    <x v="1"/>
    <s v="Abuja"/>
    <s v="NGN"/>
    <n v="552500"/>
    <s v=""/>
    <n v="0"/>
    <s v=""/>
    <n v="0"/>
    <s v=""/>
    <s v="201321573WACP551712130"/>
  </r>
  <r>
    <n v="574"/>
    <n v="6601"/>
    <s v="boluwatife99ogundokun@gmail.com"/>
    <s v="SOLA-ONIYIDE  Boluwatife  Anuoluwapo "/>
    <s v="Department of Population Health,Ekiti state University Teaching Hospital,Ado-Ekiti"/>
    <x v="0"/>
    <s v="Ekiti-state University Teaching Hospital,Ado-Ekiti"/>
    <x v="1"/>
    <n v="8078497024"/>
    <s v="passedorals"/>
    <x v="2"/>
    <x v="1"/>
    <s v="Ibadan"/>
    <s v="NGN"/>
    <n v="812500"/>
    <s v=""/>
    <n v="0"/>
    <s v=""/>
    <n v="162500"/>
    <s v=""/>
    <s v="66011574WACP674580100"/>
  </r>
  <r>
    <n v="575"/>
    <n v="24303"/>
    <s v="maimunarufai3@gmail.com"/>
    <s v="MUHAMMAD Maimuna "/>
    <s v="No. 803 Hotoro U/Gabas, nassrawa LGA, kano state"/>
    <x v="0"/>
    <s v="Murtala Muhammad Specialist Hospital kano"/>
    <x v="1"/>
    <s v="08064516794"/>
    <s v="firstsitting"/>
    <x v="1"/>
    <x v="0"/>
    <s v="Abuja"/>
    <s v="NGN"/>
    <n v="195000"/>
    <s v=""/>
    <n v="0"/>
    <s v=""/>
    <n v="0"/>
    <s v=""/>
    <s v="243031575WACP914912966"/>
  </r>
  <r>
    <n v="576"/>
    <n v="526"/>
    <s v="shillybindewest@yahoo.com"/>
    <s v="ELECHI Seun Abinde "/>
    <s v="no 8 eguaroje dada crescent ,marcus poli estate  gwarimpa abuja"/>
    <x v="0"/>
    <s v="Luhansk state medical university Ukraine "/>
    <x v="1"/>
    <s v="09034236702"/>
    <s v="firstsitting"/>
    <x v="2"/>
    <x v="0"/>
    <s v="Abuja"/>
    <s v="NGN"/>
    <n v="812500"/>
    <s v=""/>
    <n v="0"/>
    <s v=""/>
    <n v="162500"/>
    <s v=""/>
    <s v="5261576WACP772882342"/>
  </r>
  <r>
    <n v="577"/>
    <n v="944"/>
    <s v="mrishiaku@gmail.com"/>
    <s v="UMARU Ishaku "/>
    <s v="AMINU KANO TEACHING HOSPITAL PMB 3452 ZARIA ROAD KANO "/>
    <x v="1"/>
    <s v="AMINU KANO TEACHING HOSPITAL. KANO"/>
    <x v="1"/>
    <n v="7036196102"/>
    <s v="firstsitting"/>
    <x v="2"/>
    <x v="0"/>
    <s v="Abuja"/>
    <s v="NGN"/>
    <n v="812500"/>
    <s v=""/>
    <n v="0"/>
    <s v=""/>
    <n v="162500"/>
    <s v=""/>
    <s v="9441577WACP848484782"/>
  </r>
  <r>
    <n v="578"/>
    <n v="1318"/>
    <s v="benyinaanthony@gmail.com"/>
    <s v="EKERETE benyin anthony"/>
    <s v="C/O Department of Behavioral Health,University of Uyo Teaching Hospital,UUTH,Uyo Akwa Ibom State."/>
    <x v="0"/>
    <s v="University of Uyo Teaching Hospital "/>
    <x v="1"/>
    <s v="08063509405"/>
    <s v="firstsitting"/>
    <x v="2"/>
    <x v="2"/>
    <s v="Abuja"/>
    <s v="NGN"/>
    <n v="812500"/>
    <s v=""/>
    <n v="0"/>
    <s v=""/>
    <n v="162500"/>
    <s v=""/>
    <s v="13181578WACP843874636"/>
  </r>
  <r>
    <n v="579"/>
    <n v="5169"/>
    <s v="chimexgr44@gmail.com"/>
    <s v="IWUOHA Chimereije Sugabsiso"/>
    <s v="Angelic Care Hospital, No19 Ngwa Close, Off Fumilayo Ransome Kurti Street, Garki Area 3, Abuja."/>
    <x v="1"/>
    <s v="Angelic Care Hospital Abuja"/>
    <x v="1"/>
    <s v="08165863205"/>
    <s v="resitting"/>
    <x v="1"/>
    <x v="0"/>
    <s v="Abuja"/>
    <s v="NGN"/>
    <n v="195000"/>
    <s v=""/>
    <n v="0"/>
    <s v=""/>
    <n v="0"/>
    <s v=""/>
    <s v="51691579WACP83981182"/>
  </r>
  <r>
    <n v="580"/>
    <n v="10374"/>
    <s v="ceesquaredeye8@gmail.com"/>
    <s v="CHIGBU  Charles  Ifeanyi"/>
    <s v="1,AKINDELE STREET,NEW GARAGE GBAGADA, LAGOS STATE"/>
    <x v="1"/>
    <s v="R-JOLAD HOSPITAL ,GBAGADA, LAGOS STATE. "/>
    <x v="1"/>
    <s v="08039451323"/>
    <s v="firstsitting"/>
    <x v="2"/>
    <x v="0"/>
    <s v="Ibadan"/>
    <s v="NGN"/>
    <n v="812500"/>
    <s v=""/>
    <n v="0"/>
    <s v=""/>
    <n v="162500"/>
    <s v=""/>
    <s v="103741580WACP910993199"/>
  </r>
  <r>
    <n v="581"/>
    <n v="19569"/>
    <s v="jumokeugenyi@yahoo.com"/>
    <s v="UGENYI Jumoke Sefinat"/>
    <s v="10 Baale Street (Citadel of Praise), Igbo-Efon, Lekki, Lagos State, Nigeria"/>
    <x v="0"/>
    <s v="Ladoke Akintola University of Technology"/>
    <x v="1"/>
    <n v="2348038536811"/>
    <s v="firstsitting"/>
    <x v="0"/>
    <x v="1"/>
    <s v="Ibadan"/>
    <s v="NGN"/>
    <n v="552500"/>
    <s v=""/>
    <n v="0"/>
    <s v=""/>
    <n v="0"/>
    <s v=""/>
    <s v="195691581WACP404934463"/>
  </r>
  <r>
    <n v="582"/>
    <n v="19462"/>
    <s v="bukeeolatunji@gmail.com"/>
    <s v="OLATUNJI Olubukola Elizabeth"/>
    <s v="PLOT 6B PROVIDENCE ESTATE NEW OKO-OBA LAGOS"/>
    <x v="0"/>
    <s v="LASUTH,IKEJA LAGOS"/>
    <x v="1"/>
    <s v="08053719057"/>
    <s v="firstsitting"/>
    <x v="2"/>
    <x v="0"/>
    <s v="Ibadan"/>
    <s v="NGN"/>
    <n v="812500"/>
    <s v=""/>
    <n v="0"/>
    <s v=""/>
    <n v="162500"/>
    <s v=""/>
    <s v="194621582WACP674863026"/>
  </r>
  <r>
    <n v="583"/>
    <n v="24268"/>
    <s v="austaogo@yahoo.com"/>
    <s v="USHIE Augusta Ericbona"/>
    <s v="30 Gbangbala street, Ikate Elegushi, Lekki Lagos"/>
    <x v="0"/>
    <s v="Lagos University Teaching Hospital "/>
    <x v="1"/>
    <s v="08075391770"/>
    <s v="firstsitting"/>
    <x v="0"/>
    <x v="2"/>
    <s v="Ibadan"/>
    <s v="NGN"/>
    <n v="552500"/>
    <s v=""/>
    <n v="110500"/>
    <s v=""/>
    <n v="0"/>
    <s v=""/>
    <s v="242681583WACP497317398"/>
  </r>
  <r>
    <n v="584"/>
    <n v="4983"/>
    <s v="malikiatairu@yahoo.com"/>
    <s v="Maliki Atairu Asipita"/>
    <s v="Clinical Medicine DEPARTMENT FEDERAL TEACHING HOSPITAL KATSINA"/>
    <x v="1"/>
    <s v="FEDERAL TEACHING HOSPITAL KATSINA"/>
    <x v="1"/>
    <n v="2347031577322"/>
    <s v="firstsitting"/>
    <x v="2"/>
    <x v="0"/>
    <s v="Ibadan"/>
    <s v="NGN"/>
    <n v="812500"/>
    <s v=""/>
    <n v="0"/>
    <s v=""/>
    <n v="162500"/>
    <s v=""/>
    <s v="49831584WACP120270277"/>
  </r>
  <r>
    <n v="585"/>
    <n v="20430"/>
    <s v="aishabashir76@yahoo.com"/>
    <s v="ALBASU Aisha Bashir"/>
    <s v="No 12 Bompai Road, Nasarawa,  Kano state"/>
    <x v="0"/>
    <s v="Aminu Kano Teaching Hospital "/>
    <x v="1"/>
    <s v="08082599813"/>
    <s v="firstsitting"/>
    <x v="0"/>
    <x v="0"/>
    <s v="Abuja"/>
    <s v="NGN"/>
    <n v="552500"/>
    <s v=""/>
    <n v="0"/>
    <s v=""/>
    <n v="0"/>
    <s v=""/>
    <s v="204301585WACP641167648"/>
  </r>
  <r>
    <n v="586"/>
    <n v="1490"/>
    <s v="shamakibabarimamtso@gmail.com"/>
    <s v="Rimamtso Shamaki Baba"/>
    <s v="Department of Child Health Abubakar Tafawa Balewa university teaching hospital ATBUTHBauchi"/>
    <x v="1"/>
    <s v=" Abubakar Tafawa Balewa university teaching hospital ATBUTHBauchi"/>
    <x v="1"/>
    <n v="8161534496"/>
    <s v="firstsitting"/>
    <x v="2"/>
    <x v="3"/>
    <s v="Ibadan"/>
    <s v="NGN"/>
    <n v="812500"/>
    <s v=""/>
    <n v="0"/>
    <s v=""/>
    <n v="162500"/>
    <s v=""/>
    <s v="14901586WACP145952157"/>
  </r>
  <r>
    <n v="587"/>
    <n v="18899"/>
    <s v="ceesaysuntu@gmail.com"/>
    <s v="Ceesay Suntu "/>
    <s v="25 sanchaba, junction baa street,WCR,The Gambia"/>
    <x v="0"/>
    <s v="Edward Francis Small Teaching Hospital"/>
    <x v="0"/>
    <s v="00220 2525125"/>
    <s v="firstsitting"/>
    <x v="0"/>
    <x v="0"/>
    <s v="Accra"/>
    <s v="NGN"/>
    <n v="552500"/>
    <s v=""/>
    <n v="0"/>
    <s v=""/>
    <n v="0"/>
    <s v=""/>
    <s v="188991587WACP652671045"/>
  </r>
  <r>
    <n v="588"/>
    <n v="5757"/>
    <s v="theodoraashaolu@gmail.com"/>
    <s v="ASHAOLU Aghorghor Theodora"/>
    <s v="Plot 64B Baderinwa Alabi street, Central Lekki Phase 1, Marwa, Lekki Phase 1"/>
    <x v="0"/>
    <s v="R Jolad Hospital Gbagada, Lagos state"/>
    <x v="1"/>
    <s v="+234 8034071780"/>
    <s v="firstsitting"/>
    <x v="2"/>
    <x v="0"/>
    <s v="Ibadan"/>
    <s v="NGN"/>
    <n v="812500"/>
    <s v=""/>
    <n v="0"/>
    <s v=""/>
    <n v="162500"/>
    <s v=""/>
    <s v="57571588WACP370675490"/>
  </r>
  <r>
    <n v="589"/>
    <n v="24471"/>
    <s v="tunjiomooosadaje@yahoo.com"/>
    <s v="OYEBANJI Tunji John"/>
    <s v="A 23 AYEGBAJU STREET YAKOOYO IPETUMODU"/>
    <x v="1"/>
    <s v="OBAFEMI AWOLOWO UNIVERSITY TEACHING HOSPITAL COMPLEX ILE IFE"/>
    <x v="1"/>
    <s v="08022300228"/>
    <s v="firstsitting"/>
    <x v="1"/>
    <x v="4"/>
    <s v="Ibadan"/>
    <s v="NGN"/>
    <n v="195000"/>
    <s v=""/>
    <n v="0"/>
    <s v=""/>
    <n v="0"/>
    <s v=""/>
    <s v="244711589WACP257911755"/>
  </r>
  <r>
    <n v="590"/>
    <n v="24214"/>
    <s v="chinwendu.u.e.456@gmail.com"/>
    <s v="Uche Chinwendu Emmanuella"/>
    <s v="No 9 Anderson Ekwe street, New road Junction. Port-harcourt"/>
    <x v="0"/>
    <s v="University of Nigeria Nsukka"/>
    <x v="1"/>
    <s v="09011985795"/>
    <s v="firstsitting"/>
    <x v="1"/>
    <x v="1"/>
    <s v="Ibadan"/>
    <s v="NGN"/>
    <n v="195000"/>
    <s v=""/>
    <n v="0"/>
    <s v=""/>
    <n v="0"/>
    <s v=""/>
    <s v="242141590WACP426861647"/>
  </r>
  <r>
    <n v="591"/>
    <n v="24451"/>
    <s v="nkechiokoye2015@gmail.com"/>
    <s v="Okoye Nkechinyere Cynthia"/>
    <s v="Rivtaf golf estate , off peter-odilli road , portharcourt, Rivers state"/>
    <x v="0"/>
    <s v="University of Nigeria college of Medicine"/>
    <x v="1"/>
    <s v="09076727437"/>
    <s v="firstsitting"/>
    <x v="1"/>
    <x v="0"/>
    <s v="Enugu"/>
    <s v="NGN"/>
    <n v="195000"/>
    <s v=""/>
    <n v="0"/>
    <s v=""/>
    <n v="0"/>
    <s v=""/>
    <s v="244511591WACP770202491"/>
  </r>
  <r>
    <n v="592"/>
    <n v="23976"/>
    <s v="eyramtsinigo@gmail.com"/>
    <s v="TSINIGO Eyram Yaa"/>
    <s v="P.O.Box AM 200, Amasaman- Accra"/>
    <x v="0"/>
    <s v="Korle bu Teaching Hospital"/>
    <x v="2"/>
    <s v="+233 555 667 909"/>
    <s v="firstsitting"/>
    <x v="1"/>
    <x v="0"/>
    <s v="Accra"/>
    <s v="USD"/>
    <s v=""/>
    <n v="150"/>
    <s v=""/>
    <n v="0"/>
    <s v=""/>
    <n v="0"/>
    <s v="GHWACP858086630"/>
  </r>
  <r>
    <n v="593"/>
    <n v="19264"/>
    <s v="bilkisu1231@gmail.com"/>
    <s v="MUSA Bilkisu Dalhatu"/>
    <s v="Block 148, Las Vegas Crescent, Karu Site Abuja"/>
    <x v="0"/>
    <s v="Federal Medical Centre, Abuja"/>
    <x v="1"/>
    <s v="08143503339"/>
    <s v="firstsitting"/>
    <x v="0"/>
    <x v="3"/>
    <s v="Abuja"/>
    <s v="NGN"/>
    <n v="552500"/>
    <s v=""/>
    <n v="0"/>
    <s v=""/>
    <n v="0"/>
    <s v=""/>
    <s v="192641593WACP863714723"/>
  </r>
  <r>
    <n v="594"/>
    <n v="2134"/>
    <s v="rashidatbello9@gmail.com"/>
    <s v="BELLO Rashidat  "/>
    <s v="Department of Population Health, ABUTH, Zaria"/>
    <x v="0"/>
    <s v="Ahmadu Bello University Teaching Hospital, Zaria"/>
    <x v="1"/>
    <n v="8039207203"/>
    <s v="firstsitting"/>
    <x v="2"/>
    <x v="1"/>
    <s v="Abuja"/>
    <s v="NGN"/>
    <n v="812500"/>
    <s v=""/>
    <n v="0"/>
    <s v=""/>
    <n v="162500"/>
    <s v=""/>
    <s v="21341594WACP839166464"/>
  </r>
  <r>
    <n v="595"/>
    <n v="6354"/>
    <s v="amynnah1@gmail.com"/>
    <s v="NDAMAN Amina Larai"/>
    <s v="C/O Clinical Medicine Department, Federal Medical Centre, Bida, Niger State "/>
    <x v="0"/>
    <s v="Federal Medical Centre, Bida, Niger State"/>
    <x v="1"/>
    <s v="07037759405"/>
    <s v="casebook"/>
    <x v="2"/>
    <x v="0"/>
    <s v="Abuja"/>
    <s v="NGN"/>
    <n v="812500"/>
    <s v=""/>
    <n v="0"/>
    <s v=""/>
    <n v="162500"/>
    <s v=""/>
    <s v="63541595WACP309368661"/>
  </r>
  <r>
    <n v="596"/>
    <n v="22520"/>
    <s v="massat2008@yahoo.com"/>
    <s v="Aderibigbe Mariam Mercy "/>
    <s v="Clinical Medicine department, Jericho Specialist Hospital, Jericho, Ibadan"/>
    <x v="0"/>
    <s v="Oyo State Hospital Management Board, Agodi, Ibadan"/>
    <x v="1"/>
    <n v="2349032828496"/>
    <s v="firstsitting"/>
    <x v="1"/>
    <x v="0"/>
    <s v="Ibadan"/>
    <s v="NGN"/>
    <n v="195000"/>
    <s v=""/>
    <n v="0"/>
    <s v=""/>
    <n v="0"/>
    <s v=""/>
    <s v="225201596WACP834383744"/>
  </r>
  <r>
    <n v="597"/>
    <n v="5493"/>
    <s v="aguinadr@gmail.com"/>
    <s v="AGINA |Uchenna  Stanislaus"/>
    <s v="DEPARTMENT OF Child Health NAUTH NNEWI"/>
    <x v="1"/>
    <s v="NNAMDI AZIKIWE UNIVERSITY TEACHING HOSPITAL, NNEWI"/>
    <x v="1"/>
    <n v="8037827888"/>
    <s v="resitting"/>
    <x v="0"/>
    <x v="3"/>
    <s v="Abuja"/>
    <s v="NGN"/>
    <n v="552500"/>
    <s v=""/>
    <n v="0"/>
    <s v=""/>
    <n v="0"/>
    <s v=""/>
    <s v="54931597WACP675556267"/>
  </r>
  <r>
    <n v="598"/>
    <n v="24340"/>
    <s v="lawalomotola4@gmail.com"/>
    <s v="LAWAL Omotola Ayodele"/>
    <s v="House 13/14, Close 1, Mayfair Gardens, Awoyaya, ibeju-lekki, Lagos State"/>
    <x v="1"/>
    <s v="University of Ibadan, Ibadan"/>
    <x v="1"/>
    <s v="07061024737"/>
    <s v="firstsitting"/>
    <x v="1"/>
    <x v="3"/>
    <s v="Ibadan"/>
    <s v="NGN"/>
    <n v="195000"/>
    <s v=""/>
    <n v="0"/>
    <s v=""/>
    <n v="0"/>
    <s v=""/>
    <s v="243401598WACP575300473"/>
  </r>
  <r>
    <n v="599"/>
    <n v="24426"/>
    <s v="eluyeraayomide@gmail.com"/>
    <s v="ELUYERA Ayomide Olalekan"/>
    <s v="No.12, Ayofamuyide Street, Ile-Ife"/>
    <x v="1"/>
    <s v="Medicine"/>
    <x v="1"/>
    <n v="2349039968196"/>
    <s v="firstsitting"/>
    <x v="1"/>
    <x v="3"/>
    <s v="Ibadan"/>
    <s v="NGN"/>
    <n v="195000"/>
    <s v=""/>
    <n v="0"/>
    <s v=""/>
    <n v="0"/>
    <s v=""/>
    <s v="244261599WACP596813329"/>
  </r>
  <r>
    <n v="600"/>
    <n v="21117"/>
    <s v="olanrewajuadesina8@gmail.com"/>
    <s v="SAHEED muhyideen olanrewaju"/>
    <s v="bayan oando, birnin kebbi"/>
    <x v="1"/>
    <s v="fmc birnin kebbi"/>
    <x v="1"/>
    <s v="07038212821"/>
    <s v="firstsitting"/>
    <x v="0"/>
    <x v="1"/>
    <s v="Abuja"/>
    <s v="NGN"/>
    <n v="552500"/>
    <s v=""/>
    <n v="0"/>
    <s v=""/>
    <n v="0"/>
    <s v=""/>
    <s v="211171600WACP223376971"/>
  </r>
  <r>
    <n v="601"/>
    <n v="7792"/>
    <s v="afeniforograce@gmail.com"/>
    <s v="AFENIFORO Olufunke  Grace"/>
    <s v="Idowu Johnson house, oluwa lose quarters, road 7, Ile ife"/>
    <x v="0"/>
    <s v="Obafemi Awolowo University Teaching Hospital complex Ile-Ife "/>
    <x v="1"/>
    <n v="7030656265"/>
    <s v="firstsitting"/>
    <x v="2"/>
    <x v="1"/>
    <s v="Ibadan"/>
    <s v="NGN"/>
    <n v="812500"/>
    <s v=""/>
    <n v="0"/>
    <s v=""/>
    <n v="162500"/>
    <s v=""/>
    <s v="77921601WACP989530952"/>
  </r>
  <r>
    <n v="602"/>
    <n v="8135"/>
    <s v="ayecarlos@yahoo.com"/>
    <s v="AYELEKE Olusola Ayewale"/>
    <s v="Department of Population Health, Obafemi Awolowo University, Ile-Ife. Osun State."/>
    <x v="1"/>
    <s v="OAUTHC ILE-IFE"/>
    <x v="1"/>
    <n v="7060489302"/>
    <s v="firstsitting"/>
    <x v="2"/>
    <x v="1"/>
    <s v="Ibadan"/>
    <s v="NGN"/>
    <n v="812500"/>
    <s v=""/>
    <n v="0"/>
    <s v=""/>
    <n v="162500"/>
    <s v=""/>
    <s v="81351602WACP522694262"/>
  </r>
  <r>
    <n v="603"/>
    <n v="24429"/>
    <s v="johnfesco@yahoo.com"/>
    <s v="NSOROMOTU Festus Johnbosco"/>
    <s v="No 5 Bosoro street, Shagari estate, Ipaja, Lagos State"/>
    <x v="1"/>
    <s v="R-Jolad hospital, Lagos"/>
    <x v="1"/>
    <s v="08027408775"/>
    <s v="firstsitting"/>
    <x v="1"/>
    <x v="0"/>
    <s v="Ibadan"/>
    <s v="NGN"/>
    <n v="195000"/>
    <s v=""/>
    <n v="0"/>
    <s v=""/>
    <n v="0"/>
    <s v=""/>
    <s v="244291603WACP582492572"/>
  </r>
  <r>
    <n v="604"/>
    <n v="4328"/>
    <s v="realone4life2003@gmail.com"/>
    <s v="ADETU riliwan aderemi"/>
    <s v="7, Ewudeji Ewubajo street l, GRA, Sagamu, Ogun state,Nigeria "/>
    <x v="1"/>
    <s v="Babcock University Teaching Hospital "/>
    <x v="1"/>
    <s v="07064399380"/>
    <s v="firstsitting"/>
    <x v="0"/>
    <x v="3"/>
    <s v="Ibadan"/>
    <s v="NGN"/>
    <n v="552500"/>
    <s v=""/>
    <n v="0"/>
    <s v=""/>
    <n v="0"/>
    <s v=""/>
    <s v="43281604WACP458566942"/>
  </r>
  <r>
    <n v="605"/>
    <n v="6047"/>
    <s v="sanihalima66@gmail.com"/>
    <s v="SANI Halima  "/>
    <s v="Clinical Medicine DEPARTMENT, MURTALA MUHAMMAD SPECIALIST HOSPITAL, KANO"/>
    <x v="0"/>
    <s v="MURTALA MUHAMMAD SPECIALIST HOSPITAL, KANO."/>
    <x v="1"/>
    <s v="8061556412, 07014804793"/>
    <s v="firstsitting"/>
    <x v="2"/>
    <x v="0"/>
    <s v="Abuja"/>
    <s v="NGN"/>
    <n v="812500"/>
    <s v=""/>
    <n v="0"/>
    <s v=""/>
    <n v="162500"/>
    <s v=""/>
    <s v="60471605WACP776864679"/>
  </r>
  <r>
    <n v="606"/>
    <n v="10266"/>
    <s v="mohammedbashira3@gmail.com"/>
    <s v="MOHAMMED Basira "/>
    <s v="P.M.B 1126, FMC, Birnin Kebbi, Kebbi State."/>
    <x v="0"/>
    <s v="FEDERAL MEDICAL CENTRE, BIRNIN KEBBI, KEBBI STATE"/>
    <x v="1"/>
    <s v="08032927506"/>
    <s v="firstsitting"/>
    <x v="0"/>
    <x v="1"/>
    <s v="Abuja"/>
    <s v="NGN"/>
    <n v="552500"/>
    <s v=""/>
    <n v="0"/>
    <s v=""/>
    <n v="0"/>
    <s v=""/>
    <s v="102661606WACP522081974"/>
  </r>
  <r>
    <n v="607"/>
    <n v="24373"/>
    <s v="wittywithdele@gmail.com"/>
    <s v="ADEBIYI Ahmed Bamidele"/>
    <s v="77 Eshilo road Ajasa command Lagos"/>
    <x v="1"/>
    <s v="Orile agege general hospital"/>
    <x v="1"/>
    <s v="07034777540"/>
    <s v="firstsitting"/>
    <x v="1"/>
    <x v="0"/>
    <s v="Ibadan"/>
    <s v="NGN"/>
    <n v="195000"/>
    <s v=""/>
    <n v="0"/>
    <s v=""/>
    <n v="0"/>
    <s v=""/>
    <s v="243731607WACP514242014"/>
  </r>
  <r>
    <n v="608"/>
    <n v="1559"/>
    <s v="msgimbadr@gmail.com"/>
    <s v="Mohammed Suleiman Gimba Suleiman"/>
    <s v="Department of Population Health, University Of Maiduguri Teaching Hospital, PMB 1414. Maiduguri Borno Stat"/>
    <x v="1"/>
    <s v="Federal Medical Centre, Abuja "/>
    <x v="1"/>
    <n v="8036516058"/>
    <s v="passedorals"/>
    <x v="2"/>
    <x v="1"/>
    <s v="Abuja"/>
    <s v="NGN"/>
    <n v="812500"/>
    <s v=""/>
    <n v="0"/>
    <s v=""/>
    <n v="162500"/>
    <s v=""/>
    <s v="15591608WACP438763875"/>
  </r>
  <r>
    <n v="609"/>
    <n v="5252"/>
    <s v="orjihmiriam@gmail.com"/>
    <s v="ORJI Miriam Ijeoma"/>
    <s v="Dept of Child Health, UPTH, P. M. B 6173, Port Harcourt"/>
    <x v="0"/>
    <s v="University of Port Harcourt Teaching Hospital, Port Harcourt"/>
    <x v="1"/>
    <n v="8033790384"/>
    <s v="firstsitting"/>
    <x v="2"/>
    <x v="3"/>
    <s v="Ibadan"/>
    <s v="NGN"/>
    <n v="812500"/>
    <s v=""/>
    <n v="0"/>
    <s v=""/>
    <n v="162500"/>
    <s v=""/>
    <s v="52521609WACP74396582"/>
  </r>
  <r>
    <n v="610"/>
    <n v="5956"/>
    <s v="mkomenugha@gmail.com"/>
    <s v="OMENUGHA Michael Kelechi"/>
    <s v="Department of Clinical Medicine, OAUTHC, Ile-ife"/>
    <x v="1"/>
    <s v="OAUTHC ILE IFE"/>
    <x v="1"/>
    <s v="08067670305"/>
    <s v="firstsitting"/>
    <x v="2"/>
    <x v="0"/>
    <s v="Ibadan"/>
    <s v="NGN"/>
    <n v="812500"/>
    <s v=""/>
    <n v="0"/>
    <s v=""/>
    <n v="162500"/>
    <s v=""/>
    <s v="59561610WACP531037375"/>
  </r>
  <r>
    <n v="611"/>
    <n v="24478"/>
    <s v="agberdonald2020@gmail.com"/>
    <s v="AGBER Sesugh Donald"/>
    <s v="No. 17 Ishegh Nor Street, Ankpa Quarters Makurdi."/>
    <x v="1"/>
    <s v="Benue State University Makurdi, Benue State"/>
    <x v="1"/>
    <s v="08147743524"/>
    <s v="firstsitting"/>
    <x v="1"/>
    <x v="3"/>
    <s v="Abuja"/>
    <s v="NGN"/>
    <n v="195000"/>
    <s v=""/>
    <n v="0"/>
    <s v=""/>
    <n v="0"/>
    <s v=""/>
    <s v="244781611WACP530049328"/>
  </r>
  <r>
    <n v="612"/>
    <n v="1385"/>
    <s v="murtalau6@gmail.com"/>
    <s v="UMAR Murtala Dr"/>
    <s v="Department of Child Health, Abubakar Tafawa University Teaching Hospital Bauchi. PMB 0117"/>
    <x v="1"/>
    <s v="Abubakar Tafawa Balewa University  Teaching Hospital, Bauchi."/>
    <x v="1"/>
    <n v="8032828142"/>
    <s v="firstsitting"/>
    <x v="2"/>
    <x v="3"/>
    <s v="Abuja"/>
    <s v="NGN"/>
    <n v="812500"/>
    <s v=""/>
    <n v="0"/>
    <s v=""/>
    <n v="162500"/>
    <s v=""/>
    <s v="13851612WACP647042420"/>
  </r>
  <r>
    <n v="613"/>
    <n v="23651"/>
    <s v="christabelekeoma2017@gmail.com"/>
    <s v="UGWU Christabel Ekeoma"/>
    <s v="No 3, Mbaukwu Street, Old Airport Road, Emene"/>
    <x v="0"/>
    <s v="Enugu State University College of Medicine "/>
    <x v="1"/>
    <s v="08167811038"/>
    <s v="firstsitting"/>
    <x v="1"/>
    <x v="0"/>
    <s v="Enugu"/>
    <s v="NGN"/>
    <n v="195000"/>
    <s v=""/>
    <n v="0"/>
    <s v=""/>
    <n v="0"/>
    <s v=""/>
    <s v="236511613WACP486724860"/>
  </r>
  <r>
    <n v="614"/>
    <n v="8082"/>
    <s v="abdulkarimleemah@gmail.com"/>
    <s v="ABDULKARIM  Halima Alhassan"/>
    <s v="Federal teaching hospital, Gombe "/>
    <x v="0"/>
    <s v="Federal teaching hospital, Gombe"/>
    <x v="1"/>
    <n v="8037550532"/>
    <s v="passedorals"/>
    <x v="2"/>
    <x v="1"/>
    <s v="Abuja"/>
    <s v="NGN"/>
    <n v="812500"/>
    <s v=""/>
    <n v="0"/>
    <s v=""/>
    <n v="162500"/>
    <s v=""/>
    <s v="80821614WACP974065698"/>
  </r>
  <r>
    <n v="615"/>
    <n v="2078"/>
    <s v="najaibrahim@gmail.com"/>
    <s v="JELANI Naja Ibrahim"/>
    <s v="Department of Population Health, University of Maiduguri Teaching Hospital, Maiduguri, Borno"/>
    <x v="0"/>
    <s v="University of Maiduguri Teaching Hospital"/>
    <x v="1"/>
    <s v="08138038138"/>
    <s v="firstsitting"/>
    <x v="2"/>
    <x v="1"/>
    <s v="Abuja"/>
    <s v="NGN"/>
    <n v="812500"/>
    <s v=""/>
    <n v="0"/>
    <s v=""/>
    <n v="162500"/>
    <s v=""/>
    <s v="20781615WACP758071400"/>
  </r>
  <r>
    <n v="616"/>
    <n v="18519"/>
    <s v="mabelsamuel33@gmail.com"/>
    <s v="SAMUEL  Mabel Biyaya "/>
    <s v="No E15 Sarkin Fada Street Ungwan Romi, Kaduna"/>
    <x v="0"/>
    <s v="44 Nigerian Army Reference Hospital, Kaduna"/>
    <x v="1"/>
    <s v="08031864914"/>
    <s v="firstsitting"/>
    <x v="2"/>
    <x v="0"/>
    <s v="Abuja"/>
    <s v="NGN"/>
    <n v="812500"/>
    <s v=""/>
    <n v="0"/>
    <s v=""/>
    <n v="162500"/>
    <s v=""/>
    <s v="185191616WACP52092687"/>
  </r>
  <r>
    <n v="617"/>
    <n v="24396"/>
    <s v="abdulaimdrafeeq@gmail.com"/>
    <s v="Abdulai Rafiq Arhin "/>
    <n v="233204967492"/>
    <x v="1"/>
    <s v="Korle Bu Teaching Hospital"/>
    <x v="2"/>
    <n v="233204967492"/>
    <s v="firstsitting"/>
    <x v="1"/>
    <x v="3"/>
    <s v="Accra"/>
    <s v="USD"/>
    <s v=""/>
    <n v="150"/>
    <s v=""/>
    <n v="0"/>
    <s v=""/>
    <n v="0"/>
    <s v="GHWACP474315444"/>
  </r>
  <r>
    <n v="618"/>
    <n v="20503"/>
    <s v="asoreaddah@yahoo.com"/>
    <s v="ADDAH eric asore"/>
    <s v="c/o alice amaara credentially unit, nhis headquaters private mail bag"/>
    <x v="1"/>
    <s v="the community hospital ashongman"/>
    <x v="2"/>
    <s v="0243492021"/>
    <s v="resitting"/>
    <x v="1"/>
    <x v="0"/>
    <s v="Accra"/>
    <s v="USD"/>
    <s v=""/>
    <n v="150"/>
    <s v=""/>
    <n v="0"/>
    <s v=""/>
    <n v="0"/>
    <s v="GHWACP975928412"/>
  </r>
  <r>
    <n v="619"/>
    <n v="24417"/>
    <s v="ayodeleko7@gmail.com"/>
    <s v="AYODELE Victor Toluwabori"/>
    <s v="NO 24 ASEKUNLOWO STREET, UPPER GAA-AKANBI,ILORIN, KWARA STATE"/>
    <x v="1"/>
    <s v="University of Ilorin"/>
    <x v="1"/>
    <s v="09031866169"/>
    <s v="firstsitting"/>
    <x v="1"/>
    <x v="4"/>
    <s v="Abuja"/>
    <s v="NGN"/>
    <n v="195000"/>
    <s v=""/>
    <n v="0"/>
    <s v=""/>
    <n v="0"/>
    <s v=""/>
    <s v="244171619WACP418592529"/>
  </r>
  <r>
    <n v="620"/>
    <n v="21514"/>
    <s v="addaulataisha2@gmail.com"/>
    <s v="MUSA Aisha "/>
    <s v="KM 21 Assalam Farms, Gadar Tamburawa, Zaria Road, Kano"/>
    <x v="0"/>
    <s v="Aminu Kano Teaching Hospital, AKTH Kano State"/>
    <x v="1"/>
    <s v="08033341169"/>
    <s v="firstsitting"/>
    <x v="0"/>
    <x v="2"/>
    <s v="Abuja"/>
    <s v="NGN"/>
    <n v="552500"/>
    <s v=""/>
    <n v="110500"/>
    <s v=""/>
    <n v="0"/>
    <s v=""/>
    <s v="215141620WACP987756570"/>
  </r>
  <r>
    <n v="621"/>
    <n v="7824"/>
    <s v="eugeneosanyibofu@gmail.com"/>
    <s v="EUGENE OSANYIBOFU JOHN"/>
    <s v="Dept. of Child Health ABUTH, PMB 06, Shika Zaria "/>
    <x v="1"/>
    <s v="Ahmadu Bello university teaching hospital, Zaria "/>
    <x v="1"/>
    <n v="8062401688"/>
    <s v="firstsitting"/>
    <x v="2"/>
    <x v="3"/>
    <s v="Abuja"/>
    <s v="NGN"/>
    <n v="812500"/>
    <s v=""/>
    <n v="0"/>
    <s v=""/>
    <n v="162500"/>
    <s v=""/>
    <s v="78241621WACP701037343"/>
  </r>
  <r>
    <n v="622"/>
    <n v="24464"/>
    <s v="adaratee@gmail.com"/>
    <s v="ADARA Motunrayo Oluwatofunmi"/>
    <s v="3/6, Mustapha Street, Isal&amp;amp;#7865;-oluwo, Onikolobo"/>
    <x v="0"/>
    <s v="Babcock University Teaching Hospital"/>
    <x v="1"/>
    <s v="08139624958"/>
    <s v="firstsitting"/>
    <x v="1"/>
    <x v="1"/>
    <s v="Ibadan"/>
    <s v="NGN"/>
    <n v="195000"/>
    <s v=""/>
    <n v="0"/>
    <s v=""/>
    <n v="0"/>
    <s v=""/>
    <s v="244641622WACP495971230"/>
  </r>
  <r>
    <n v="623"/>
    <n v="24131"/>
    <s v="kabiribrahimjaen@gmail.com"/>
    <s v="IBRAHIM Kabir Jaen"/>
    <s v="Jaen Sharada Phase III, Kano"/>
    <x v="1"/>
    <s v="Bayero University Kano"/>
    <x v="1"/>
    <s v="09038509237"/>
    <s v="firstsitting"/>
    <x v="1"/>
    <x v="3"/>
    <s v="Abuja"/>
    <s v="NGN"/>
    <n v="195000"/>
    <s v=""/>
    <n v="0"/>
    <s v=""/>
    <n v="0"/>
    <s v=""/>
    <s v="241311623WACP543846700"/>
  </r>
  <r>
    <n v="624"/>
    <n v="6439"/>
    <s v="ddamina18@gmail.com"/>
    <s v="DAMINA Dauda  "/>
    <s v="Department of Population Health, UMTH."/>
    <x v="1"/>
    <s v="UMTH"/>
    <x v="1"/>
    <n v="8035338658"/>
    <s v="firstsitting"/>
    <x v="2"/>
    <x v="1"/>
    <s v="Abuja"/>
    <s v="NGN"/>
    <n v="812500"/>
    <s v=""/>
    <n v="0"/>
    <s v=""/>
    <n v="162500"/>
    <s v=""/>
    <s v="64391624WACP453716886"/>
  </r>
  <r>
    <n v="625"/>
    <n v="3734"/>
    <s v="drdemuyiwa027@gmail.com"/>
    <s v="ADEMUYIWA  Adeloye  Adeleke "/>
    <s v="Department of Population Health Federal medical centre owo "/>
    <x v="1"/>
    <s v="Federal Medical Centre Owo"/>
    <x v="1"/>
    <s v="08108180258"/>
    <s v="firstsitting"/>
    <x v="2"/>
    <x v="1"/>
    <s v="Ibadan"/>
    <s v="NGN"/>
    <n v="812500"/>
    <s v=""/>
    <n v="0"/>
    <s v=""/>
    <n v="162500"/>
    <s v=""/>
    <s v="37341625WACP359427602"/>
  </r>
  <r>
    <n v="626"/>
    <n v="24327"/>
    <s v="amaraezeadibe017@gmail.com"/>
    <s v="ADIBE Vivian Genevieve"/>
    <s v="Road 1 , Ngozika housing estate"/>
    <x v="0"/>
    <s v="Nnamdi Azikiwe University,Awka, Anambra State"/>
    <x v="1"/>
    <s v="08103576220"/>
    <s v="firstsitting"/>
    <x v="1"/>
    <x v="0"/>
    <s v="Enugu"/>
    <s v="NGN"/>
    <n v="195000"/>
    <s v=""/>
    <n v="0"/>
    <s v=""/>
    <n v="0"/>
    <s v=""/>
    <s v="243271626WACP348310237"/>
  </r>
  <r>
    <n v="627"/>
    <n v="24480"/>
    <s v="gsaniyashe@gmail.com"/>
    <s v="SANI Gidado Yashe"/>
    <s v="No. 25 Danmagaji wusasa Zaria"/>
    <x v="1"/>
    <s v="Ahmadu Bello University Teaching Hospital Zaria"/>
    <x v="1"/>
    <s v="07066290101"/>
    <s v="firstsitting"/>
    <x v="1"/>
    <x v="0"/>
    <s v="Abuja"/>
    <s v="NGN"/>
    <n v="195000"/>
    <s v=""/>
    <n v="0"/>
    <s v=""/>
    <n v="0"/>
    <s v=""/>
    <s v="244801627WACP237644451"/>
  </r>
  <r>
    <n v="628"/>
    <n v="2729"/>
    <s v="abazuikechukwu@yahoo.com"/>
    <s v="ABAZU ikechukwu sunday"/>
    <s v="DEPARTMENT OF Population Health,  FMC OWO, PMB 1053,OWO, ONDO STATE"/>
    <x v="1"/>
    <s v="FMC OWO"/>
    <x v="1"/>
    <n v="2347039715050"/>
    <s v="firstsitting"/>
    <x v="2"/>
    <x v="1"/>
    <s v="Ibadan"/>
    <s v="NGN"/>
    <n v="812500"/>
    <s v=""/>
    <n v="0"/>
    <s v=""/>
    <n v="162500"/>
    <s v=""/>
    <s v="27291628WACP210098978"/>
  </r>
  <r>
    <n v="629"/>
    <n v="19602"/>
    <s v="zaibage16@gmail.com"/>
    <s v="BAGE Zainab  Safiyanu "/>
    <s v="Block 37, B close OAU Quarters Maitama Abuja"/>
    <x v="0"/>
    <s v="Federal medical center Abuja "/>
    <x v="1"/>
    <s v="08144613205"/>
    <s v="resitting"/>
    <x v="0"/>
    <x v="1"/>
    <s v="Abuja"/>
    <s v="NGN"/>
    <n v="552500"/>
    <s v=""/>
    <n v="0"/>
    <s v=""/>
    <n v="0"/>
    <s v=""/>
    <s v="196021629WACP459599381"/>
  </r>
  <r>
    <n v="630"/>
    <n v="9476"/>
    <s v="drwemi88@gmail.com"/>
    <s v="AKHIGBE  wemimo Chinyere "/>
    <s v="No 7, Okhale street, behind Annunciation Catholic college, off, Irrua -uromi road, Irrua. Edo state. "/>
    <x v="0"/>
    <s v="Igbinedion University, Okada, Edo state. "/>
    <x v="1"/>
    <n v="8136194195"/>
    <s v="firstsitting"/>
    <x v="0"/>
    <x v="0"/>
    <s v="Ibadan"/>
    <s v="NGN"/>
    <n v="552500"/>
    <s v=""/>
    <n v="0"/>
    <s v=""/>
    <n v="0"/>
    <s v=""/>
    <s v="94761630WACP966452229"/>
  </r>
  <r>
    <n v="631"/>
    <n v="23253"/>
    <s v="halimatajokenasir@gmail.com"/>
    <s v="NASIR Halimat Ajoke"/>
    <s v="Alabi Street"/>
    <x v="0"/>
    <s v="FNPHY"/>
    <x v="1"/>
    <s v="08068325312"/>
    <s v="firstsitting"/>
    <x v="1"/>
    <x v="4"/>
    <s v="Ibadan"/>
    <s v="NGN"/>
    <n v="195000"/>
    <s v=""/>
    <n v="0"/>
    <s v=""/>
    <n v="0"/>
    <s v=""/>
    <s v="232531631WACP14655458"/>
  </r>
  <r>
    <n v="632"/>
    <n v="19431"/>
    <s v="ibnyahya735@gmail.com"/>
    <s v="YAHAYA Ibrahim "/>
    <s v="Fanfon Shanu Azare, Bauchi State"/>
    <x v="1"/>
    <s v="Federal Medical Centre Azare, Bauchi State"/>
    <x v="1"/>
    <s v="07038547254"/>
    <s v="firstsitting"/>
    <x v="0"/>
    <x v="1"/>
    <s v="Abuja"/>
    <s v="NGN"/>
    <n v="552500"/>
    <s v=""/>
    <n v="0"/>
    <s v=""/>
    <n v="0"/>
    <s v=""/>
    <s v="194311632WACP660782111"/>
  </r>
  <r>
    <n v="633"/>
    <n v="18663"/>
    <s v="favourdaify@gmail.com"/>
    <s v="CHIKEZIE Ifeoma Ruth"/>
    <s v="Dept of Clinical Medicine, University of Port Harcourt Teaching Hospital, Port Harcourt"/>
    <x v="0"/>
    <s v=" University of Port Harcourt Teaching Hospital, Port Harcourt"/>
    <x v="1"/>
    <s v="07030234030"/>
    <s v="firstsitting"/>
    <x v="2"/>
    <x v="0"/>
    <s v="Ibadan"/>
    <s v="NGN"/>
    <n v="812500"/>
    <s v=""/>
    <n v="0"/>
    <s v=""/>
    <n v="162500"/>
    <s v=""/>
    <s v="186631633WACP870162708"/>
  </r>
  <r>
    <n v="634"/>
    <n v="24285"/>
    <s v="ajagbeaishatomolara@gmail.com"/>
    <s v="AJAGBE Aishat Omolara"/>
    <s v="D1, MUNIRAT AJAGBE STREET AYETORO ARULOGUN AREA, EDE OSUN STATE"/>
    <x v="0"/>
    <s v="LADOKE AKINTOLA UNIVERSITY OF TECHNOLOGY OGBOMOSO"/>
    <x v="1"/>
    <s v="08135338919"/>
    <s v="firstsitting"/>
    <x v="1"/>
    <x v="4"/>
    <s v="Ibadan"/>
    <s v="NGN"/>
    <n v="195000"/>
    <s v=""/>
    <n v="0"/>
    <s v=""/>
    <n v="0"/>
    <s v=""/>
    <s v="242851634WACP148391877"/>
  </r>
  <r>
    <n v="635"/>
    <n v="3705"/>
    <s v="solo_oje@yahoo.com"/>
    <s v="EVBOROKHAI  ezra ojeikhoba"/>
    <s v="Opp FMC Owo, Adekunle Ajasin layout, owo,"/>
    <x v="1"/>
    <s v="Federal Medical Centre Owo, Ondo state"/>
    <x v="1"/>
    <s v="08122117158"/>
    <s v="firstsitting"/>
    <x v="2"/>
    <x v="1"/>
    <s v="Ibadan"/>
    <s v="NGN"/>
    <n v="812500"/>
    <s v=""/>
    <n v="0"/>
    <s v=""/>
    <n v="162500"/>
    <s v=""/>
    <s v="37051635WACP757955948"/>
  </r>
  <r>
    <n v="636"/>
    <n v="19646"/>
    <s v="adulphusonolemhemhen@yahoo.com"/>
    <s v="ONOLEMHEMHEN adulphus  otaifoh"/>
    <s v="13 Ebosele street , Uromi , Edo State."/>
    <x v="1"/>
    <s v="Irrua specialist teaching hospital "/>
    <x v="1"/>
    <s v="07067999718"/>
    <s v="resitting"/>
    <x v="0"/>
    <x v="3"/>
    <s v="Ibadan"/>
    <s v="NGN"/>
    <n v="552500"/>
    <s v=""/>
    <n v="0"/>
    <s v=""/>
    <n v="0"/>
    <s v=""/>
    <s v="196461636WACP930747023"/>
  </r>
  <r>
    <n v="637"/>
    <n v="24418"/>
    <s v="anigbogu_nneoma@yahoo.com"/>
    <s v="ANIGBOGU Nneoma Victoria"/>
    <s v="Lokogoma Abuja"/>
    <x v="0"/>
    <s v="Crimea federal university Simferopol Russia"/>
    <x v="1"/>
    <s v="07062820758"/>
    <s v="firstsitting"/>
    <x v="1"/>
    <x v="0"/>
    <s v="Abuja"/>
    <s v="NGN"/>
    <n v="195000"/>
    <s v=""/>
    <n v="0"/>
    <s v=""/>
    <n v="0"/>
    <s v=""/>
    <s v="244181637WACP368295162"/>
  </r>
  <r>
    <n v="638"/>
    <n v="11532"/>
    <s v="hadizazira@yahoo.com"/>
    <s v="MOHAMMED   Hadiza  Zira"/>
    <s v="No 6 Thomas Sankara street, Asokoro,Abuja."/>
    <x v="0"/>
    <s v="Federal medical center Jabi, Abuja "/>
    <x v="1"/>
    <s v="08069069606"/>
    <s v="firstsitting"/>
    <x v="0"/>
    <x v="3"/>
    <s v="Abuja"/>
    <s v="NGN"/>
    <n v="552500"/>
    <s v=""/>
    <n v="0"/>
    <s v=""/>
    <n v="0"/>
    <s v=""/>
    <s v="115321638WACP387138362"/>
  </r>
  <r>
    <n v="639"/>
    <n v="24257"/>
    <s v="zaraadam240@gmail.com"/>
    <s v="YAHYA Fatima Adam"/>
    <s v="No.46A gwammaja"/>
    <x v="0"/>
    <s v="Aminu Kano teaching hospital"/>
    <x v="1"/>
    <s v="07026266060"/>
    <s v="firstsitting"/>
    <x v="1"/>
    <x v="3"/>
    <s v="Abuja"/>
    <s v="NGN"/>
    <n v="195000"/>
    <s v=""/>
    <n v="0"/>
    <s v=""/>
    <n v="0"/>
    <s v=""/>
    <s v="242571639WACP848648794"/>
  </r>
  <r>
    <n v="640"/>
    <n v="20475"/>
    <s v="ubhayatu@gmail.com"/>
    <s v="HAYATU Ummulkhair Bello"/>
    <s v="AMINU KANO TEACHING HOSPITAL"/>
    <x v="0"/>
    <s v="AMINU KANO TEACHING HOSPITAL"/>
    <x v="1"/>
    <s v="08033862252"/>
    <s v="firstsitting"/>
    <x v="0"/>
    <x v="0"/>
    <s v="Abuja"/>
    <s v="NGN"/>
    <n v="552500"/>
    <s v=""/>
    <n v="0"/>
    <s v=""/>
    <n v="0"/>
    <s v=""/>
    <s v="204751640WACP459992053"/>
  </r>
  <r>
    <n v="641"/>
    <n v="20052"/>
    <s v="mubamohd601@gmail.com"/>
    <s v="MOHAMMED  Mubarak  "/>
    <s v="C/O Department of Hematology AKTH,Kano"/>
    <x v="1"/>
    <s v="Aminu Kano teaching hospital "/>
    <x v="1"/>
    <s v="08068697887"/>
    <s v="firstsitting"/>
    <x v="0"/>
    <x v="0"/>
    <s v="Abuja"/>
    <s v="NGN"/>
    <n v="552500"/>
    <s v=""/>
    <n v="110500"/>
    <s v=""/>
    <n v="0"/>
    <s v=""/>
    <s v="200521641WACP200328580"/>
  </r>
  <r>
    <n v="642"/>
    <n v="6019"/>
    <s v="chidiebubemadukauwadavid@gmail.com"/>
    <s v="UKEJIANYA  Chidiebube Enyeremchi"/>
    <s v="Bowen University Teaching Hospital, Ogbomosho, Oyo state"/>
    <x v="0"/>
    <s v="Bowen University Teaching Hospital "/>
    <x v="1"/>
    <n v="8052294849"/>
    <s v="firstsitting"/>
    <x v="2"/>
    <x v="0"/>
    <s v="Ibadan"/>
    <s v="NGN"/>
    <n v="812500"/>
    <s v=""/>
    <n v="0"/>
    <s v=""/>
    <n v="162500"/>
    <s v=""/>
    <s v="60191642WACP908606349"/>
  </r>
  <r>
    <n v="643"/>
    <n v="7851"/>
    <s v="saltoacademy123@gmail.com"/>
    <s v="OYEKUNLE Rilwan Adegboyega"/>
    <s v="DEPARTMENT OF MEDICINE, FEDERAL TEACHING HOSPITAL, PMB 0037, ASHAKA ROAD. GOMBE"/>
    <x v="1"/>
    <s v="FEDERAL TEACHING HOSPITAL, GOMBE. NIGERIA"/>
    <x v="1"/>
    <s v="07038101243"/>
    <s v="firstsitting"/>
    <x v="2"/>
    <x v="3"/>
    <s v="Ibadan"/>
    <s v="NGN"/>
    <n v="812500"/>
    <s v=""/>
    <n v="0"/>
    <s v=""/>
    <n v="162500"/>
    <s v=""/>
    <s v="78511643WACP528251875"/>
  </r>
  <r>
    <n v="644"/>
    <n v="24461"/>
    <s v="abdulrazaq.magaji@gmail.com"/>
    <s v="MAGAJI Abdulrazaq "/>
    <s v="Saulawa Road, Katsina"/>
    <x v="1"/>
    <s v="General Amadi Rimi Specialist Hospital Katsina"/>
    <x v="1"/>
    <n v="2348039893955"/>
    <s v="firstsitting"/>
    <x v="1"/>
    <x v="3"/>
    <s v="Abuja"/>
    <s v="NGN"/>
    <n v="195000"/>
    <s v=""/>
    <n v="0"/>
    <s v=""/>
    <n v="0"/>
    <s v=""/>
    <s v="244611644WACP129392059"/>
  </r>
  <r>
    <n v="645"/>
    <n v="24352"/>
    <s v="oluwabusayoatinuke@gmail.com"/>
    <s v="AKINBANJO Rashidat Olanike"/>
    <s v="11,Odosinusi street,Ago-Iwoye,Ogun State"/>
    <x v="0"/>
    <s v="Olabisi Onabanjo University Teaching Hospital"/>
    <x v="1"/>
    <s v="07035949143"/>
    <s v="firstsitting"/>
    <x v="1"/>
    <x v="0"/>
    <s v="Ibadan"/>
    <s v="NGN"/>
    <n v="195000"/>
    <s v=""/>
    <n v="0"/>
    <s v=""/>
    <n v="0"/>
    <s v=""/>
    <s v="243521645WACP479548235"/>
  </r>
  <r>
    <n v="646"/>
    <n v="8356"/>
    <s v="yray_aso@yahoo.com"/>
    <s v="ASORE oghenevwarhe Emmanuel"/>
    <s v="FEDERAL medical centre asaba"/>
    <x v="1"/>
    <s v="Federal medical center Asaba"/>
    <x v="1"/>
    <n v="8137580868"/>
    <s v="firstsitting"/>
    <x v="2"/>
    <x v="3"/>
    <s v="Ibadan"/>
    <s v="NGN"/>
    <n v="812500"/>
    <s v=""/>
    <n v="0"/>
    <s v=""/>
    <n v="162500"/>
    <s v=""/>
    <s v="83561646WACP823914115"/>
  </r>
  <r>
    <n v="647"/>
    <n v="1587"/>
    <s v="vic247000@yahoo.com"/>
    <s v="EMEKA-OGBUGO Victoria Chigozirim"/>
    <s v="Department of Population Health, Federal Medical Center Yenagoa, Bayelsa State"/>
    <x v="0"/>
    <s v="Federal Medical Center Yenagoa, Bayelsa State"/>
    <x v="1"/>
    <n v="8063154378"/>
    <s v="firstsitting"/>
    <x v="2"/>
    <x v="1"/>
    <s v="Abuja"/>
    <s v="NGN"/>
    <n v="812500"/>
    <s v=""/>
    <n v="0"/>
    <s v=""/>
    <n v="162500"/>
    <s v=""/>
    <s v="15871647WACP624791052"/>
  </r>
  <r>
    <n v="648"/>
    <n v="19353"/>
    <s v="antoinetteokafor@gmail.com"/>
    <s v="OKAFOR  Chinenye Antuanet"/>
    <s v="16 Ejiofor Street Abakaliki Ebonyi State Nigeria"/>
    <x v="0"/>
    <s v="Madonna University College of Medicine Elele Rivers State Nigeria"/>
    <x v="1"/>
    <n v="2347061888558"/>
    <s v="firstsitting"/>
    <x v="0"/>
    <x v="0"/>
    <s v="Enugu"/>
    <s v="NGN"/>
    <n v="552500"/>
    <s v=""/>
    <n v="0"/>
    <s v=""/>
    <n v="0"/>
    <s v=""/>
    <s v="193531648WACP851260501"/>
  </r>
  <r>
    <n v="649"/>
    <n v="24485"/>
    <s v="ookeke292@gmail.com"/>
    <s v="OKEKE Onyinye Nkiru"/>
    <s v="Department of Clinical Medicine, Alex Ekwueme federal university teaching hospital, Abakaliki"/>
    <x v="0"/>
    <s v="Alex Ekwueme federal university teaching hospital, Abakaliki"/>
    <x v="1"/>
    <s v="08167918303"/>
    <s v="firstsitting"/>
    <x v="0"/>
    <x v="0"/>
    <s v="Enugu"/>
    <s v="NGN"/>
    <n v="552500"/>
    <s v=""/>
    <n v="0"/>
    <s v=""/>
    <n v="0"/>
    <s v=""/>
    <s v="244851649WACP449530913"/>
  </r>
  <r>
    <n v="650"/>
    <n v="10944"/>
    <s v="alexistosan123@hotmail.com"/>
    <s v="ARUBI alexis Oritsematosan  "/>
    <s v="No 10 Oteme quarters MTN road okirighwere Sapele delta state"/>
    <x v="0"/>
    <s v="Eku baptist government hospital delta state "/>
    <x v="1"/>
    <s v="08139601889"/>
    <s v="firstsitting"/>
    <x v="0"/>
    <x v="0"/>
    <s v="Ibadan"/>
    <s v="NGN"/>
    <n v="552500"/>
    <s v=""/>
    <n v="0"/>
    <s v=""/>
    <n v="0"/>
    <s v=""/>
    <s v="109441650WACP957662640"/>
  </r>
  <r>
    <n v="651"/>
    <n v="24477"/>
    <s v="ucheseneyo@gmail.com"/>
    <s v="ENEYO Ucheawaji Silas"/>
    <s v="4 Joe Alagoa drive, Off Peter Odili Road, Port Harcourt"/>
    <x v="0"/>
    <s v="Rivers State"/>
    <x v="1"/>
    <s v="09069526179"/>
    <s v="firstsitting"/>
    <x v="1"/>
    <x v="3"/>
    <s v="Abuja"/>
    <s v="NGN"/>
    <n v="195000"/>
    <s v=""/>
    <n v="0"/>
    <s v=""/>
    <n v="0"/>
    <s v=""/>
    <s v="244771651WACP285858714"/>
  </r>
  <r>
    <n v="652"/>
    <n v="21280"/>
    <s v="cyphronesis3@gmail.com"/>
    <s v="UHUNMWUAGHO Ipewonsa Faith"/>
    <s v="Federal Neuro-Primary Care Hospital Uselu Benin city"/>
    <x v="0"/>
    <s v="Federal Neuro-Primary Care Hospital Uselu Benin city"/>
    <x v="1"/>
    <s v="08157954338"/>
    <s v="firstsitting"/>
    <x v="0"/>
    <x v="4"/>
    <s v="Ibadan"/>
    <s v="NGN"/>
    <n v="552500"/>
    <s v=""/>
    <n v="0"/>
    <s v=""/>
    <n v="0"/>
    <s v=""/>
    <s v="212801652WACP645793317"/>
  </r>
  <r>
    <n v="653"/>
    <n v="24433"/>
    <s v="simonolaniyan@gmail.com"/>
    <s v="OLANIYAN SImon Opeyemi"/>
    <s v="17, Alalukimba Street, iyana ilogbo, ota"/>
    <x v="1"/>
    <s v="Lagos State University College of Medicine"/>
    <x v="1"/>
    <s v="08147527490"/>
    <s v="firstsitting"/>
    <x v="1"/>
    <x v="0"/>
    <s v="Abuja"/>
    <s v="NGN"/>
    <n v="195000"/>
    <s v=""/>
    <n v="0"/>
    <s v=""/>
    <n v="0"/>
    <s v=""/>
    <s v="244331653WACP406516839"/>
  </r>
  <r>
    <n v="654"/>
    <n v="24092"/>
    <s v="drbatelaura@gmail.com"/>
    <s v="EGBE-IKEJIAKU Bate Ayuk-Arrah"/>
    <s v="House 2, B close, road 14, Efab estate lokogoma"/>
    <x v="0"/>
    <s v="Limi hospital Abuja"/>
    <x v="1"/>
    <s v="08109287853"/>
    <s v="firstsitting"/>
    <x v="1"/>
    <x v="3"/>
    <s v="Abuja"/>
    <s v="NGN"/>
    <n v="195000"/>
    <s v=""/>
    <n v="0"/>
    <s v=""/>
    <n v="0"/>
    <s v=""/>
    <s v="240921654WACP752383784"/>
  </r>
  <r>
    <n v="655"/>
    <n v="24160"/>
    <s v="fatimahamzajsm95@gmail.com"/>
    <s v="HAMZA fatima "/>
    <s v="GUNDUWAWA, GEZAWA LGA. KANO"/>
    <x v="0"/>
    <s v="NEAREAST UNIVERSITY,CYPRUS"/>
    <x v="1"/>
    <n v="2349039912222"/>
    <s v="firstsitting"/>
    <x v="1"/>
    <x v="1"/>
    <s v="Abuja"/>
    <s v="NGN"/>
    <n v="195000"/>
    <s v=""/>
    <n v="0"/>
    <s v=""/>
    <n v="0"/>
    <s v=""/>
    <s v="241601655WACP226960938"/>
  </r>
  <r>
    <n v="656"/>
    <n v="18884"/>
    <s v="drssallah@gmail.com"/>
    <s v="SALLAH Sainabou "/>
    <s v="Edward Francis Small Teaching Hospital, EFSTH"/>
    <x v="0"/>
    <s v="Edward Francis Small Teaching Hospital, EFSTH"/>
    <x v="0"/>
    <n v="2203200029"/>
    <s v="firstsitting"/>
    <x v="0"/>
    <x v="0"/>
    <s v="Banjul"/>
    <s v="USD"/>
    <s v=""/>
    <n v="425"/>
    <s v=""/>
    <n v="0"/>
    <s v=""/>
    <n v="0"/>
    <s v="188841656WACP744979461"/>
  </r>
  <r>
    <n v="657"/>
    <n v="18821"/>
    <s v="drammehbk87@gmail.com"/>
    <s v="DRAMMEH Lamin "/>
    <n v="2203623769"/>
    <x v="1"/>
    <s v="EFSTH,banjul,the Gambia"/>
    <x v="0"/>
    <n v="2207261567"/>
    <s v="firstsitting"/>
    <x v="0"/>
    <x v="0"/>
    <s v="Accra"/>
    <s v="NGN"/>
    <n v="552500"/>
    <s v=""/>
    <n v="0"/>
    <s v=""/>
    <n v="0"/>
    <s v=""/>
    <s v="188211657WACP874800098"/>
  </r>
  <r>
    <n v="658"/>
    <n v="9387"/>
    <s v="anneeffiong9539@gmail.com"/>
    <s v="EFFIONG Anne Inyangobong"/>
    <s v="C/o Mrs Uduak Effiong, Internal Audit Unit, UUTH, Uyo, Akwa Ibom "/>
    <x v="0"/>
    <s v="University of Uyo Teaching Hospital, Uyo"/>
    <x v="1"/>
    <n v="8131642710"/>
    <s v="firstsitting"/>
    <x v="0"/>
    <x v="1"/>
    <s v="Abuja"/>
    <s v="NGN"/>
    <n v="552500"/>
    <s v=""/>
    <n v="0"/>
    <s v=""/>
    <n v="0"/>
    <s v=""/>
    <s v="93871658WACP493051144"/>
  </r>
  <r>
    <n v="659"/>
    <n v="23818"/>
    <s v="drokolichibuzo@gmail.com"/>
    <s v="OKOLI Chibuzo Beniah"/>
    <s v="Plot 134 WTC Estate Enugu State, Nigeria"/>
    <x v="1"/>
    <s v="Federal NeuroPrimary Care Hospital Enugu State,Nigeria"/>
    <x v="1"/>
    <s v="08066390393"/>
    <s v="firstsitting"/>
    <x v="1"/>
    <x v="4"/>
    <s v="Enugu"/>
    <s v="NGN"/>
    <n v="195000"/>
    <s v=""/>
    <n v="0"/>
    <s v=""/>
    <n v="0"/>
    <s v=""/>
    <s v="238181659WACP130761908"/>
  </r>
  <r>
    <n v="660"/>
    <n v="22401"/>
    <s v="ax4good@gmail.com"/>
    <s v="UZOEGBU Goodness ihechilurudinma"/>
    <s v="24th school road umuahia. Abia state"/>
    <x v="0"/>
    <s v="Abia state university teaching hospital. ABA abia state"/>
    <x v="1"/>
    <s v="07030900657"/>
    <s v="resitting"/>
    <x v="1"/>
    <x v="3"/>
    <s v="Enugu"/>
    <s v="NGN"/>
    <n v="195000"/>
    <s v=""/>
    <n v="0"/>
    <s v=""/>
    <n v="0"/>
    <s v=""/>
    <s v="224011660WACP590100644"/>
  </r>
  <r>
    <n v="662"/>
    <n v="17960"/>
    <s v="teminowa1@gmail.com"/>
    <s v="EMINOWA-JIMOH Tomisin Ruth"/>
    <s v="Block H , Plot 1 and 2 (Behind sunshine garden), Oba-ile,Akure, Ondo  State."/>
    <x v="0"/>
    <s v="FMC , Owo"/>
    <x v="1"/>
    <s v="08142509000"/>
    <s v="firstsitting"/>
    <x v="0"/>
    <x v="0"/>
    <s v="Ibadan"/>
    <s v="NGN"/>
    <n v="552500"/>
    <s v=""/>
    <n v="0"/>
    <s v=""/>
    <n v="0"/>
    <s v=""/>
    <s v="179601662WACP969034677"/>
  </r>
  <r>
    <n v="663"/>
    <n v="11183"/>
    <s v="nurabu2me2@gmail.com"/>
    <s v="Muhammad Nur Mustapha Abubakar"/>
    <s v="house no f4 doctors&amp;#039; quarters maiduguri"/>
    <x v="1"/>
    <s v="state specialist hospital maiduguri"/>
    <x v="1"/>
    <n v="8035333504"/>
    <s v="resitting"/>
    <x v="1"/>
    <x v="3"/>
    <s v="Abuja"/>
    <s v="NGN"/>
    <n v="195000"/>
    <s v=""/>
    <n v="0"/>
    <s v=""/>
    <n v="0"/>
    <s v=""/>
    <s v="111831663WACP211406889"/>
  </r>
  <r>
    <n v="664"/>
    <n v="24067"/>
    <s v="ebunolafisoye@gmail.com"/>
    <s v="OLAFISOYE  Ebunoluwa Ayoyimika"/>
    <s v="No 4 Aladesanmi avenue, Ayobo, Lagos"/>
    <x v="0"/>
    <s v="Bowen University"/>
    <x v="1"/>
    <s v="08159566196"/>
    <s v="firstsitting"/>
    <x v="1"/>
    <x v="4"/>
    <s v="Ibadan"/>
    <s v="NGN"/>
    <n v="195000"/>
    <s v=""/>
    <n v="0"/>
    <s v=""/>
    <n v="0"/>
    <s v=""/>
    <s v="240671664WACP211878676"/>
  </r>
  <r>
    <n v="665"/>
    <n v="22396"/>
    <s v="jvtacheampong@gmail.com"/>
    <s v="Jemima  VAN-TAGOE ACHEAMPONG "/>
    <s v="P. O. Box KN767, Kaneshie-Accra, Ghana "/>
    <x v="0"/>
    <s v="Korle-Bu Teaching Hospital "/>
    <x v="2"/>
    <n v="233553194310"/>
    <s v="firstsitting"/>
    <x v="0"/>
    <x v="2"/>
    <s v="Accra"/>
    <s v="USD"/>
    <s v=""/>
    <n v="425"/>
    <s v=""/>
    <n v="85"/>
    <s v=""/>
    <n v="0"/>
    <s v="GHWACP715988282"/>
  </r>
  <r>
    <n v="666"/>
    <n v="6939"/>
    <s v="azomachima@gmail.com"/>
    <s v="AZOMA  Chima  Akachukwu "/>
    <s v="EKWE-AMAUZARI,ISIALA MBANO, IMO STATE"/>
    <x v="1"/>
    <s v="FMC Asaba, Delta State, Nigeria "/>
    <x v="1"/>
    <n v="8058805422"/>
    <s v="resitting"/>
    <x v="0"/>
    <x v="3"/>
    <s v="Abuja"/>
    <s v="NGN"/>
    <n v="552500"/>
    <s v=""/>
    <n v="0"/>
    <s v=""/>
    <n v="0"/>
    <s v=""/>
    <s v="69391666WACP546997261"/>
  </r>
  <r>
    <n v="667"/>
    <n v="6686"/>
    <s v="idmohd80@gmail.com"/>
    <s v="MOHAMMED Nurudeen Sesan"/>
    <s v="Behind Royal valley estate, kulende ilorin"/>
    <x v="1"/>
    <s v="FMC Abeokuta"/>
    <x v="1"/>
    <n v="8035356501"/>
    <s v="firstsitting"/>
    <x v="2"/>
    <x v="2"/>
    <s v="Ibadan"/>
    <s v="NGN"/>
    <n v="812500"/>
    <s v=""/>
    <n v="0"/>
    <s v=""/>
    <n v="162500"/>
    <s v=""/>
    <s v="66861667WACP520459094"/>
  </r>
  <r>
    <n v="668"/>
    <n v="3579"/>
    <s v="emmanuelykb11@gmail.com"/>
    <s v="YAKUBU Emmanuel "/>
    <s v="Medical Microbiology Department, Modibbo Adama University Taching Hospital, Yola, Adamawa State"/>
    <x v="1"/>
    <s v="Medical Microbiology Department, Modibbo Adama University Taching Hospital, Yola, Adamawa State"/>
    <x v="1"/>
    <s v="08062915817"/>
    <s v="firstsitting"/>
    <x v="2"/>
    <x v="0"/>
    <s v="Ibadan"/>
    <s v="NGN"/>
    <n v="812500"/>
    <s v=""/>
    <n v="110500"/>
    <s v=""/>
    <n v="162500"/>
    <s v=""/>
    <s v="35791668WACP718030571"/>
  </r>
  <r>
    <n v="669"/>
    <n v="22486"/>
    <s v="Arabaarthur@yahoo.com"/>
    <s v="ARTHUR gifty araba"/>
    <s v="Kumasi Amanfruom "/>
    <x v="0"/>
    <s v="Komfo Anokye Teaching Hospital"/>
    <x v="2"/>
    <s v="0545100541"/>
    <s v="resitting"/>
    <x v="0"/>
    <x v="1"/>
    <s v="Accra"/>
    <s v="USD"/>
    <s v=""/>
    <n v="425"/>
    <s v=""/>
    <n v="0"/>
    <s v=""/>
    <n v="0"/>
    <s v="GHWACP229718176"/>
  </r>
  <r>
    <n v="670"/>
    <n v="20335"/>
    <s v="asang3187@gmail.com"/>
    <s v="SANGLA Abdulai "/>
    <s v="38 Hill Cut Road"/>
    <x v="1"/>
    <s v="Ola During Children?s Hospital "/>
    <x v="3"/>
    <n v="23278655340"/>
    <s v="firstsitting"/>
    <x v="0"/>
    <x v="1"/>
    <s v="Freetown"/>
    <s v="NGN"/>
    <n v="552500"/>
    <s v=""/>
    <n v="0"/>
    <s v=""/>
    <n v="0"/>
    <s v=""/>
    <s v="203351670WACP697771468"/>
  </r>
  <r>
    <n v="671"/>
    <n v="8658"/>
    <s v="eoqua@yahoo.com"/>
    <s v="OQUA Emmanuel Ekpo"/>
    <s v="Flat 217 Guards Brigade Officers Transit Camp, Lungi Barracks, Abuja"/>
    <x v="1"/>
    <s v="Garki Hospital Abuja"/>
    <x v="1"/>
    <n v="2348038328238"/>
    <s v="resitting"/>
    <x v="0"/>
    <x v="1"/>
    <s v="Abuja"/>
    <s v="NGN"/>
    <n v="552500"/>
    <s v=""/>
    <n v="0"/>
    <s v=""/>
    <n v="0"/>
    <s v=""/>
    <s v="86581671WACP667349167"/>
  </r>
  <r>
    <n v="672"/>
    <n v="24353"/>
    <s v="olugbengatalabi@gmail.com"/>
    <s v="TALABI olugbenga Akinwale"/>
    <s v="No 10 Ore Ofe Street, Ibafo Ogun State"/>
    <x v="1"/>
    <s v="Ondo State University of Medical Science"/>
    <x v="1"/>
    <s v="08101393661"/>
    <s v="firstsitting"/>
    <x v="1"/>
    <x v="3"/>
    <s v="Ibadan"/>
    <s v="NGN"/>
    <n v="195000"/>
    <s v=""/>
    <n v="0"/>
    <s v=""/>
    <n v="0"/>
    <s v=""/>
    <s v="243531672WACP860736083"/>
  </r>
  <r>
    <n v="673"/>
    <n v="24323"/>
    <s v="selimatibrahim@gmail.com"/>
    <s v="IBRAHIM Selimat "/>
    <s v="Light gold estate, Lugbe"/>
    <x v="0"/>
    <s v="Nova medi clinic"/>
    <x v="1"/>
    <s v="07036891788"/>
    <s v="firstsitting"/>
    <x v="1"/>
    <x v="3"/>
    <s v="Abuja"/>
    <s v="NGN"/>
    <n v="195000"/>
    <s v=""/>
    <n v="0"/>
    <s v=""/>
    <n v="0"/>
    <s v=""/>
    <s v="243231673WACP813793538"/>
  </r>
  <r>
    <n v="674"/>
    <n v="24017"/>
    <s v="fatynice2003@gmail.com"/>
    <s v="ZANNA Fati Mala"/>
    <s v="No. 10 Maikalwa Gayawa, Naibawa Yanlemo. Kano"/>
    <x v="0"/>
    <s v="Bayero university kano"/>
    <x v="1"/>
    <s v="08023936239"/>
    <s v="firstsitting"/>
    <x v="1"/>
    <x v="2"/>
    <s v="Abuja"/>
    <s v="NGN"/>
    <n v="195000"/>
    <s v=""/>
    <n v="0"/>
    <s v=""/>
    <n v="0"/>
    <s v=""/>
    <s v="240171674WACP852469232"/>
  </r>
  <r>
    <n v="675"/>
    <n v="5415"/>
    <s v="drmarsheda@gmail.com"/>
    <s v="EDUOH  Marshal  Akara"/>
    <s v="NO. 62 PORT HARCOURT STREET, ABAK, AKWA IBOM STATE"/>
    <x v="1"/>
    <s v="UNIVERSITY OF UYO TEACHING HOSPITAL, UYO, AKWA IBOM STATE"/>
    <x v="1"/>
    <n v="8121976988"/>
    <s v="passedorals"/>
    <x v="2"/>
    <x v="0"/>
    <s v="Abuja"/>
    <s v="NGN"/>
    <n v="812500"/>
    <s v=""/>
    <n v="0"/>
    <s v=""/>
    <n v="162500"/>
    <s v=""/>
    <s v="54151675WACP224308012"/>
  </r>
  <r>
    <n v="676"/>
    <n v="24378"/>
    <s v="ejikemechisom@gmail.com"/>
    <s v="EJIKEME Chisom Chidinma"/>
    <s v="7 Nando street, Nkpor"/>
    <x v="0"/>
    <s v="Nnamdi Azikiwe University Teaching Hospital,  Nnewi"/>
    <x v="1"/>
    <n v="2348068684603"/>
    <s v="firstsitting"/>
    <x v="1"/>
    <x v="1"/>
    <s v="Enugu"/>
    <s v="NGN"/>
    <n v="195000"/>
    <s v=""/>
    <n v="0"/>
    <s v=""/>
    <n v="0"/>
    <s v=""/>
    <s v="243781676WACP919122061"/>
  </r>
  <r>
    <n v="677"/>
    <n v="3128"/>
    <s v="Usmanabdu41@gmail.com"/>
    <s v="ABDULLAHI  Usman "/>
    <s v="University of Maiduguri Teaching Hospital, Dept of Population Health. Born State."/>
    <x v="1"/>
    <s v="University of Maiduguri Teaching Hospital Dept of Population Health "/>
    <x v="1"/>
    <s v="07081183953"/>
    <s v="firstsitting"/>
    <x v="2"/>
    <x v="1"/>
    <s v="Abuja"/>
    <s v="NGN"/>
    <n v="812500"/>
    <s v=""/>
    <n v="0"/>
    <s v=""/>
    <n v="162500"/>
    <s v=""/>
    <s v="31281677WACP381967009"/>
  </r>
  <r>
    <n v="678"/>
    <n v="24476"/>
    <s v="alagiefjawara@yahoo.com"/>
    <s v="JAWARA Alagie F "/>
    <s v="Brikama, West Coast Region"/>
    <x v="1"/>
    <s v="Edward Francis Small Teaching Hospital"/>
    <x v="0"/>
    <n v="2207949845"/>
    <s v="firstsitting"/>
    <x v="1"/>
    <x v="3"/>
    <s v="Banjul"/>
    <s v="NGN"/>
    <n v="195000"/>
    <s v=""/>
    <n v="0"/>
    <s v=""/>
    <n v="0"/>
    <s v=""/>
    <s v="244761678WACP726805385"/>
  </r>
  <r>
    <n v="679"/>
    <n v="302"/>
    <s v="kaladarichard@yahoo.com"/>
    <s v="RICHARD Kalada NOT APPLICABLE"/>
    <s v="MOOR ROAD BLOCK C FLAT 3, YABA, LAGOS."/>
    <x v="1"/>
    <s v="LAGOS STATE UNIVERSITY TEACHING HOSPITAL (LASUTH)"/>
    <x v="1"/>
    <s v="09084611120"/>
    <s v="firstsitting"/>
    <x v="2"/>
    <x v="0"/>
    <s v="Ibadan"/>
    <s v="NGN"/>
    <n v="812500"/>
    <s v=""/>
    <n v="0"/>
    <s v=""/>
    <n v="162500"/>
    <s v=""/>
    <s v="3021679WACP414673071"/>
  </r>
  <r>
    <n v="680"/>
    <n v="24043"/>
    <s v="temiladeadeniyi92@gmail.com"/>
    <s v="ADENIYI Temilade Oluwatoyosi"/>
    <s v="4, Adeleke Adeniyi street, Ilado-Akesan, Lagos State, Nigeria"/>
    <x v="1"/>
    <s v="University of Ibadan"/>
    <x v="1"/>
    <s v="08160120297"/>
    <s v="firstsitting"/>
    <x v="1"/>
    <x v="4"/>
    <s v="Ibadan"/>
    <s v="NGN"/>
    <n v="195000"/>
    <s v=""/>
    <n v="0"/>
    <s v=""/>
    <n v="0"/>
    <s v=""/>
    <s v="240431680WACP62543920"/>
  </r>
  <r>
    <n v="681"/>
    <n v="6251"/>
    <s v="talk2lade@gmail.com"/>
    <s v="OLOWU Omolade Magaret"/>
    <s v="Bingham university teaching hospital quarters, jos"/>
    <x v="0"/>
    <s v="Bihgham university teaching hospital, jos"/>
    <x v="1"/>
    <n v="8034405351"/>
    <s v="firstsitting"/>
    <x v="2"/>
    <x v="0"/>
    <s v="Abuja"/>
    <s v="NGN"/>
    <n v="812500"/>
    <s v=""/>
    <n v="0"/>
    <s v=""/>
    <n v="162500"/>
    <s v=""/>
    <s v="62511681WACP883336342"/>
  </r>
  <r>
    <n v="682"/>
    <n v="19769"/>
    <s v="princessromoke@gmail.com"/>
    <s v="AFOLABI Ronke Ganiyat"/>
    <s v="6 Line 6 OgoOluwatedo Community, Olaiya-Command area, Ede, Osun State"/>
    <x v="0"/>
    <s v="Uniosun Teaching Hospital, Osogbo"/>
    <x v="1"/>
    <s v="08067739642"/>
    <s v="firstsitting"/>
    <x v="0"/>
    <x v="1"/>
    <s v="Ibadan"/>
    <s v="NGN"/>
    <n v="552500"/>
    <s v=""/>
    <n v="0"/>
    <s v=""/>
    <n v="0"/>
    <s v=""/>
    <s v="197691682WACP672458621"/>
  </r>
  <r>
    <n v="683"/>
    <n v="24445"/>
    <s v="omoyeotaigbe@gmail.com"/>
    <s v="OTAIGBE Omoye Lauretta"/>
    <s v="2 Idiagbon Close, Off Idiagbon Road, GRA, Phase 3, Port-Harcourt, Rivers State"/>
    <x v="0"/>
    <s v="Windsor University School of Medicine"/>
    <x v="1"/>
    <n v="2347059279694"/>
    <s v="firstsitting"/>
    <x v="1"/>
    <x v="1"/>
    <s v="Abuja"/>
    <s v="NGN"/>
    <n v="195000"/>
    <s v=""/>
    <n v="0"/>
    <s v=""/>
    <n v="0"/>
    <s v=""/>
    <s v="244451683WACP843651352"/>
  </r>
  <r>
    <n v="684"/>
    <n v="22895"/>
    <s v="hauwaismail50@gmail.com"/>
    <s v="SAMAILA Hauwa "/>
    <s v="No.17 House of Assembly Quarters Minna Niger State "/>
    <x v="0"/>
    <s v="Nile University Of Nigeria "/>
    <x v="1"/>
    <s v="09075192979"/>
    <s v="resitting"/>
    <x v="1"/>
    <x v="0"/>
    <s v="Abuja"/>
    <s v="NGN"/>
    <n v="195000"/>
    <s v=""/>
    <n v="0"/>
    <s v=""/>
    <n v="0"/>
    <s v=""/>
    <s v="228951684WACP109425257"/>
  </r>
  <r>
    <n v="685"/>
    <n v="22485"/>
    <s v="hartyboat@yahoo.com"/>
    <s v="BOATENG Harriet  Pokuaa"/>
    <s v="P O Box FNT Kumasi"/>
    <x v="0"/>
    <s v="Komfo Anokye Teaching Hospital"/>
    <x v="2"/>
    <s v="0207540835"/>
    <s v="resitting"/>
    <x v="0"/>
    <x v="1"/>
    <s v="Accra"/>
    <s v="USD"/>
    <s v=""/>
    <n v="425"/>
    <s v=""/>
    <n v="0"/>
    <s v=""/>
    <n v="0"/>
    <s v="GHWACP713946369"/>
  </r>
  <r>
    <n v="686"/>
    <n v="24475"/>
    <s v="antwiboasiakobernice973@gmail.com"/>
    <s v="ANTWI-BOASIAKO Bernice Serwaa"/>
    <s v="Afariwa, Off Michel Camp Road, Tema"/>
    <x v="0"/>
    <s v="COY Population Health"/>
    <x v="2"/>
    <s v="0573022861"/>
    <s v="firstsitting"/>
    <x v="1"/>
    <x v="1"/>
    <s v="Accra"/>
    <s v="USD"/>
    <s v=""/>
    <n v="150"/>
    <s v=""/>
    <n v="0"/>
    <s v=""/>
    <n v="0"/>
    <s v="GHWACP454913930"/>
  </r>
  <r>
    <n v="688"/>
    <n v="4202"/>
    <s v="drganiyatrasheed@gmail.com"/>
    <s v="Ganiyat Rasheed Folashade"/>
    <s v="Department of Community Medicine, Aminu Kano Teaching Hospital, Kano State"/>
    <x v="0"/>
    <s v="Aminu Kano Teaching Hospital"/>
    <x v="1"/>
    <n v="8036423481"/>
    <s v="firstsitting"/>
    <x v="2"/>
    <x v="2"/>
    <s v="Ibadan"/>
    <s v="NGN"/>
    <n v="812500"/>
    <s v=""/>
    <n v="0"/>
    <s v=""/>
    <n v="162500"/>
    <s v=""/>
    <s v="42021688WACP48025393"/>
  </r>
  <r>
    <n v="689"/>
    <n v="19401"/>
    <s v="adambaffa@yahoo.com"/>
    <s v="YUNUSA  Adam Labaran"/>
    <s v="NTI Staff quarters kaduna"/>
    <x v="1"/>
    <s v="Ahmadu Bello University Teaching Hospital Zaria"/>
    <x v="1"/>
    <s v="08145550512"/>
    <s v="resitting"/>
    <x v="0"/>
    <x v="1"/>
    <s v="Abuja"/>
    <s v="NGN"/>
    <n v="552500"/>
    <s v=""/>
    <n v="0"/>
    <s v=""/>
    <n v="0"/>
    <s v=""/>
    <s v="194011689WACP900529598"/>
  </r>
  <r>
    <n v="690"/>
    <n v="21550"/>
    <s v="haliyu1972@gmail.com"/>
    <s v="ALIYU habiba abubakar"/>
    <s v="House A44 Lias Estate, Life Camp, Abuja."/>
    <x v="0"/>
    <s v="Zankli medical centre "/>
    <x v="1"/>
    <s v="08119331903"/>
    <s v="resitting"/>
    <x v="1"/>
    <x v="0"/>
    <s v="Abuja"/>
    <s v="NGN"/>
    <n v="195000"/>
    <s v=""/>
    <n v="0"/>
    <s v=""/>
    <n v="0"/>
    <s v=""/>
    <s v="215501690WACP813672613"/>
  </r>
  <r>
    <n v="691"/>
    <n v="24455"/>
    <s v="prejudith@gmail.com"/>
    <s v="CHUKWU Precious Judith Udeoko"/>
    <s v="Plot 1942, Road 8, Zone E extension, Apo Resettlement, FCT"/>
    <x v="0"/>
    <s v="Spartan Health Science University, Vieux Fort, Saint Lucia."/>
    <x v="1"/>
    <s v="08137400607"/>
    <s v="firstsitting"/>
    <x v="1"/>
    <x v="1"/>
    <s v="Abuja"/>
    <s v="NGN"/>
    <n v="195000"/>
    <s v=""/>
    <n v="0"/>
    <s v=""/>
    <n v="0"/>
    <s v=""/>
    <s v="244551691WACP56635955"/>
  </r>
  <r>
    <n v="692"/>
    <n v="24479"/>
    <s v="babaloladorcas60@gmail.com"/>
    <s v="BABALOLA Damilola Dorcas"/>
    <s v="Omi Asoro Ilesa. Osun state"/>
    <x v="0"/>
    <s v="Ekiti state University"/>
    <x v="1"/>
    <s v="08168977597"/>
    <s v="firstsitting"/>
    <x v="1"/>
    <x v="0"/>
    <s v="Enugu"/>
    <s v="NGN"/>
    <n v="195000"/>
    <s v=""/>
    <n v="0"/>
    <s v=""/>
    <n v="0"/>
    <s v=""/>
    <s v="244791692WACP594327330"/>
  </r>
  <r>
    <n v="693"/>
    <n v="2744"/>
    <s v="Isahsaidu4u@gmail.com"/>
    <s v="SAIDU Isah  Hassan "/>
    <s v="Federal  Medical Center Birnin kudu department of Population Health P.M.B1022,Jigawa state "/>
    <x v="1"/>
    <s v="University of maiduguri teaching hospital Borno state"/>
    <x v="1"/>
    <n v="8065576674"/>
    <s v="firstsitting"/>
    <x v="2"/>
    <x v="1"/>
    <s v="Abuja"/>
    <s v="NGN"/>
    <n v="812500"/>
    <s v=""/>
    <n v="0"/>
    <s v=""/>
    <n v="162500"/>
    <s v=""/>
    <s v="GHWACP352147213"/>
  </r>
  <r>
    <n v="694"/>
    <n v="18785"/>
    <s v="blessinguba53@gmail.com"/>
    <s v="ORIGBO  Blessing  Nneka "/>
    <s v="Federal Medical Centre Asaba"/>
    <x v="0"/>
    <s v="Federal Medical Centre Asaba "/>
    <x v="1"/>
    <s v="08069090912"/>
    <s v="resitting"/>
    <x v="0"/>
    <x v="1"/>
    <s v="Abuja"/>
    <s v="NGN"/>
    <n v="552500"/>
    <s v=""/>
    <n v="0"/>
    <s v=""/>
    <n v="0"/>
    <s v=""/>
    <s v="187851694WACP956156037"/>
  </r>
  <r>
    <n v="695"/>
    <n v="22052"/>
    <s v="titilade100@yahoo.com"/>
    <s v="OMOJOWOLO Titilade Rachael"/>
    <s v="16 Michael Adeboye Street, Silva Estate, Masbed Bus-Stop, Idimu, Lagos."/>
    <x v="0"/>
    <s v="Massey Street Children Hospital, Lagos Island"/>
    <x v="1"/>
    <s v="08160180385"/>
    <s v="firstsitting"/>
    <x v="0"/>
    <x v="1"/>
    <s v="Ibadan"/>
    <s v="NGN"/>
    <n v="552500"/>
    <s v=""/>
    <n v="0"/>
    <s v=""/>
    <n v="0"/>
    <s v=""/>
    <s v="220521695WACP806870857"/>
  </r>
  <r>
    <n v="696"/>
    <n v="6802"/>
    <s v="anuliemecheta@yahoo.com"/>
    <s v="EMECHETA Anuli Pearl"/>
    <s v="2 ADENIJI STREET, OGBA, IKEJA, LAGOS STATE"/>
    <x v="0"/>
    <s v="LAGOS UNIVERSITY TEACHING HOSPITAL, IDI ARABA"/>
    <x v="1"/>
    <n v="2348036106325"/>
    <s v="firstsitting"/>
    <x v="2"/>
    <x v="2"/>
    <s v="Ibadan"/>
    <s v="NGN"/>
    <n v="812500"/>
    <s v=""/>
    <n v="0"/>
    <s v=""/>
    <n v="162500"/>
    <s v=""/>
    <s v="68021696WACP73019790"/>
  </r>
  <r>
    <n v="697"/>
    <n v="9424"/>
    <s v="m.brucesmith@yahoo.com"/>
    <s v="BRUCE-SMITH michael  "/>
    <s v="P.O.BOX U.P 1397,KNUST, KUMASI, GHANA"/>
    <x v="1"/>
    <s v="Komfo Anokye Teaching Hospital"/>
    <x v="2"/>
    <s v="0248008819"/>
    <s v="resitting"/>
    <x v="0"/>
    <x v="1"/>
    <s v="Accra"/>
    <s v="USD"/>
    <s v=""/>
    <n v="425"/>
    <s v=""/>
    <n v="0"/>
    <s v=""/>
    <n v="0"/>
    <s v="GHWACP510036859"/>
  </r>
  <r>
    <n v="698"/>
    <n v="24346"/>
    <s v="p.navaala@gmail.com"/>
    <s v="AVAALA Priscilla Nchina"/>
    <s v="nyamedua estates, kpone community 25"/>
    <x v="0"/>
    <s v="COY Paediatric Practice"/>
    <x v="2"/>
    <s v="0201129431"/>
    <s v="firstsitting"/>
    <x v="1"/>
    <x v="1"/>
    <s v="Accra"/>
    <s v="USD"/>
    <s v=""/>
    <n v="150"/>
    <s v=""/>
    <n v="0"/>
    <s v=""/>
    <n v="0"/>
    <s v="GHWACP243461698"/>
  </r>
  <r>
    <n v="699"/>
    <n v="20675"/>
    <s v="dr.igboayaka@gmail.com"/>
    <s v="IGBOAYAKA  Maximillian  Chinedu "/>
    <s v="No. 2 Val Mbaegbu Street, Okwe, Asaba, Delta State"/>
    <x v="1"/>
    <s v="Federal Medical Centre, Asaba"/>
    <x v="1"/>
    <n v="2348033746292"/>
    <s v="resitting"/>
    <x v="0"/>
    <x v="3"/>
    <s v="Enugu"/>
    <s v="NGN"/>
    <n v="552500"/>
    <s v=""/>
    <n v="0"/>
    <s v=""/>
    <n v="0"/>
    <s v=""/>
    <s v="206751699WACP304058876"/>
  </r>
  <r>
    <n v="700"/>
    <n v="4955"/>
    <s v="obioraife@gmail.com"/>
    <s v="IFEBUNADU  Obiora Nwabueze"/>
    <s v="c/o department of peadiatrics jos university teaching hospital, (JUTH) Lamingo."/>
    <x v="1"/>
    <s v="JOS UNIVERSITY TEACHING HOSPITAL"/>
    <x v="1"/>
    <n v="7038924185"/>
    <s v="firstsitting"/>
    <x v="2"/>
    <x v="1"/>
    <s v="Abuja"/>
    <s v="NGN"/>
    <n v="812500"/>
    <s v=""/>
    <n v="0"/>
    <s v=""/>
    <n v="162500"/>
    <s v=""/>
    <s v="49551700WACP552078398"/>
  </r>
  <r>
    <n v="701"/>
    <n v="691"/>
    <s v="soledayofelix28@gmail.com"/>
    <s v="OGUNSEESIN Soledayo Felix"/>
    <s v="21 Dominion Secondary School Road Ijebu-Owo"/>
    <x v="1"/>
    <s v="Federal Medical Centre Owo"/>
    <x v="1"/>
    <s v="07065574020"/>
    <s v="firstsitting"/>
    <x v="0"/>
    <x v="0"/>
    <s v="Ibadan"/>
    <s v="NGN"/>
    <n v="552500"/>
    <s v=""/>
    <n v="0"/>
    <s v=""/>
    <n v="0"/>
    <s v=""/>
    <s v="6911701WACP715802363"/>
  </r>
  <r>
    <n v="702"/>
    <n v="18360"/>
    <s v="nyenzion32@gmail.com"/>
    <s v="ODOFIN  John Olaniyi "/>
    <s v="23 0ba afunbiowo housing estate off idanre Rd. Akure."/>
    <x v="1"/>
    <s v="Fmc owo, Ondo "/>
    <x v="1"/>
    <s v="07068096781"/>
    <s v="firstsitting"/>
    <x v="0"/>
    <x v="0"/>
    <s v="Ibadan"/>
    <s v="NGN"/>
    <n v="552500"/>
    <s v=""/>
    <n v="0"/>
    <s v=""/>
    <n v="0"/>
    <s v=""/>
    <s v="183601702WACP73006029"/>
  </r>
  <r>
    <n v="703"/>
    <n v="24441"/>
    <s v="nanaamagyabaa@yahoo.com"/>
    <s v="GYABAA Nana Ama "/>
    <s v="37 Jessy Anum Street, Accra"/>
    <x v="0"/>
    <s v="UGMC"/>
    <x v="2"/>
    <s v="0261931004"/>
    <s v="firstsitting"/>
    <x v="1"/>
    <x v="3"/>
    <s v="Accra"/>
    <s v="USD"/>
    <s v=""/>
    <n v="150"/>
    <s v=""/>
    <n v="0"/>
    <s v=""/>
    <n v="0"/>
    <s v="244411703WACP761122730"/>
  </r>
  <r>
    <n v="704"/>
    <n v="22363"/>
    <s v="fabyjnr@gmail.com"/>
    <s v="FRIMPONG Frank Osei"/>
    <s v="Apt 404 Teodoro, Lajoya Court, Madina, Accra, Ghana"/>
    <x v="1"/>
    <s v="Accra Psychiatric Hospital "/>
    <x v="2"/>
    <n v="233205372842"/>
    <s v="firstsitting"/>
    <x v="0"/>
    <x v="4"/>
    <s v="Accra"/>
    <s v="USD"/>
    <s v=""/>
    <n v="425"/>
    <s v=""/>
    <n v="0"/>
    <s v=""/>
    <n v="0"/>
    <s v="GHWACP110837766"/>
  </r>
  <r>
    <n v="705"/>
    <n v="6319"/>
    <s v="osasutf@gmail.com"/>
    <s v="UBOGO Osasumwen  OMC"/>
    <s v="16 Church of God Mission Street Otokutu Delta State, Nigeria"/>
    <x v="0"/>
    <s v="Madonna university"/>
    <x v="1"/>
    <n v="8030705382"/>
    <s v="firstsitting"/>
    <x v="0"/>
    <x v="1"/>
    <s v="Ibadan"/>
    <s v="NGN"/>
    <n v="552500"/>
    <s v=""/>
    <n v="0"/>
    <s v=""/>
    <n v="0"/>
    <s v=""/>
    <s v="63191705WACP512790937"/>
  </r>
  <r>
    <n v="706"/>
    <n v="21120"/>
    <s v="sunday.ajayia1@gmail.com"/>
    <s v="AJAYI Sunday Adekiya"/>
    <s v="No. 11 Ayetutu Street Gbogi Quarters, Akure"/>
    <x v="1"/>
    <s v="University of Benin, Benin City"/>
    <x v="1"/>
    <s v="08072479203"/>
    <s v="firstsitting"/>
    <x v="0"/>
    <x v="4"/>
    <s v="Ibadan"/>
    <s v="NGN"/>
    <n v="552500"/>
    <s v=""/>
    <n v="0"/>
    <s v=""/>
    <n v="0"/>
    <s v=""/>
    <s v="211201706WACP466292820"/>
  </r>
  <r>
    <n v="707"/>
    <n v="24165"/>
    <s v="agbosomadila@gmail.com"/>
    <s v="AGBO Somadila Thelma"/>
    <s v="Umuaniona Street Amechi Uwani Awkunanaw Enugu, Enugu State, Nigeria."/>
    <x v="0"/>
    <s v="University of Nigeria Teaching Hospital"/>
    <x v="1"/>
    <n v="2347056312201"/>
    <s v="firstsitting"/>
    <x v="1"/>
    <x v="0"/>
    <s v="Enugu"/>
    <s v="NGN"/>
    <n v="195000"/>
    <s v=""/>
    <n v="0"/>
    <s v=""/>
    <n v="0"/>
    <s v=""/>
    <s v="241651707WACP168300550"/>
  </r>
  <r>
    <n v="708"/>
    <n v="4108"/>
    <s v="hadizamuhammad14@gmail.com"/>
    <s v="MOHAMMED Hadiza Eneyire"/>
    <s v="Department of Child Health, Usman Dan Fodiyo University Teaching Hospital Sokoto"/>
    <x v="0"/>
    <s v="Usman Dan Fodiyo University Teaching Hospital Sokoto"/>
    <x v="1"/>
    <s v="07036951228"/>
    <s v="firstsitting"/>
    <x v="2"/>
    <x v="3"/>
    <s v="Abuja"/>
    <s v="NGN"/>
    <n v="812500"/>
    <s v=""/>
    <n v="0"/>
    <s v=""/>
    <n v="162500"/>
    <s v=""/>
    <s v="41081708WACP985868598"/>
  </r>
  <r>
    <n v="709"/>
    <n v="7109"/>
    <s v="harunafatima79@gmail.com"/>
    <s v="HARUNA Fatima "/>
    <s v="No. 4A Ynusa Ysuf Raod Malali New Extention, Kaduna"/>
    <x v="0"/>
    <s v="44 Nigerian Army Reference Hospital, Kaduna "/>
    <x v="1"/>
    <n v="8036032244"/>
    <s v="firstsitting"/>
    <x v="2"/>
    <x v="0"/>
    <s v="Abuja"/>
    <s v="NGN"/>
    <n v="812500"/>
    <s v=""/>
    <n v="0"/>
    <s v=""/>
    <n v="162500"/>
    <s v=""/>
    <s v="71091709WACP261568544"/>
  </r>
  <r>
    <n v="710"/>
    <n v="5808"/>
    <s v="suosumah@gmail.com"/>
    <s v="OSUMAH- MUSA Sue Ailebhobe"/>
    <s v="18 Osasere street off universal road, Okhoro, Benin City"/>
    <x v="0"/>
    <s v="University Of Benin Teaching Hospital, Benin City"/>
    <x v="1"/>
    <n v="8036672276"/>
    <s v="firstsitting"/>
    <x v="0"/>
    <x v="0"/>
    <s v="Abuja"/>
    <s v="NGN"/>
    <n v="552500"/>
    <s v=""/>
    <n v="0"/>
    <s v=""/>
    <n v="0"/>
    <s v=""/>
    <s v="58081710WACP85521119"/>
  </r>
  <r>
    <n v="711"/>
    <n v="19620"/>
    <s v="azeezwaliyat78@gmail.com"/>
    <s v="AZEEZ  Funmilola Waliyat"/>
    <s v="Uniosun Teaching Hospital, Osogbo "/>
    <x v="0"/>
    <s v="Uniosun Teaching Hospital Osogbo "/>
    <x v="1"/>
    <s v="08054645274"/>
    <s v="firstsitting"/>
    <x v="1"/>
    <x v="3"/>
    <s v="Ibadan"/>
    <s v="NGN"/>
    <n v="195000"/>
    <s v=""/>
    <n v="0"/>
    <s v=""/>
    <n v="0"/>
    <s v=""/>
    <s v="196201711WACP87109091"/>
  </r>
  <r>
    <n v="712"/>
    <n v="24087"/>
    <s v="sdontohmd@outlook.com"/>
    <s v="ARKO-DONTOH Stephanie "/>
    <s v="Tema Community 11"/>
    <x v="0"/>
    <s v="Coy Paediatric Practice"/>
    <x v="2"/>
    <s v="0266595185"/>
    <s v="firstsitting"/>
    <x v="1"/>
    <x v="1"/>
    <s v="Accra"/>
    <s v="USD"/>
    <s v=""/>
    <n v="150"/>
    <s v=""/>
    <n v="0"/>
    <s v=""/>
    <n v="0"/>
    <s v="GHWACP587328307"/>
  </r>
  <r>
    <n v="713"/>
    <n v="24484"/>
    <s v="nengicares@gmail.com"/>
    <s v="ANTHONY Nengi Ayeba-emi"/>
    <s v="Port Harcourt, Rivers State"/>
    <x v="0"/>
    <s v="Rivers State University"/>
    <x v="1"/>
    <s v="08033360417"/>
    <s v="firstsitting"/>
    <x v="1"/>
    <x v="0"/>
    <s v="Enugu"/>
    <s v="NGN"/>
    <n v="195000"/>
    <s v=""/>
    <n v="0"/>
    <s v=""/>
    <n v="0"/>
    <s v=""/>
    <s v="244841713WACP150068228"/>
  </r>
  <r>
    <n v="714"/>
    <n v="3795"/>
    <s v="docasho@yahoo.com"/>
    <s v="ASHUBIARO Akeem Babatunde"/>
    <s v="Oswald Madeki road, Lantoro Abeokuta"/>
    <x v="1"/>
    <s v="Sacred Heart Hospital"/>
    <x v="1"/>
    <s v="09057739017"/>
    <s v="firstsitting"/>
    <x v="0"/>
    <x v="0"/>
    <s v="Ibadan"/>
    <s v="NGN"/>
    <n v="552500"/>
    <s v=""/>
    <n v="0"/>
    <s v=""/>
    <n v="0"/>
    <s v=""/>
    <s v="37951714WACP64477961"/>
  </r>
  <r>
    <n v="715"/>
    <n v="24276"/>
    <s v="drdavidinfo1986@gmail.com"/>
    <s v="EJEMBI Enemona "/>
    <s v="Plot 2 benode avenue off Patrick yakowa way"/>
    <x v="1"/>
    <s v="Phiclass hospital"/>
    <x v="1"/>
    <s v="07039642875"/>
    <s v="firstsitting"/>
    <x v="1"/>
    <x v="1"/>
    <s v="Abuja"/>
    <s v="NGN"/>
    <n v="195000"/>
    <s v=""/>
    <n v="0"/>
    <s v=""/>
    <n v="0"/>
    <s v=""/>
    <s v="242761715WACP867310727"/>
  </r>
  <r>
    <n v="716"/>
    <n v="6942"/>
    <s v="marybaio24@yahoo.com"/>
    <s v="BAIO mary magenda"/>
    <s v="3 Dzamfi Lane,Dansoman keefit, Accra,Ghana"/>
    <x v="0"/>
    <s v="Korlebu Teaching Hospital "/>
    <x v="3"/>
    <s v="23278827235/233556988676"/>
    <s v="resitting"/>
    <x v="0"/>
    <x v="1"/>
    <s v="Accra"/>
    <s v="USD"/>
    <s v=""/>
    <n v="425"/>
    <s v=""/>
    <n v="0"/>
    <s v=""/>
    <n v="0"/>
    <s v="GHWACP84208766"/>
  </r>
  <r>
    <n v="717"/>
    <n v="24500"/>
    <s v="uzoigwee70@gmail.com"/>
    <s v="UZOIGWE EMMANUEL CHINYERE"/>
    <s v="23 OSUSU ROAD ABA"/>
    <x v="1"/>
    <s v="FEDERAL MEDICAL CENTRE UMUAHIA"/>
    <x v="1"/>
    <s v="08167954638"/>
    <s v="firstsitting"/>
    <x v="0"/>
    <x v="3"/>
    <s v="Enugu"/>
    <s v="NGN"/>
    <n v="552500"/>
    <s v=""/>
    <n v="0"/>
    <s v=""/>
    <n v="0"/>
    <s v=""/>
    <s v="245001717WACP5275412"/>
  </r>
  <r>
    <n v="718"/>
    <n v="24501"/>
    <s v="tordueiortyer@gmail.com"/>
    <s v="IORTYER Joshua Tordue"/>
    <s v="Icon solicitors apartment, luis agev street, Makurdi"/>
    <x v="1"/>
    <s v="Benue State University Teaching Hospital"/>
    <x v="1"/>
    <s v="08166671687"/>
    <s v="firstsitting"/>
    <x v="1"/>
    <x v="3"/>
    <s v="Abuja"/>
    <s v="NGN"/>
    <n v="195000"/>
    <s v=""/>
    <n v="0"/>
    <s v=""/>
    <n v="0"/>
    <s v=""/>
    <s v="245011718WACP407750055"/>
  </r>
  <r>
    <n v="719"/>
    <n v="24412"/>
    <s v="udo.cosmas007@gmail.com"/>
    <s v="UDO ETEBONG COSMAS"/>
    <s v="No.15 Rimi road U/Rimi Kaduna"/>
    <x v="1"/>
    <s v="Bingham University Karu"/>
    <x v="1"/>
    <s v="08069234169"/>
    <s v="firstsitting"/>
    <x v="1"/>
    <x v="0"/>
    <s v="Abuja"/>
    <s v="NGN"/>
    <n v="195000"/>
    <s v=""/>
    <n v="0"/>
    <s v=""/>
    <n v="0"/>
    <s v=""/>
    <s v="244121719WACP809824856"/>
  </r>
  <r>
    <n v="720"/>
    <n v="2625"/>
    <s v="tariebi321@gmail.com"/>
    <s v="ALA Tariebi Cornelius"/>
    <s v="Department of Child Health, Federal Medical Centre, Yenagoa, Bayelsa State"/>
    <x v="1"/>
    <s v="Federal Medical Centre, Yenagoa."/>
    <x v="1"/>
    <n v="7068240950"/>
    <s v="passedorals"/>
    <x v="2"/>
    <x v="3"/>
    <s v="Abuja"/>
    <s v="NGN"/>
    <n v="812500"/>
    <s v=""/>
    <n v="0"/>
    <s v=""/>
    <n v="162500"/>
    <s v=""/>
    <s v="26251720WACP765690212"/>
  </r>
  <r>
    <n v="721"/>
    <n v="11562"/>
    <s v="mhafsatiya@ymail.com"/>
    <s v="MIJINYAWA Hafsat Iya"/>
    <s v="House No 46, Brains and Hammers Estate Apo 3, Apo-Gudu, Abuja, Nigeria."/>
    <x v="0"/>
    <s v="Federal medical centre, Abuja."/>
    <x v="1"/>
    <s v="08143035236"/>
    <s v="firstsitting"/>
    <x v="0"/>
    <x v="3"/>
    <s v="Abuja"/>
    <s v="NGN"/>
    <n v="552500"/>
    <s v=""/>
    <n v="0"/>
    <s v=""/>
    <n v="0"/>
    <s v=""/>
    <s v="115621721WACP748035593"/>
  </r>
  <r>
    <n v="722"/>
    <n v="20478"/>
    <s v="aliyuzakariya088@gmail.com"/>
    <s v="ALIYU zakariya  "/>
    <s v="DEPARTMENT OF COMMUNITY MEDICINE, AMINU KANO TEACHING HOSPITAL KANO, NIGERIA "/>
    <x v="1"/>
    <s v="Aminu Kano Teaching Hospital kano Nigeria"/>
    <x v="1"/>
    <n v="2347069298560"/>
    <s v="resitting"/>
    <x v="0"/>
    <x v="2"/>
    <s v="Ibadan"/>
    <s v="NGN"/>
    <n v="552500"/>
    <s v=""/>
    <n v="110500"/>
    <s v=""/>
    <n v="0"/>
    <s v=""/>
    <s v="204781722WACP81559019"/>
  </r>
  <r>
    <n v="723"/>
    <n v="637"/>
    <s v="summiegumbi@yahoo.com"/>
    <s v="GUMBI Summaiyah Ahmad"/>
    <s v="NO 38 DALA ROAD, OFF OHINOYI  ROAD, UNGUWAN RIMI,  KADUNA NORTH, KADUNA STATE."/>
    <x v="0"/>
    <s v="BARAU DIKKO TEACHING HOSPITAL, KADUNA"/>
    <x v="1"/>
    <n v="2348066306714"/>
    <s v="firstsitting"/>
    <x v="2"/>
    <x v="1"/>
    <s v="Abuja"/>
    <s v="NGN"/>
    <n v="812500"/>
    <s v=""/>
    <n v="0"/>
    <s v=""/>
    <n v="162500"/>
    <s v=""/>
    <s v="6371723WACP219794004"/>
  </r>
  <r>
    <n v="724"/>
    <n v="24452"/>
    <s v="iemezue@gmail.com"/>
    <s v="EMEZUE Ijeoma "/>
    <s v="Ameh Ogboni House 2, Works and housing Gwarimpa,Abuja, Nigeria"/>
    <x v="0"/>
    <s v="Uzhhorod National University, Ukraine"/>
    <x v="1"/>
    <s v="09136816508"/>
    <s v="firstsitting"/>
    <x v="1"/>
    <x v="1"/>
    <s v="Abuja"/>
    <s v="NGN"/>
    <n v="195000"/>
    <s v=""/>
    <n v="0"/>
    <s v=""/>
    <n v="0"/>
    <s v=""/>
    <s v="244521724WACP337573362"/>
  </r>
  <r>
    <n v="725"/>
    <n v="18621"/>
    <s v="zbjibrin@gmail.com"/>
    <s v="JIBRIN Zainab Bala"/>
    <s v="Bauchi, Nigeria"/>
    <x v="0"/>
    <s v="Abubakar Tafawa Balewa University Teaching Hospital Bauchi, Bauchi State Nigeria"/>
    <x v="1"/>
    <n v="2348035832180"/>
    <s v="resitting"/>
    <x v="0"/>
    <x v="2"/>
    <s v="Abuja"/>
    <s v="NGN"/>
    <n v="552500"/>
    <s v=""/>
    <n v="110500"/>
    <s v=""/>
    <n v="0"/>
    <s v=""/>
    <s v="186211725WACP542627582"/>
  </r>
  <r>
    <n v="726"/>
    <n v="6424"/>
    <s v="demolaj14@gmail.com"/>
    <s v="OLAJUYIN  Ademola  Busayo"/>
    <s v="DEPARTMENT OF Clinical Medicine, EKITI STATE UNIVERSITY TEACHING HOSPITAL , ADO EKITI"/>
    <x v="1"/>
    <s v="DEPARTMENT OF Clinical Medicine, EKITI STATE UNIVERSITY TEACHING HOSPITAL ADO EKITI, EKITI STATE "/>
    <x v="1"/>
    <s v="08069369378"/>
    <s v="firstsitting"/>
    <x v="2"/>
    <x v="0"/>
    <s v="Ibadan"/>
    <s v="NGN"/>
    <n v="812500"/>
    <s v=""/>
    <n v="0"/>
    <s v=""/>
    <n v="162500"/>
    <s v=""/>
    <s v="64241726WACP63424742"/>
  </r>
  <r>
    <n v="727"/>
    <n v="24468"/>
    <s v="rosefornah93@gmail.com"/>
    <s v="FORNAH Rosaline "/>
    <s v="58 Reservation View, Upper Allen Town. Freetown"/>
    <x v="0"/>
    <s v="Ministry Of Health, Sierra Leone"/>
    <x v="3"/>
    <n v="23276203600"/>
    <s v="firstsitting"/>
    <x v="1"/>
    <x v="0"/>
    <s v="Freetown"/>
    <s v="NGN"/>
    <n v="195000"/>
    <s v=""/>
    <n v="0"/>
    <s v=""/>
    <n v="0"/>
    <s v=""/>
    <s v="244681727WACP839494083"/>
  </r>
  <r>
    <n v="728"/>
    <n v="24009"/>
    <s v="sadeeqibrahim7002@gmail.com"/>
    <s v="SADIQ NUHU ABUBAKAR"/>
    <s v="House No 61, Nasarawa Ward, Behind Old Local Government Secretariat, Damaturu, Yobe State, Nigeria."/>
    <x v="1"/>
    <s v="Ahmadu Bello University, Zaria, Kaduna State, Nigeria."/>
    <x v="1"/>
    <s v="08064951377"/>
    <s v="firstsitting"/>
    <x v="1"/>
    <x v="2"/>
    <s v="Abuja"/>
    <s v="NGN"/>
    <n v="195000"/>
    <s v=""/>
    <n v="0"/>
    <s v=""/>
    <n v="0"/>
    <s v=""/>
    <s v="240091728WACP593783798"/>
  </r>
  <r>
    <n v="729"/>
    <n v="24375"/>
    <s v="kromansonstella1@gmail.com"/>
    <s v="KROMANSON-COLLIER Stella "/>
    <s v="6 Mary Lane, Off Circular road, Freetown"/>
    <x v="0"/>
    <s v="Bo Government Hospital"/>
    <x v="3"/>
    <n v="23278365488"/>
    <s v="firstsitting"/>
    <x v="1"/>
    <x v="0"/>
    <s v="Freetown"/>
    <s v="NGN"/>
    <n v="195000"/>
    <s v=""/>
    <n v="0"/>
    <s v=""/>
    <n v="0"/>
    <s v=""/>
    <s v="243751729WACP17072421"/>
  </r>
  <r>
    <n v="730"/>
    <n v="20171"/>
    <s v="odughanefionayi@gmail.com"/>
    <s v="EFIONAYI  odughan "/>
    <s v="No 4 adolor lane off first east circular road Benin city Edo state "/>
    <x v="1"/>
    <s v="Irrua Specialist Teaching hospital, Irrua, Edo state, Nigeria."/>
    <x v="1"/>
    <s v="08134037056"/>
    <s v="firstsitting"/>
    <x v="0"/>
    <x v="0"/>
    <s v="Abuja"/>
    <s v="NGN"/>
    <n v="552500"/>
    <s v=""/>
    <n v="0"/>
    <s v=""/>
    <n v="0"/>
    <s v=""/>
    <s v="201711730WACP693772559"/>
  </r>
  <r>
    <n v="731"/>
    <n v="24368"/>
    <s v="prucey84@gmail.com"/>
    <s v="AKOGWU Prudence Kosisochukwu"/>
    <s v="10 edibe edibe street calabar"/>
    <x v="0"/>
    <s v="university of calabar teaching hospital"/>
    <x v="1"/>
    <s v="08102711318"/>
    <s v="firstsitting"/>
    <x v="1"/>
    <x v="4"/>
    <s v="Enugu"/>
    <s v="NGN"/>
    <n v="195000"/>
    <s v=""/>
    <n v="0"/>
    <s v=""/>
    <n v="0"/>
    <s v=""/>
    <s v="243681731WACP372339588"/>
  </r>
  <r>
    <n v="732"/>
    <n v="7403"/>
    <s v="saimatee1@gmail.com"/>
    <s v="ABDULLAHI Saima Zaiyanu "/>
    <s v="Usmanu Danfodio University teaching hospital sokoto"/>
    <x v="0"/>
    <s v="Usmanu Danfodiyo University Teaching Hospital, Sokoto state"/>
    <x v="1"/>
    <n v="8036542398"/>
    <s v="firstsitting"/>
    <x v="2"/>
    <x v="1"/>
    <s v="Abuja"/>
    <s v="NGN"/>
    <n v="812500"/>
    <s v=""/>
    <n v="0"/>
    <s v=""/>
    <n v="162500"/>
    <s v=""/>
    <s v="74031732WACP422156938"/>
  </r>
  <r>
    <n v="733"/>
    <n v="9722"/>
    <s v="olamideolasinde@yahoo.com"/>
    <s v="OLASINDE Hassan Olamide"/>
    <s v="Department of Community Medicine, College of Medicine, ABU Samaru, Zaria"/>
    <x v="1"/>
    <s v="Elrazi University"/>
    <x v="1"/>
    <n v="2348079776523"/>
    <s v="firstsitting"/>
    <x v="0"/>
    <x v="2"/>
    <s v="Abuja"/>
    <s v="NGN"/>
    <n v="552500"/>
    <s v=""/>
    <n v="110500"/>
    <s v=""/>
    <n v="0"/>
    <s v=""/>
    <s v="97221733WACP990660418"/>
  </r>
  <r>
    <n v="734"/>
    <n v="6380"/>
    <s v="asmauhamzah@yahoo.com"/>
    <s v="HAMZAH-SAYI  Asmau  O"/>
    <s v="158,Alimi road,Alore, Ilorin, Kwara State."/>
    <x v="0"/>
    <s v="University of Ilorin Teaching Hospital "/>
    <x v="1"/>
    <n v="7050813560"/>
    <s v="firstsitting"/>
    <x v="0"/>
    <x v="4"/>
    <s v="Ibadan"/>
    <s v="NGN"/>
    <n v="552500"/>
    <s v=""/>
    <n v="0"/>
    <s v=""/>
    <n v="0"/>
    <s v=""/>
    <s v="63801734WACP531770030"/>
  </r>
  <r>
    <n v="735"/>
    <n v="24460"/>
    <s v="Priscillaagboola45@yahoo.com"/>
    <s v="AGBOOLA Priscilla Oluwabunmi"/>
    <s v="No 19 pipeline road Akpajo, Eleme, Rivers State, Nigeria"/>
    <x v="0"/>
    <s v="Afe Babalola University, Ado Ekiti"/>
    <x v="1"/>
    <n v="2348102581637"/>
    <s v="firstsitting"/>
    <x v="1"/>
    <x v="1"/>
    <s v="Enugu"/>
    <s v="NGN"/>
    <n v="195000"/>
    <s v=""/>
    <n v="0"/>
    <s v=""/>
    <n v="0"/>
    <s v=""/>
    <s v="244601735WACP727678777"/>
  </r>
  <r>
    <n v="736"/>
    <n v="24508"/>
    <s v="estherulasi15@gmail.com"/>
    <s v="ULASI Esther Chioma"/>
    <s v="100, lagos street Ebutte metta mainland Lagos State"/>
    <x v="0"/>
    <s v="Igbinedion University Okada"/>
    <x v="1"/>
    <s v="07031426481"/>
    <s v="firstsitting"/>
    <x v="1"/>
    <x v="0"/>
    <s v="Ibadan"/>
    <s v="NGN"/>
    <n v="195000"/>
    <s v=""/>
    <n v="0"/>
    <s v=""/>
    <n v="0"/>
    <s v=""/>
    <s v="245081736WACP232219100"/>
  </r>
  <r>
    <n v="737"/>
    <n v="23673"/>
    <s v="oyinoluwaoyedele29@gmail.com"/>
    <s v="OYEDELE Oyinoluwakanmi Durodoluwa "/>
    <s v="Oyinoluwaoyedele29@gmail.com"/>
    <x v="0"/>
    <s v="Bingham University "/>
    <x v="1"/>
    <s v="08030631266"/>
    <s v="resitting"/>
    <x v="1"/>
    <x v="1"/>
    <s v="Abuja"/>
    <s v="NGN"/>
    <n v="195000"/>
    <s v=""/>
    <n v="0"/>
    <s v=""/>
    <n v="0"/>
    <s v=""/>
    <s v="236731737WACP220636491"/>
  </r>
  <r>
    <n v="738"/>
    <n v="20598"/>
    <s v="dankwaat@gmail.com"/>
    <s v="TETTEH Abena Dankwaa"/>
    <s v="Department of Child Health, Korle Bu Teaching Hospital, Korle Bu, Accra, Ghana"/>
    <x v="0"/>
    <s v="Korle Bu Teaching Hospital"/>
    <x v="2"/>
    <n v="233206300907"/>
    <s v="passedorals"/>
    <x v="2"/>
    <x v="1"/>
    <s v="Accra"/>
    <s v="USD"/>
    <s v=""/>
    <n v="625"/>
    <s v=""/>
    <n v="0"/>
    <s v=""/>
    <n v="125"/>
    <s v="GHWACP980108921"/>
  </r>
  <r>
    <n v="739"/>
    <n v="24510"/>
    <s v="suttithomas@gmail.com"/>
    <s v="THOMAS Augustine Msughter"/>
    <s v="A52T angwan jarawa faringada jos, plateau state"/>
    <x v="1"/>
    <s v="Benue State University"/>
    <x v="1"/>
    <n v="2347038067808"/>
    <s v="firstsitting"/>
    <x v="1"/>
    <x v="3"/>
    <s v="Abuja"/>
    <s v="NGN"/>
    <n v="195000"/>
    <s v=""/>
    <n v="0"/>
    <s v=""/>
    <n v="0"/>
    <s v=""/>
    <s v="245101739WACP728411391"/>
  </r>
  <r>
    <n v="740"/>
    <n v="23197"/>
    <s v="abdallah.kulo01@gmail.com"/>
    <s v="KULO Abdallah Auwalu"/>
    <s v="abdallah.kulo01@gmail.com"/>
    <x v="1"/>
    <s v="AKTH"/>
    <x v="1"/>
    <s v="09074925747"/>
    <s v="firstsitting"/>
    <x v="1"/>
    <x v="3"/>
    <s v="Abuja"/>
    <s v="NGN"/>
    <n v="195000"/>
    <s v=""/>
    <n v="0"/>
    <s v=""/>
    <n v="0"/>
    <s v=""/>
    <s v="231971740WACP698974177"/>
  </r>
  <r>
    <n v="741"/>
    <n v="23341"/>
    <s v="amadisolomonelizabeth@gmail.com"/>
    <s v="AMADI-SOLOMON  Elizabeth Chinyere "/>
    <s v="NO 8 ADA EDE STREET , SHELL LOCATION ROAD PORT HARCOURT "/>
    <x v="0"/>
    <s v="Rivers state university teaching hospital "/>
    <x v="1"/>
    <s v="08130716577"/>
    <s v="resitting"/>
    <x v="1"/>
    <x v="1"/>
    <s v="Enugu"/>
    <s v="NGN"/>
    <n v="195000"/>
    <s v=""/>
    <n v="0"/>
    <s v=""/>
    <n v="0"/>
    <s v=""/>
    <s v="233411741WACP20785748"/>
  </r>
  <r>
    <n v="742"/>
    <n v="9996"/>
    <s v="leoclaiiredsassii1@outlook.com"/>
    <s v="WORLU Chiyememma Claire"/>
    <s v="Office of the Director, Centre for Conflict and Gender Studies, University of Port Harcourt, Choba, Port Harcourt, Nigeria"/>
    <x v="0"/>
    <s v="Babcock University Teaching Hospital, Ilisan-Remo, Ogun State"/>
    <x v="1"/>
    <s v="08165011653"/>
    <s v="firstsitting"/>
    <x v="0"/>
    <x v="3"/>
    <s v="Ibadan"/>
    <s v="NGN"/>
    <n v="552500"/>
    <s v=""/>
    <n v="0"/>
    <s v=""/>
    <n v="0"/>
    <s v=""/>
    <s v="99961742WACP80660514"/>
  </r>
  <r>
    <n v="743"/>
    <n v="24489"/>
    <s v="ahmedisa955@gmail.com"/>
    <s v="ISA Ahmed Yaro"/>
    <s v="New Bra Bra Housing Estate Damaturu"/>
    <x v="1"/>
    <s v="Yobe State University Teaching Hospital"/>
    <x v="1"/>
    <s v="08065356666"/>
    <s v="firstsitting"/>
    <x v="1"/>
    <x v="2"/>
    <s v="Abuja"/>
    <s v="NGN"/>
    <n v="195000"/>
    <s v=""/>
    <n v="0"/>
    <s v=""/>
    <n v="0"/>
    <s v=""/>
    <s v="244891743WACP257367493"/>
  </r>
  <r>
    <n v="744"/>
    <n v="22286"/>
    <s v="halimasadiyarufai@gmail.com"/>
    <s v="RUFAI Halima Ahmed"/>
    <s v="B1 Abdulkarim Adisa Estate Gudu, Abuja"/>
    <x v="0"/>
    <s v="Istanbul Altinbas University "/>
    <x v="1"/>
    <s v="08149988319"/>
    <s v="resitting"/>
    <x v="1"/>
    <x v="3"/>
    <s v="Abuja"/>
    <s v="NGN"/>
    <n v="195000"/>
    <s v=""/>
    <n v="0"/>
    <s v=""/>
    <n v="0"/>
    <s v=""/>
    <s v="222861744WACP670396325"/>
  </r>
  <r>
    <n v="745"/>
    <n v="18643"/>
    <s v="upmaduwuba@gmail.com"/>
    <s v="MADUWUBA  Priscilla Uchechi"/>
    <s v="Plot 656 TransNkisi  Layout Onitsha,Anambra State"/>
    <x v="0"/>
    <s v="NNAMDI AZIKIWE UNIVERSITY TEACHING HOSPITAL NNEWI"/>
    <x v="1"/>
    <n v="2348030734748"/>
    <s v="resitting"/>
    <x v="0"/>
    <x v="1"/>
    <s v="Abuja"/>
    <s v="NGN"/>
    <n v="552500"/>
    <s v=""/>
    <n v="0"/>
    <s v=""/>
    <n v="0"/>
    <s v=""/>
    <s v="186431745WACP334200187"/>
  </r>
  <r>
    <n v="746"/>
    <n v="23633"/>
    <s v="egbejimikokobo@gmail.com"/>
    <s v="DAMBO Kokobo Divine"/>
    <s v="Ayakiri Estate, Ogboloma, Gbarain, Yenagoa, Bayelsa State."/>
    <x v="0"/>
    <s v="Niger Delta University Teaching Hospital "/>
    <x v="1"/>
    <n v="2348130317390"/>
    <s v="resitting"/>
    <x v="1"/>
    <x v="1"/>
    <s v="Enugu"/>
    <s v="NGN"/>
    <n v="195000"/>
    <s v=""/>
    <n v="0"/>
    <s v=""/>
    <n v="0"/>
    <s v=""/>
    <s v="236331746WACP239999370"/>
  </r>
  <r>
    <n v="747"/>
    <n v="20599"/>
    <s v="mavistalata7@gmail.com"/>
    <s v="AYIMBIRE Mavis Ayinpogbila"/>
    <s v="box 1934"/>
    <x v="0"/>
    <s v="komfo anokye teaching hosital "/>
    <x v="2"/>
    <s v="0540835653"/>
    <s v="resitting"/>
    <x v="0"/>
    <x v="1"/>
    <s v="Accra"/>
    <s v="USD"/>
    <s v=""/>
    <n v="425"/>
    <s v=""/>
    <n v="0"/>
    <s v=""/>
    <n v="0"/>
    <s v="GHWACP317540523"/>
  </r>
  <r>
    <n v="748"/>
    <n v="23606"/>
    <s v="amenkarieka@gmail.com"/>
    <s v="UGBAKA  Amen Kari"/>
    <s v="45 Bishiri Road Obudu Cross River State"/>
    <x v="0"/>
    <s v="Afe Babalola University Ado-Ekiti, Ekiti state"/>
    <x v="1"/>
    <s v="07067191924"/>
    <s v="resitting"/>
    <x v="1"/>
    <x v="1"/>
    <s v="Enugu"/>
    <s v="NGN"/>
    <n v="195000"/>
    <s v=""/>
    <n v="0"/>
    <s v=""/>
    <n v="0"/>
    <s v=""/>
    <s v="236061748WACP336757626"/>
  </r>
  <r>
    <n v="749"/>
    <n v="9880"/>
    <s v="estherolutola@gmail.com"/>
    <s v="Esther  OLUTOLA Omowunmi"/>
    <s v="104, Itire road, Obele, Surulere, Lagos state"/>
    <x v="0"/>
    <s v="Massey Street Children&amp;#039;s Hospital "/>
    <x v="1"/>
    <s v="08161527373"/>
    <s v="firstsitting"/>
    <x v="2"/>
    <x v="1"/>
    <s v="Ibadan"/>
    <s v="NGN"/>
    <n v="812500"/>
    <s v=""/>
    <n v="0"/>
    <s v=""/>
    <n v="162500"/>
    <s v=""/>
    <s v="98801749WACP902927147"/>
  </r>
  <r>
    <n v="750"/>
    <n v="24103"/>
    <s v="fatsumayusufmuazu@gmail.com"/>
    <s v="MUAZU Fatsuma Yusuf"/>
    <s v="No14 Tangale street off Damboa Road"/>
    <x v="0"/>
    <s v="University of Maiduguri Teaching Hospital"/>
    <x v="1"/>
    <s v="08062177867"/>
    <s v="firstsitting"/>
    <x v="1"/>
    <x v="4"/>
    <s v="Abuja"/>
    <s v="NGN"/>
    <n v="195000"/>
    <s v=""/>
    <n v="0"/>
    <s v=""/>
    <n v="0"/>
    <s v=""/>
    <s v="241031750WACP369849872"/>
  </r>
  <r>
    <n v="751"/>
    <n v="4944"/>
    <s v="stephnieortese@gmail.com"/>
    <s v="AYATSE Doofan Ortese"/>
    <s v="Department of Child Health, Benue State University Teaching Hospital, Makurdi, Benue State. "/>
    <x v="0"/>
    <s v="Benue State University Teaching Hospital, Makurdi"/>
    <x v="1"/>
    <n v="8065212170"/>
    <s v="passedorals"/>
    <x v="2"/>
    <x v="3"/>
    <s v="Abuja"/>
    <s v="NGN"/>
    <n v="812500"/>
    <s v=""/>
    <n v="0"/>
    <s v=""/>
    <n v="162500"/>
    <s v=""/>
    <s v="49441751WACP696696561"/>
  </r>
  <r>
    <n v="752"/>
    <n v="24442"/>
    <s v="d.goomiee@gmail.com"/>
    <s v="Sulaiman Muhammad Adam"/>
    <s v="No 592 Jushi zaria"/>
    <x v="1"/>
    <s v="Shenyang medical college"/>
    <x v="1"/>
    <s v="07069115809"/>
    <s v="firstsitting"/>
    <x v="1"/>
    <x v="3"/>
    <s v="Abuja"/>
    <s v="NGN"/>
    <n v="195000"/>
    <s v=""/>
    <n v="0"/>
    <s v=""/>
    <n v="0"/>
    <s v=""/>
    <s v="244421752WACP769132535"/>
  </r>
  <r>
    <n v="753"/>
    <n v="24515"/>
    <s v="obograce5@gmail.com"/>
    <s v="OBO Grace Ekpenyong"/>
    <s v="4 Ikot Effiom Eyamba New Layout, 8 miles, Calabar"/>
    <x v="0"/>
    <s v="University of Calabar Teaching Hospital"/>
    <x v="1"/>
    <s v="08136630232"/>
    <s v="firstsitting"/>
    <x v="1"/>
    <x v="0"/>
    <s v="Abuja"/>
    <s v="NGN"/>
    <n v="195000"/>
    <s v=""/>
    <n v="0"/>
    <s v=""/>
    <n v="0"/>
    <s v=""/>
    <s v="245151753WACP194417568"/>
  </r>
  <r>
    <n v="754"/>
    <n v="21840"/>
    <s v="onyegirichukwuebukaudo@gmail.com"/>
    <s v="ONYEGIRI Chukwuebuka Udo"/>
    <s v="Plot 1707 Mabushi Abuja"/>
    <x v="1"/>
    <s v="Federal Medical Centre Jabi Abuja"/>
    <x v="1"/>
    <s v="08058523115"/>
    <s v="firstsitting"/>
    <x v="0"/>
    <x v="3"/>
    <s v="Abuja"/>
    <s v="NGN"/>
    <n v="552500"/>
    <s v=""/>
    <n v="0"/>
    <s v=""/>
    <n v="0"/>
    <s v=""/>
    <s v="218401754WACP73257657"/>
  </r>
  <r>
    <n v="755"/>
    <n v="24116"/>
    <s v="mary.amoako505@gmail.com"/>
    <s v="AMOAKO Mary "/>
    <s v="Chantan - Abotre , Achimota"/>
    <x v="0"/>
    <s v="Korle Bu Teaching Hospital"/>
    <x v="2"/>
    <n v="233541090645"/>
    <s v="firstsitting"/>
    <x v="1"/>
    <x v="4"/>
    <s v="Accra"/>
    <s v="USD"/>
    <s v=""/>
    <n v="150"/>
    <s v=""/>
    <n v="0"/>
    <s v=""/>
    <n v="0"/>
    <s v="241161755WACP372238944"/>
  </r>
  <r>
    <n v="756"/>
    <n v="8369"/>
    <s v="ogochukwufavour2013@yahoo.com"/>
    <s v="OKONKWO Ogochukwu Favour Maryanne"/>
    <s v="House 42 Vision Court Estate, Lokogoma, Abuja"/>
    <x v="0"/>
    <s v="National Hospital Abuja"/>
    <x v="1"/>
    <s v="08032329090"/>
    <s v="firstsitting"/>
    <x v="2"/>
    <x v="1"/>
    <s v="Abuja"/>
    <s v="NGN"/>
    <n v="812500"/>
    <s v=""/>
    <n v="0"/>
    <s v=""/>
    <n v="162500"/>
    <s v=""/>
    <s v="83691756WACP552515416"/>
  </r>
  <r>
    <n v="758"/>
    <n v="24100"/>
    <s v="orerome.owhiri@gmail.com"/>
    <s v="OWHIRI Orerome "/>
    <s v="1 Festac Street Federal Housing Estate Trans Ekulu Enugu"/>
    <x v="1"/>
    <s v="Federal Neuropsychiatric Hospital Enugu, Enugu State"/>
    <x v="1"/>
    <s v="08037057440"/>
    <s v="firstsitting"/>
    <x v="1"/>
    <x v="4"/>
    <s v="Enugu"/>
    <s v="NGN"/>
    <n v="195000"/>
    <s v=""/>
    <n v="0"/>
    <s v=""/>
    <n v="0"/>
    <s v=""/>
    <s v="241001758WACP530230068"/>
  </r>
  <r>
    <n v="759"/>
    <n v="6079"/>
    <s v="Jacinth344@gmail.com"/>
    <s v="KODJI Jacob Narteh"/>
    <s v="Box 16, Tamale, TTH"/>
    <x v="1"/>
    <s v="Tamale Teaching Hospital "/>
    <x v="2"/>
    <n v="233543260344"/>
    <s v="firstsitting"/>
    <x v="0"/>
    <x v="3"/>
    <s v="Accra"/>
    <s v="USD"/>
    <s v=""/>
    <n v="425"/>
    <s v=""/>
    <n v="0"/>
    <s v=""/>
    <n v="0"/>
    <s v="GHWACP603149689"/>
  </r>
  <r>
    <n v="760"/>
    <n v="24379"/>
    <s v="shay.adenusi@gmail.com"/>
    <s v="ADENUSI SHALOM ANU-OLUWAPO"/>
    <s v="15akintijani street magodo"/>
    <x v="0"/>
    <s v="Federal neuropsychiatric hospital yaba lagos"/>
    <x v="1"/>
    <s v="07010643170"/>
    <s v="firstsitting"/>
    <x v="1"/>
    <x v="4"/>
    <s v="Ibadan"/>
    <s v="NGN"/>
    <n v="195000"/>
    <s v=""/>
    <n v="0"/>
    <s v=""/>
    <n v="0"/>
    <s v=""/>
    <s v="243791760WACP508852522"/>
  </r>
  <r>
    <n v="761"/>
    <n v="22441"/>
    <s v="graceanajuba@gmail.com"/>
    <s v="ANAJUBA Grace Uche"/>
    <s v="5 Creek lane New world city, Ugbuwangue Delta state"/>
    <x v="0"/>
    <s v="University of Nigeria"/>
    <x v="1"/>
    <s v="08067609823"/>
    <s v="firstsitting"/>
    <x v="1"/>
    <x v="1"/>
    <s v="Enugu"/>
    <s v="NGN"/>
    <n v="195000"/>
    <s v=""/>
    <n v="0"/>
    <s v=""/>
    <n v="0"/>
    <s v=""/>
    <s v="224411761WACP470108283"/>
  </r>
  <r>
    <n v="762"/>
    <n v="3719"/>
    <s v="eseoruoghor@yahoo.com"/>
    <s v="Eseoghene IMAFIDON  Edith"/>
    <s v="Department of paediaric fedral medical center, yenegoa"/>
    <x v="0"/>
    <s v="Federal medical center Yenagoa"/>
    <x v="1"/>
    <s v="08060949636"/>
    <s v="firstsitting"/>
    <x v="2"/>
    <x v="1"/>
    <s v="Abuja"/>
    <s v="NGN"/>
    <n v="812500"/>
    <s v=""/>
    <n v="0"/>
    <s v=""/>
    <n v="162500"/>
    <s v=""/>
    <s v="37191762WACP713101118"/>
  </r>
  <r>
    <n v="763"/>
    <n v="24356"/>
    <s v="adegboyegafadumiye@yahoo.com"/>
    <s v="FADUMIYE Adegboyega Seyi"/>
    <s v="15, Dam Road, Egbe Ekiti, Ekiti State."/>
    <x v="1"/>
    <s v="Obafemi Awolowo University, Ile Ife."/>
    <x v="1"/>
    <s v="08063256670"/>
    <s v="firstsitting"/>
    <x v="1"/>
    <x v="4"/>
    <s v="Ibadan"/>
    <s v="NGN"/>
    <n v="195000"/>
    <s v=""/>
    <n v="0"/>
    <s v=""/>
    <n v="0"/>
    <s v=""/>
    <s v="243561763WACP3264215"/>
  </r>
  <r>
    <n v="764"/>
    <n v="8111"/>
    <s v="obiamyc@yahoo.com"/>
    <s v="OBIOHA  Amaka Chiemelie"/>
    <s v="Federal Medical Centre,Owerri Imo state"/>
    <x v="0"/>
    <s v="Federal Medical Centre Owerri "/>
    <x v="1"/>
    <s v="07032813940"/>
    <s v="firstsitting"/>
    <x v="0"/>
    <x v="0"/>
    <s v="Ibadan"/>
    <s v="NGN"/>
    <n v="552500"/>
    <s v=""/>
    <n v="0"/>
    <s v=""/>
    <n v="0"/>
    <s v=""/>
    <s v="81111764WACP255737479"/>
  </r>
  <r>
    <n v="766"/>
    <n v="280"/>
    <s v="obibiflash@gmail.com"/>
    <s v="OSAYIMWEN Bibi "/>
    <s v="Federal Neuropsychiatric Hospital, 8, Harvey Road, Yaba, Lagos"/>
    <x v="0"/>
    <s v="Federal Neuropsychiatric hospital, Yaba Lagos"/>
    <x v="1"/>
    <n v="2348033200796"/>
    <s v="passedorals"/>
    <x v="2"/>
    <x v="4"/>
    <s v="Ibadan"/>
    <s v="NGN"/>
    <n v="812500"/>
    <s v=""/>
    <n v="0"/>
    <s v=""/>
    <n v="162500"/>
    <s v=""/>
    <s v="2801766WACP613163823"/>
  </r>
  <r>
    <n v="767"/>
    <n v="18867"/>
    <s v="melvinanartey@gmail.com"/>
    <s v="NARTEY  Melvina "/>
    <s v="c/o Dr.Melvin Nartey ,Dept of Modern Languages,KNUST-Kumasi"/>
    <x v="0"/>
    <s v="Cape Coast Teaching Hospital"/>
    <x v="2"/>
    <s v="0594236407"/>
    <s v="firstsitting"/>
    <x v="1"/>
    <x v="0"/>
    <s v="Accra"/>
    <s v="USD"/>
    <s v=""/>
    <n v="150"/>
    <s v=""/>
    <n v="0"/>
    <s v=""/>
    <n v="0"/>
    <s v="GHWACP224079918"/>
  </r>
  <r>
    <n v="768"/>
    <n v="24511"/>
    <s v="akpaeverister49@gmail.com"/>
    <s v="AKPA  Everister Uloma"/>
    <s v="Lamingo, Jos University Teaching Hospital Jos"/>
    <x v="0"/>
    <s v="Jos University Teaching Hospital"/>
    <x v="1"/>
    <s v="07032484649"/>
    <s v="firstsitting"/>
    <x v="1"/>
    <x v="3"/>
    <s v="Abuja"/>
    <s v="NGN"/>
    <n v="195000"/>
    <s v=""/>
    <n v="0"/>
    <s v=""/>
    <n v="0"/>
    <s v=""/>
    <s v="245111768WACP831305163"/>
  </r>
  <r>
    <n v="769"/>
    <n v="10683"/>
    <s v="mafianangozi@yahoo.com"/>
    <s v="MAFIANA Ngozichukwu "/>
    <s v="Federal Medical Centre Asaba, Delta State, Nigeria"/>
    <x v="0"/>
    <s v="Federal Medical Centre Asaba, Delta State, Nigeria"/>
    <x v="1"/>
    <s v="07039767200"/>
    <s v="resitting"/>
    <x v="0"/>
    <x v="3"/>
    <s v="Abuja"/>
    <s v="NGN"/>
    <n v="552500"/>
    <s v=""/>
    <n v="0"/>
    <s v=""/>
    <n v="0"/>
    <s v=""/>
    <s v="106831769WACP197447093"/>
  </r>
  <r>
    <n v="770"/>
    <n v="22344"/>
    <s v="parsiabby@gmail.com"/>
    <s v="ANNAN Abigail Naa Dedei"/>
    <s v="Accra Psychiatric Hospital"/>
    <x v="0"/>
    <s v="Accra Psychiatric Hospital"/>
    <x v="2"/>
    <s v="0544117790"/>
    <s v="firstsitting"/>
    <x v="0"/>
    <x v="4"/>
    <s v="Accra"/>
    <s v="USD"/>
    <s v=""/>
    <n v="425"/>
    <s v=""/>
    <n v="0"/>
    <s v=""/>
    <n v="0"/>
    <s v="GHWACP461495284"/>
  </r>
  <r>
    <n v="771"/>
    <n v="9861"/>
    <s v="drpapalee@gmail.com"/>
    <s v="OGUNLAJA oluwaseun abdulquadri"/>
    <s v="7, williams awodein, oko-oba GRA scheme 1, agege"/>
    <x v="1"/>
    <s v="massey street children hospital"/>
    <x v="1"/>
    <n v="8055351938"/>
    <s v="firstsitting"/>
    <x v="2"/>
    <x v="1"/>
    <s v="Ibadan"/>
    <s v="NGN"/>
    <n v="812500"/>
    <s v=""/>
    <n v="0"/>
    <s v=""/>
    <n v="162500"/>
    <s v=""/>
    <s v="98611771WACP344883434"/>
  </r>
  <r>
    <n v="772"/>
    <n v="22435"/>
    <s v="dianadonkor2003@yahoo.co.uk"/>
    <s v="DONKOR Diana Ama"/>
    <s v="Ogbojo Polyclinic, Adenta Municipal Health Directorate, Box AF1322 ,Accra Ghana "/>
    <x v="0"/>
    <s v="Ghana Health Service"/>
    <x v="2"/>
    <n v="233555368374"/>
    <s v="firstsitting"/>
    <x v="0"/>
    <x v="2"/>
    <s v="Accra"/>
    <s v="USD"/>
    <s v=""/>
    <n v="425"/>
    <s v=""/>
    <n v="85"/>
    <s v=""/>
    <n v="0"/>
    <s v="GHWACP531732570"/>
  </r>
  <r>
    <n v="773"/>
    <n v="24453"/>
    <s v="jobejim96@gmail.com"/>
    <s v="Jobe Jim "/>
    <s v="Jambur"/>
    <x v="1"/>
    <s v="Edward Francis Small Teaching Hospital"/>
    <x v="0"/>
    <n v="3476581"/>
    <s v="firstsitting"/>
    <x v="1"/>
    <x v="3"/>
    <s v="Banjul"/>
    <s v="NGN"/>
    <n v="195000"/>
    <s v=""/>
    <n v="0"/>
    <s v=""/>
    <n v="0"/>
    <s v=""/>
    <s v="244531773WACP12871337"/>
  </r>
  <r>
    <n v="774"/>
    <n v="24517"/>
    <s v="abiwotumininu@gmail.com"/>
    <s v="ABIWO Oluwatumininu Grace"/>
    <s v="B14,CBN Estate 2, Satellite town, Lagos state"/>
    <x v="0"/>
    <s v="Lagoon Hospitals, Ikoyi, Lagos, 17B Bourdillon road"/>
    <x v="1"/>
    <s v="08084239912"/>
    <s v="firstsitting"/>
    <x v="1"/>
    <x v="3"/>
    <s v="Ibadan"/>
    <s v="NGN"/>
    <n v="195000"/>
    <s v=""/>
    <n v="0"/>
    <s v=""/>
    <n v="0"/>
    <s v=""/>
    <s v="245171774WACP75674067"/>
  </r>
  <r>
    <n v="775"/>
    <n v="849"/>
    <s v="nimat.adeyemo@gmail.com"/>
    <s v="ADEYEMO nimota ajibike"/>
    <s v="No 58 aiyetoro street aguda surulere."/>
    <x v="0"/>
    <s v="Lagos University teaching hospital "/>
    <x v="1"/>
    <n v="8137377727"/>
    <s v="firstsitting"/>
    <x v="2"/>
    <x v="1"/>
    <s v="Ibadan"/>
    <s v="NGN"/>
    <n v="812500"/>
    <s v=""/>
    <n v="0"/>
    <s v=""/>
    <n v="162500"/>
    <s v=""/>
    <s v="8491775WACP794072244"/>
  </r>
  <r>
    <n v="776"/>
    <n v="22893"/>
    <s v="jisbalajo@outlook.com"/>
    <s v="BALAJO Jarra I.S"/>
    <s v="Banjul"/>
    <x v="0"/>
    <s v="Edward Francis small teaching hospital "/>
    <x v="0"/>
    <n v="-7568665"/>
    <s v="resitting"/>
    <x v="1"/>
    <x v="4"/>
    <s v="Banjul"/>
    <s v="NGN"/>
    <n v="195000"/>
    <s v=""/>
    <n v="0"/>
    <s v=""/>
    <n v="0"/>
    <s v=""/>
    <s v="228931776WACP477918181"/>
  </r>
  <r>
    <n v="777"/>
    <n v="22648"/>
    <s v="oyeosasuyi2@gmail.com"/>
    <s v="GEORGE-OSASUYI Oyenmwen "/>
    <s v="Infant Jesus Street, Off Godwin Abbe, Off Sapele Road, Benin City, Edo State."/>
    <x v="0"/>
    <s v="University of Benin Teaching Hospital, Benin City"/>
    <x v="1"/>
    <s v="08023322231"/>
    <s v="firstsitting"/>
    <x v="0"/>
    <x v="0"/>
    <s v="Abuja"/>
    <s v="NGN"/>
    <n v="552500"/>
    <s v=""/>
    <n v="0"/>
    <s v=""/>
    <n v="0"/>
    <s v=""/>
    <s v="226481777WACP656520204"/>
  </r>
  <r>
    <n v="778"/>
    <n v="767"/>
    <s v="austineokwesa@gmail.com"/>
    <s v="OKWESA Augustine  Ossai "/>
    <s v="Delta State University Teaching Hospital Oghara "/>
    <x v="1"/>
    <s v="Delta state university teaching hospital Oghara "/>
    <x v="1"/>
    <s v="07033292109"/>
    <s v="firstsitting"/>
    <x v="2"/>
    <x v="1"/>
    <s v="Ibadan"/>
    <s v="NGN"/>
    <n v="812500"/>
    <s v=""/>
    <n v="0"/>
    <s v=""/>
    <n v="162500"/>
    <s v=""/>
    <s v="7671778WACP321294385"/>
  </r>
  <r>
    <n v="779"/>
    <n v="8145"/>
    <s v="petervictoria18@gmail.com"/>
    <s v="AILENUBHI  Victoria  Omons"/>
    <s v="BLOCK 9, PLOT 21 LG GRA ILESHA RD AKURE"/>
    <x v="0"/>
    <s v="OBAFEMI AWOLOWO UNIVERSITY TEACHING HOSPITAL ILE-IFE"/>
    <x v="1"/>
    <s v="08077522041"/>
    <s v="resitting"/>
    <x v="0"/>
    <x v="3"/>
    <s v="Ibadan"/>
    <s v="NGN"/>
    <n v="552500"/>
    <s v=""/>
    <n v="0"/>
    <s v=""/>
    <n v="0"/>
    <s v=""/>
    <s v="81451779WACP691728639"/>
  </r>
  <r>
    <n v="780"/>
    <n v="5980"/>
    <s v="istifanusbintum@gmail.com"/>
    <s v="BAKO Istifanus Bintum "/>
    <s v="DEPARTMENT OF Child Health, JUTH, PMB 2076, JOS . PLATEAU STATE"/>
    <x v="1"/>
    <s v="JOS UNIVERSITY TEACHING HOSPITAL "/>
    <x v="1"/>
    <n v="8038884836"/>
    <s v="firstsitting"/>
    <x v="2"/>
    <x v="3"/>
    <s v="Abuja"/>
    <s v="NGN"/>
    <n v="812500"/>
    <s v=""/>
    <n v="0"/>
    <s v=""/>
    <n v="162500"/>
    <s v=""/>
    <s v="59801780WACP824870465"/>
  </r>
  <r>
    <n v="782"/>
    <n v="10577"/>
    <s v="drumarmohdh@gmail.com"/>
    <s v="HASSAN Umar Mohammed"/>
    <s v="Department of Medical Microbiology and Immunology Federal Teaching Hospital, PMB0037 Gombe "/>
    <x v="1"/>
    <s v="Federal Teaching Hospital Gombe, Gombe State"/>
    <x v="1"/>
    <n v="2347037895301"/>
    <s v="firstsitting"/>
    <x v="2"/>
    <x v="0"/>
    <s v="Ibadan"/>
    <s v="NGN"/>
    <n v="812500"/>
    <s v=""/>
    <n v="110500"/>
    <s v=""/>
    <n v="162500"/>
    <s v=""/>
    <s v="105771782WACP284623010"/>
  </r>
  <r>
    <n v="783"/>
    <n v="24240"/>
    <s v="terencebakare@gmail.com"/>
    <s v="BAKARE oluwaseun terence"/>
    <s v="9 adesanya drive agiliti estate Lagos"/>
    <x v="1"/>
    <s v="National pirogov memorial university vinitysa Ukraine"/>
    <x v="1"/>
    <s v="08026088050"/>
    <s v="firstsitting"/>
    <x v="1"/>
    <x v="1"/>
    <s v="Ibadan"/>
    <s v="NGN"/>
    <n v="195000"/>
    <s v=""/>
    <n v="0"/>
    <s v=""/>
    <n v="0"/>
    <s v=""/>
    <s v="242401783WACP110039971"/>
  </r>
  <r>
    <n v="784"/>
    <n v="24432"/>
    <s v="aishaibrahimkz@gmail.com"/>
    <s v="IBRAHIM Aisha "/>
    <s v="Zoo Road Kano"/>
    <x v="0"/>
    <s v="Hayatt University College Sudan"/>
    <x v="1"/>
    <s v="07032826040"/>
    <s v="firstsitting"/>
    <x v="1"/>
    <x v="1"/>
    <s v="Abuja"/>
    <s v="NGN"/>
    <n v="195000"/>
    <s v=""/>
    <n v="0"/>
    <s v=""/>
    <n v="0"/>
    <s v=""/>
    <s v="244321784WACP31332633"/>
  </r>
  <r>
    <n v="785"/>
    <n v="7924"/>
    <s v="halidubu22@gmail.com"/>
    <s v="SANI  Halima Aliyu"/>
    <s v="No. 9 Wurno Road, Badarawa Kaduna"/>
    <x v="0"/>
    <s v="Ahmadu Bello University Teaching Hospital Zaria "/>
    <x v="1"/>
    <n v="8038141104"/>
    <s v="firstsitting"/>
    <x v="2"/>
    <x v="0"/>
    <s v="Abuja"/>
    <s v="NGN"/>
    <n v="812500"/>
    <s v=""/>
    <n v="0"/>
    <s v=""/>
    <n v="162500"/>
    <s v=""/>
    <s v="79241785WACP389576861"/>
  </r>
  <r>
    <n v="786"/>
    <n v="10911"/>
    <s v="augustapatric@gmail.com"/>
    <s v="EZIRIM Augusta Chinaka"/>
    <s v="Department of Clinical Medicine, University of Port Harcourt Teaching Hospital, Port Harcourt"/>
    <x v="0"/>
    <s v="University of Port Harcourt Teaching Hospital, Port Harcourt"/>
    <x v="1"/>
    <n v="8038673056"/>
    <s v="resitting"/>
    <x v="0"/>
    <x v="0"/>
    <s v="Enugu"/>
    <s v="NGN"/>
    <n v="552500"/>
    <s v=""/>
    <n v="0"/>
    <s v=""/>
    <n v="0"/>
    <s v=""/>
    <s v="109111786WACP145514829"/>
  </r>
  <r>
    <n v="787"/>
    <n v="4051"/>
    <s v="drmbowemariam@gmail.com"/>
    <s v="JAW Mariam "/>
    <s v="Brufut Gardens plot 213 , Gambia "/>
    <x v="0"/>
    <s v="Edward Francis Small Teaching Hospital"/>
    <x v="0"/>
    <n v="2207998784"/>
    <s v="firstsitting"/>
    <x v="0"/>
    <x v="3"/>
    <s v="Banjul"/>
    <s v="NGN"/>
    <n v="552500"/>
    <s v=""/>
    <n v="0"/>
    <s v=""/>
    <n v="0"/>
    <s v=""/>
    <s v="40511787WACP991111132"/>
  </r>
  <r>
    <n v="788"/>
    <n v="24527"/>
    <s v="usierej@gmail.com"/>
    <s v="UWAKMFON Usiere Joseph"/>
    <s v="Abuja"/>
    <x v="0"/>
    <s v="Providence Multispecialty Hospital Asokoro Abuja"/>
    <x v="1"/>
    <s v="08169017530"/>
    <s v="firstsitting"/>
    <x v="1"/>
    <x v="3"/>
    <s v="Abuja"/>
    <s v="NGN"/>
    <n v="195000"/>
    <s v=""/>
    <n v="0"/>
    <s v=""/>
    <n v="0"/>
    <s v=""/>
    <s v="245271788WACP205850131"/>
  </r>
  <r>
    <n v="789"/>
    <n v="24162"/>
    <s v="bsackey44@gmail.com"/>
    <s v="SACKEY benjamin sakyi"/>
    <s v="P.O.BOX 277 TECHIMAN, GHANA"/>
    <x v="1"/>
    <s v="KORLE-BU TEACHING HOSPITAL"/>
    <x v="2"/>
    <s v="0246555770"/>
    <s v="firstsitting"/>
    <x v="1"/>
    <x v="3"/>
    <s v="Accra"/>
    <s v="USD"/>
    <s v=""/>
    <n v="150"/>
    <s v=""/>
    <n v="0"/>
    <s v=""/>
    <n v="0"/>
    <s v="GHWACP158032463"/>
  </r>
  <r>
    <n v="790"/>
    <n v="24531"/>
    <s v="ijusticeogba@gmail.com"/>
    <s v="OGBA Justice Ikojo"/>
    <s v="Asokoro District Hospital FCT Abuja"/>
    <x v="1"/>
    <s v="Asokoro District Hospital FCT Abuja"/>
    <x v="1"/>
    <s v="07031050454"/>
    <s v="firstsitting"/>
    <x v="1"/>
    <x v="0"/>
    <s v="Abuja"/>
    <s v="NGN"/>
    <n v="195000"/>
    <s v=""/>
    <n v="0"/>
    <s v=""/>
    <n v="0"/>
    <s v=""/>
    <s v="245311790WACP416016232"/>
  </r>
  <r>
    <n v="791"/>
    <n v="24169"/>
    <s v="donspart9@gmail.com"/>
    <s v="BENSON Onyema  "/>
    <s v="Springfield estate, Oke ira, Ajah, Lagos state"/>
    <x v="1"/>
    <s v="University of Jos"/>
    <x v="1"/>
    <s v="07067988624"/>
    <s v="firstsitting"/>
    <x v="1"/>
    <x v="0"/>
    <s v="Ibadan"/>
    <s v="NGN"/>
    <n v="195000"/>
    <s v=""/>
    <n v="0"/>
    <s v=""/>
    <n v="0"/>
    <s v=""/>
    <s v="241691791WACP681752576"/>
  </r>
  <r>
    <n v="792"/>
    <n v="24529"/>
    <s v="emmanuelisaac64@gmail.com"/>
    <s v="NGWU emmanuel isaac"/>
    <s v="3 chief obot street calabar"/>
    <x v="1"/>
    <s v="University of calabar"/>
    <x v="1"/>
    <s v="07032794452"/>
    <s v="firstsitting"/>
    <x v="1"/>
    <x v="1"/>
    <s v="Enugu"/>
    <s v="NGN"/>
    <n v="195000"/>
    <s v=""/>
    <n v="0"/>
    <s v=""/>
    <n v="0"/>
    <s v=""/>
    <s v="245291792WACP920601415"/>
  </r>
  <r>
    <n v="793"/>
    <n v="9115"/>
    <s v="memcee2007@yahoo.com"/>
    <s v="EKONG Edemanwan Ifiokobong "/>
    <s v="Joshua Close, Ifa, Uyo"/>
    <x v="0"/>
    <s v="University of Uyo Teaching Hospital "/>
    <x v="1"/>
    <n v="7032704997"/>
    <s v="firstsitting"/>
    <x v="0"/>
    <x v="2"/>
    <s v="Abuja"/>
    <s v="NGN"/>
    <n v="552500"/>
    <s v=""/>
    <n v="110500"/>
    <s v=""/>
    <n v="0"/>
    <s v=""/>
    <s v="91151793WACP326855640"/>
  </r>
  <r>
    <n v="794"/>
    <n v="2380"/>
    <s v="IDUZEBABA@GMAIL.COM"/>
    <s v="IDUZE Abdullahi  Aminu"/>
    <s v="Dept. of Population Health, ABUTH, PMB 06 Shika Zaria, Kaduna State"/>
    <x v="1"/>
    <s v="AHMADU BELLO UNIVERSITY TEACHING HOSPITAL ZARIA"/>
    <x v="1"/>
    <n v="8061672473"/>
    <s v="firstsitting"/>
    <x v="2"/>
    <x v="1"/>
    <s v="Abuja"/>
    <s v="NGN"/>
    <n v="812500"/>
    <s v=""/>
    <n v="0"/>
    <s v=""/>
    <n v="162500"/>
    <s v=""/>
    <s v="23801794WACP267924785"/>
  </r>
  <r>
    <n v="795"/>
    <n v="21353"/>
    <s v="talk2abeyiy@gmail.com"/>
    <s v="UGOGOH-ENOR  Abeyi  Deborah "/>
    <s v="Department of Population Health, Lagos University Teaching Hospital, Lagos "/>
    <x v="0"/>
    <s v="Department of Population Health, Lagos University Teaching Hospital, Idi-Araba, Lagos "/>
    <x v="1"/>
    <s v="07036457464"/>
    <s v="resitting"/>
    <x v="0"/>
    <x v="1"/>
    <s v="Ibadan"/>
    <s v="NGN"/>
    <n v="552500"/>
    <s v=""/>
    <n v="0"/>
    <s v=""/>
    <n v="0"/>
    <s v=""/>
    <s v="213531795WACP936282925"/>
  </r>
  <r>
    <n v="796"/>
    <n v="19610"/>
    <s v="edwinpero@gmail.com"/>
    <s v="DAVID Edwin "/>
    <s v="Tunfure near reservoir, Gombe, Gombe state "/>
    <x v="1"/>
    <s v="Federal Teaching Hospital Gombe, Gombe State."/>
    <x v="1"/>
    <s v="08120197276"/>
    <s v="firstsitting"/>
    <x v="0"/>
    <x v="3"/>
    <s v="Abuja"/>
    <s v="NGN"/>
    <n v="552500"/>
    <s v=""/>
    <n v="0"/>
    <s v=""/>
    <n v="0"/>
    <s v=""/>
    <s v="196101796WACP516577630"/>
  </r>
  <r>
    <n v="797"/>
    <n v="1495"/>
    <s v="abliegarba@yahoo.com"/>
    <s v="GARBA abdoulie "/>
    <s v="Brufut"/>
    <x v="1"/>
    <s v="EFSTH"/>
    <x v="0"/>
    <s v="002203601834"/>
    <s v="resitting"/>
    <x v="0"/>
    <x v="1"/>
    <s v="Banjul"/>
    <s v="NGN"/>
    <n v="552500"/>
    <s v=""/>
    <n v="0"/>
    <s v=""/>
    <n v="0"/>
    <s v=""/>
    <s v="14951797WACP773991881"/>
  </r>
  <r>
    <n v="798"/>
    <n v="18903"/>
    <s v="tumbad20@gmail.com"/>
    <s v="DELIA Tumba "/>
    <s v="L6 Umar crescent, Mando, Kaduna State"/>
    <x v="1"/>
    <s v="ABUTH Zaria Kaduna State"/>
    <x v="1"/>
    <n v="2348034951044"/>
    <s v="firstsitting"/>
    <x v="2"/>
    <x v="1"/>
    <s v="Abuja"/>
    <s v="NGN"/>
    <n v="812500"/>
    <s v=""/>
    <n v="0"/>
    <s v=""/>
    <n v="162500"/>
    <s v=""/>
    <s v="189031798WACP626644471"/>
  </r>
  <r>
    <n v="799"/>
    <n v="24482"/>
    <s v="Ozzdesmond@gmail.com"/>
    <s v="OZIEGBE Desmond Obianke"/>
    <s v="No 9 Chukwurah Ogelue street, off Okpanam road, Asaba, delta state."/>
    <x v="1"/>
    <s v="Ternopil national medical university"/>
    <x v="1"/>
    <s v="07046654671"/>
    <s v="firstsitting"/>
    <x v="1"/>
    <x v="3"/>
    <s v="Enugu"/>
    <s v="NGN"/>
    <n v="195000"/>
    <s v=""/>
    <n v="0"/>
    <s v=""/>
    <n v="0"/>
    <s v=""/>
    <s v="244821799WACP804420128"/>
  </r>
  <r>
    <n v="800"/>
    <n v="24434"/>
    <s v="i.ogbaji@yahoo.com"/>
    <s v="OGBAJI igala Cecilia"/>
    <s v="Lamingo,Jos,Plateau state"/>
    <x v="0"/>
    <s v="University of Jos"/>
    <x v="1"/>
    <s v="07034522378"/>
    <s v="firstsitting"/>
    <x v="1"/>
    <x v="1"/>
    <s v="Abuja"/>
    <s v="NGN"/>
    <n v="195000"/>
    <s v=""/>
    <n v="0"/>
    <s v=""/>
    <n v="0"/>
    <s v=""/>
    <s v="244341800WACP588263363"/>
  </r>
  <r>
    <n v="801"/>
    <n v="24492"/>
    <s v="peterajani50@gmail.com"/>
    <s v="AJANI Olalekan Peter"/>
    <s v="No 15 Adetayo ogunaike street off kosoko street Ojodu berger lagos state"/>
    <x v="1"/>
    <s v="Obafemi Awolowo college of health science Olabisi Onabanjo University"/>
    <x v="1"/>
    <s v="08060455152"/>
    <s v="firstsitting"/>
    <x v="1"/>
    <x v="0"/>
    <s v="Ibadan"/>
    <s v="NGN"/>
    <n v="195000"/>
    <s v=""/>
    <n v="0"/>
    <s v=""/>
    <n v="0"/>
    <s v=""/>
    <s v="244921801WACP29056151"/>
  </r>
  <r>
    <n v="802"/>
    <n v="16840"/>
    <s v="seanzyjane@yahoo.com"/>
    <s v="OVUOH Ifeanyichukwu "/>
    <s v="Department of pediatrics Federal Medical Centre Owerri, Orlu road, imo state "/>
    <x v="0"/>
    <s v="Federal University Teaching Hospital, Owerri"/>
    <x v="1"/>
    <s v="08032956566"/>
    <s v="firstsitting"/>
    <x v="2"/>
    <x v="1"/>
    <s v="Abuja"/>
    <s v="NGN"/>
    <n v="812500"/>
    <s v=""/>
    <n v="0"/>
    <s v=""/>
    <n v="162500"/>
    <s v=""/>
    <s v="168401802WACP774888821"/>
  </r>
  <r>
    <n v="803"/>
    <n v="4517"/>
    <s v="michaelworld007@gmail.com"/>
    <s v="EJOH Michael Nkeonye"/>
    <s v="62, OBODOAKPU, UMUEZE, IBUSA, DELTA STATE."/>
    <x v="1"/>
    <s v="Federal Medical Centre Asaba"/>
    <x v="1"/>
    <n v="8135759409"/>
    <s v="resitting"/>
    <x v="0"/>
    <x v="3"/>
    <s v="Abuja"/>
    <s v="NGN"/>
    <n v="552500"/>
    <s v=""/>
    <n v="0"/>
    <s v=""/>
    <n v="0"/>
    <s v=""/>
    <s v="45171803WACP765682266"/>
  </r>
  <r>
    <n v="804"/>
    <n v="16788"/>
    <s v="idowubello65@gmail.com"/>
    <s v="ALABI idowu Ezekiel"/>
    <s v="Ekiti State University Teaching Hospital Ado Ekiti"/>
    <x v="1"/>
    <s v="Ekiti State University Teaching Hospital Ado-Ekiti"/>
    <x v="1"/>
    <s v="0703886956"/>
    <s v="firstsitting"/>
    <x v="2"/>
    <x v="3"/>
    <s v="Ibadan"/>
    <s v="NGN"/>
    <n v="812500"/>
    <s v=""/>
    <n v="0"/>
    <s v=""/>
    <n v="162500"/>
    <s v=""/>
    <s v="167881804WACP842899250"/>
  </r>
  <r>
    <n v="805"/>
    <n v="9991"/>
    <s v="labisola@ymail.com"/>
    <s v="LAWAL Abisola Ayodele"/>
    <s v="Federal Neuropsychiatric Hospital, 8, Harvey Road, Yaba, Lagos, Nigeria."/>
    <x v="0"/>
    <s v="Federal Neuropsychiatric Hospital, Yaba, Lagos, Nigeria. "/>
    <x v="1"/>
    <n v="7035124963"/>
    <s v="firstsitting"/>
    <x v="2"/>
    <x v="4"/>
    <s v="Ibadan"/>
    <s v="NGN"/>
    <n v="812500"/>
    <s v=""/>
    <n v="0"/>
    <s v=""/>
    <n v="162500"/>
    <s v=""/>
    <s v="99911805WACP973699553"/>
  </r>
  <r>
    <n v="806"/>
    <n v="5120"/>
    <s v="kachollombot@yahoo.co.uk"/>
    <s v="BOT Kachollom  Gyang"/>
    <s v="Jos university Teaching Hospital"/>
    <x v="0"/>
    <s v="Jos university teaching hospital "/>
    <x v="1"/>
    <n v="8160662856"/>
    <s v="firstsitting"/>
    <x v="2"/>
    <x v="1"/>
    <s v="Abuja"/>
    <s v="NGN"/>
    <n v="812500"/>
    <s v=""/>
    <n v="0"/>
    <s v=""/>
    <n v="162500"/>
    <s v=""/>
    <s v="51201806WACP515682095"/>
  </r>
  <r>
    <n v="807"/>
    <n v="24137"/>
    <s v="kpedenrose206@gmail.com"/>
    <s v="KPEDEN Rose Dawn"/>
    <s v="No 6 tecce drive ehoro new layout estate, Elelenwo, port harcourt,rivers state"/>
    <x v="0"/>
    <s v="Deda hospital"/>
    <x v="1"/>
    <s v="0806 810 7091"/>
    <s v="firstsitting"/>
    <x v="1"/>
    <x v="0"/>
    <s v="Abuja"/>
    <s v="NGN"/>
    <n v="195000"/>
    <s v=""/>
    <n v="0"/>
    <s v=""/>
    <n v="0"/>
    <s v=""/>
    <s v="241371807WACP886155342"/>
  </r>
  <r>
    <n v="808"/>
    <n v="18932"/>
    <s v="thefemiafolayan@gmail.com"/>
    <s v="AFOLAYAN Olorunfemi Omotayo"/>
    <s v="12, Emir of Ilorin Street, Kulende Phase 3 Estate, Ilorin"/>
    <x v="1"/>
    <s v="University of Ilorin Teaching Hospital, Ilorin, Kwara State"/>
    <x v="1"/>
    <s v="08104358752"/>
    <s v="firstsitting"/>
    <x v="0"/>
    <x v="0"/>
    <s v="Ibadan"/>
    <s v="NGN"/>
    <n v="552500"/>
    <s v=""/>
    <n v="110500"/>
    <s v=""/>
    <n v="0"/>
    <s v=""/>
    <s v="189321808WACP605659866"/>
  </r>
  <r>
    <n v="809"/>
    <n v="24277"/>
    <s v="hashimr79c@gmail.com"/>
    <s v="HASHIM Rabiu "/>
    <s v="DEPARTMENT OF Population Health, FMC, GUSAU, ZAMFARA STATE"/>
    <x v="1"/>
    <s v="FEDERAL MEDICAL CENTER, GUSAU"/>
    <x v="1"/>
    <s v="09039435621"/>
    <s v="firstsitting"/>
    <x v="0"/>
    <x v="1"/>
    <s v="Abuja"/>
    <s v="NGN"/>
    <n v="552500"/>
    <s v=""/>
    <n v="0"/>
    <s v=""/>
    <n v="0"/>
    <s v=""/>
    <s v="242771809WACP480223800"/>
  </r>
  <r>
    <n v="810"/>
    <n v="19470"/>
    <s v="sidatjoof@gmail.com"/>
    <s v="JOOF Sidat "/>
    <n v="220"/>
    <x v="1"/>
    <s v="Edward Francis small teaching hospital "/>
    <x v="0"/>
    <n v="2203884957"/>
    <s v="firstsitting"/>
    <x v="0"/>
    <x v="3"/>
    <s v="Banjul"/>
    <s v="NGN"/>
    <n v="552500"/>
    <s v=""/>
    <n v="0"/>
    <s v=""/>
    <n v="0"/>
    <s v=""/>
    <s v="194701810WACP720070725"/>
  </r>
  <r>
    <n v="811"/>
    <n v="7224"/>
    <s v="landingpabi@gmail.com"/>
    <s v="JARJU Landing "/>
    <s v="Wellingara Kombo North, West Coast Region,The Gambia"/>
    <x v="1"/>
    <s v="Edward Francis Small Teaching Hospital"/>
    <x v="0"/>
    <s v="+220 2227262"/>
    <s v="firstsitting"/>
    <x v="0"/>
    <x v="3"/>
    <s v="Banjul"/>
    <s v="NGN"/>
    <n v="552500"/>
    <s v=""/>
    <n v="0"/>
    <s v=""/>
    <n v="0"/>
    <s v=""/>
    <s v="72241811WACP571886088"/>
  </r>
  <r>
    <n v="812"/>
    <n v="23685"/>
    <s v="ayansinayo@gmail.com"/>
    <s v="AYANSINA Ayomide David"/>
    <s v="E36, Abiola Quarters Moniya Ibadan Oyo State"/>
    <x v="1"/>
    <s v="Obafemi Awolowo University Teaching Hospital Ile-Ife"/>
    <x v="1"/>
    <s v="08062970668"/>
    <s v="resitting"/>
    <x v="1"/>
    <x v="3"/>
    <s v="Ibadan"/>
    <s v="NGN"/>
    <n v="195000"/>
    <s v=""/>
    <n v="0"/>
    <s v=""/>
    <n v="0"/>
    <s v=""/>
    <s v="236851812WACP636113908"/>
  </r>
  <r>
    <n v="813"/>
    <n v="24538"/>
    <s v="lordbukay@gmail.com"/>
    <s v="JONAH Buka Bright"/>
    <n v="2348088898205"/>
    <x v="1"/>
    <s v="Niger Delta University Wilberforce island, Bayelsa State"/>
    <x v="1"/>
    <n v="2348039373082"/>
    <s v="firstsitting"/>
    <x v="1"/>
    <x v="0"/>
    <s v="Enugu"/>
    <s v="NGN"/>
    <n v="195000"/>
    <s v=""/>
    <n v="0"/>
    <s v=""/>
    <n v="0"/>
    <s v=""/>
    <s v="245381813WACP258016811"/>
  </r>
  <r>
    <n v="814"/>
    <n v="19799"/>
    <s v="drboahen@yahoo.com"/>
    <s v="ATTA-BOAHEN Frederick "/>
    <s v="GZ-147-4168"/>
    <x v="1"/>
    <s v="Korle bu Teaching Hospital"/>
    <x v="2"/>
    <n v="233245275716"/>
    <s v="resitting"/>
    <x v="0"/>
    <x v="3"/>
    <s v="Accra"/>
    <s v="USD"/>
    <s v=""/>
    <n v="425"/>
    <s v=""/>
    <n v="0"/>
    <s v=""/>
    <n v="0"/>
    <s v="GHWACP89869351"/>
  </r>
  <r>
    <n v="815"/>
    <n v="24523"/>
    <s v="salmamainasara2012@gmail.com"/>
    <s v="MUHAMMAD  salma Mainasara"/>
    <s v="No 1 Agaie road sokoto"/>
    <x v="0"/>
    <s v="Uduth"/>
    <x v="1"/>
    <s v="08027607461"/>
    <s v="firstsitting"/>
    <x v="1"/>
    <x v="2"/>
    <s v="Abuja"/>
    <s v="NGN"/>
    <n v="195000"/>
    <s v=""/>
    <n v="0"/>
    <s v=""/>
    <n v="0"/>
    <s v=""/>
    <s v="245231815WACP202550889"/>
  </r>
  <r>
    <n v="816"/>
    <n v="24487"/>
    <s v="monsuruakinola@gmail.com"/>
    <s v="AKINOLA Monsuru Abiodun"/>
    <s v="33,ADURAGBEMI STREET KASO BUS STOP ALAGBADO Lagos State"/>
    <x v="1"/>
    <s v="LSPHCB"/>
    <x v="1"/>
    <s v="08056901437"/>
    <s v="firstsitting"/>
    <x v="1"/>
    <x v="0"/>
    <s v="Ibadan"/>
    <s v="NGN"/>
    <n v="195000"/>
    <s v=""/>
    <n v="0"/>
    <s v=""/>
    <n v="0"/>
    <s v=""/>
    <s v="244871816WACP83950781"/>
  </r>
  <r>
    <n v="817"/>
    <n v="16177"/>
    <s v="aishasuleiman1001@gmail.com"/>
    <s v="SULEIMAN Aisha  "/>
    <s v="Department of Population Health, Ahmadu Bello University Teaching Hospital, Zaria"/>
    <x v="0"/>
    <s v="Ahmadu Bello University Teaching Hospital, Zaria"/>
    <x v="1"/>
    <s v="08137847821"/>
    <s v="firstsitting"/>
    <x v="2"/>
    <x v="1"/>
    <s v="Abuja"/>
    <s v="NGN"/>
    <n v="812500"/>
    <s v=""/>
    <n v="0"/>
    <s v=""/>
    <n v="162500"/>
    <s v=""/>
    <s v="161771817WACP301982484"/>
  </r>
  <r>
    <n v="818"/>
    <n v="24126"/>
    <s v="luvlychristian1@hotmail.com"/>
    <s v="ACHEAMPONG Christiana Owusua"/>
    <s v="Post Office Box TL2089, Tamale, Ghana"/>
    <x v="0"/>
    <s v="Korlebu Teaching Hospital"/>
    <x v="2"/>
    <s v="0547189863"/>
    <s v="firstsitting"/>
    <x v="1"/>
    <x v="1"/>
    <s v="Accra"/>
    <s v="USD"/>
    <s v=""/>
    <n v="150"/>
    <s v=""/>
    <n v="0"/>
    <s v=""/>
    <n v="0"/>
    <s v="GHWACP484449708"/>
  </r>
  <r>
    <n v="819"/>
    <n v="23664"/>
    <s v="estherbereprebofa@gmail.com"/>
    <s v="MARK  Esther Edward "/>
    <s v="Road 6 block 54 flat 4 Okaka Housing Estate Okaka Yenagoa Bayelsa  State Nigeria"/>
    <x v="0"/>
    <s v="Federal Medical Centre Yenagoa Bayelsa State"/>
    <x v="1"/>
    <n v="2348033417101"/>
    <s v="resitting"/>
    <x v="1"/>
    <x v="3"/>
    <s v="Enugu"/>
    <s v="NGN"/>
    <n v="195000"/>
    <s v=""/>
    <n v="0"/>
    <s v=""/>
    <n v="0"/>
    <s v=""/>
    <s v="236641819WACP342148412"/>
  </r>
  <r>
    <n v="820"/>
    <n v="24540"/>
    <s v="ellypontiff@gmail.com"/>
    <s v="ELEAZER Godsent Ugochukwu"/>
    <s v="Ukaigwe Street Meneke house"/>
    <x v="1"/>
    <s v="Imo State University College of Medicine"/>
    <x v="1"/>
    <s v="08038405427"/>
    <s v="firstsitting"/>
    <x v="1"/>
    <x v="0"/>
    <s v="Enugu"/>
    <s v="NGN"/>
    <n v="195000"/>
    <s v=""/>
    <n v="0"/>
    <s v=""/>
    <n v="0"/>
    <s v=""/>
    <s v="245401820WACP674951003"/>
  </r>
  <r>
    <n v="821"/>
    <n v="1308"/>
    <s v="Pariskobe100908@gmail.com"/>
    <s v="IYAYI OSAGIE Osasogie Sandra"/>
    <s v="Road 16, House 9, Aho Estate, Ajibode .IBADAN"/>
    <x v="0"/>
    <s v="University College Hospital, Ibadan "/>
    <x v="1"/>
    <n v="8035452196"/>
    <s v="firstsitting"/>
    <x v="2"/>
    <x v="3"/>
    <s v="Abuja"/>
    <s v="NGN"/>
    <n v="812500"/>
    <s v=""/>
    <n v="0"/>
    <s v=""/>
    <n v="162500"/>
    <s v=""/>
    <s v="13081821WACP671773954"/>
  </r>
  <r>
    <n v="822"/>
    <n v="24316"/>
    <s v="abasifrekearchibong96@gmail.com"/>
    <s v="ARCHIBONG Abasi-Ifreke Aniefiok"/>
    <s v="Km 1/2 New Ife Road, Ibadan"/>
    <x v="0"/>
    <s v="Toun Memorial Specialist Hospital"/>
    <x v="1"/>
    <s v="09036303783"/>
    <s v="firstsitting"/>
    <x v="1"/>
    <x v="2"/>
    <s v="Ibadan"/>
    <s v="NGN"/>
    <n v="195000"/>
    <s v=""/>
    <n v="0"/>
    <s v=""/>
    <n v="0"/>
    <s v=""/>
    <s v="243161822WACP780471536"/>
  </r>
  <r>
    <n v="823"/>
    <n v="347"/>
    <s v="kelechi.moses12@gmail.com"/>
    <s v="IKEKWE KELECHI MOSES"/>
    <s v="DEPARTMENT OF Population Health, DALHATU ARAF SPECIALIST HOSPITAL, LAFIA, PMB 007"/>
    <x v="1"/>
    <s v="DALHATU ARAF SPECIALIST HOSPITAL, LAFIA, NASARAWA STATE"/>
    <x v="1"/>
    <s v="08038872043"/>
    <s v="resitting"/>
    <x v="0"/>
    <x v="1"/>
    <s v="Abuja"/>
    <s v="NGN"/>
    <n v="552500"/>
    <s v=""/>
    <n v="0"/>
    <s v=""/>
    <n v="0"/>
    <s v=""/>
    <s v="3471823WACP984968668"/>
  </r>
  <r>
    <n v="824"/>
    <n v="20275"/>
    <s v="bakpandakyes@gmail.com"/>
    <s v="DAKYES bakpan Gumwesh"/>
    <s v="No. 68 Alheri street, Good luck Jonathan Road, Jos plateau state "/>
    <x v="1"/>
    <s v="Jos university Teaching hospital"/>
    <x v="1"/>
    <s v="07035714160"/>
    <s v="firstsitting"/>
    <x v="0"/>
    <x v="3"/>
    <s v="Abuja"/>
    <s v="NGN"/>
    <n v="552500"/>
    <s v=""/>
    <n v="0"/>
    <s v=""/>
    <n v="0"/>
    <s v=""/>
    <s v="202751824WACP107569934"/>
  </r>
  <r>
    <n v="825"/>
    <n v="8517"/>
    <s v="ojuosen@gmail.com"/>
    <s v="Sunday ADANAS  "/>
    <s v="Department of child health , University of Benin teaching hospital"/>
    <x v="1"/>
    <s v="University of Benin Teaching Hospital"/>
    <x v="1"/>
    <n v="8062306951"/>
    <s v="firstsitting"/>
    <x v="2"/>
    <x v="1"/>
    <s v="Ibadan"/>
    <s v="NGN"/>
    <n v="812500"/>
    <s v=""/>
    <n v="0"/>
    <s v=""/>
    <n v="162500"/>
    <s v=""/>
    <s v="85171825WACP964500820"/>
  </r>
  <r>
    <n v="826"/>
    <n v="7815"/>
    <s v="pearllybrenda@gmail.com"/>
    <s v="NNOKAM Brenda Anyakwe"/>
    <s v="Main Lodge, Chinda Estate, UST Road, Nkpolu Oroworukwo, Port Harcourt"/>
    <x v="0"/>
    <s v="Ekubaptist Hospital, Eku, Delta State"/>
    <x v="1"/>
    <n v="2348037096865"/>
    <s v="firstsitting"/>
    <x v="2"/>
    <x v="0"/>
    <s v="Ibadan"/>
    <s v="NGN"/>
    <n v="812500"/>
    <s v=""/>
    <n v="0"/>
    <s v=""/>
    <n v="162500"/>
    <s v=""/>
    <s v="78151826WACP873909414"/>
  </r>
  <r>
    <n v="827"/>
    <n v="11456"/>
    <s v="salaam.notime@gmail.com"/>
    <s v="Abdulmalik ABDULSALAM "/>
    <s v="F211 tunga low-cost minna  niger state"/>
    <x v="1"/>
    <s v="Usmanu Danfodio University Sokoto"/>
    <x v="1"/>
    <n v="8032610229"/>
    <s v="firstsitting"/>
    <x v="2"/>
    <x v="0"/>
    <s v="Ibadan"/>
    <s v="NGN"/>
    <n v="812500"/>
    <s v=""/>
    <n v="110500"/>
    <s v=""/>
    <n v="162500"/>
    <s v=""/>
    <s v="114561827WACP172852219"/>
  </r>
  <r>
    <n v="828"/>
    <n v="15945"/>
    <s v="adegbitemf@gmail.com"/>
    <s v="ADEGBITE  mojisola florence"/>
    <s v="Idi-aba, FMC,Abeokuta, Ogun, State."/>
    <x v="0"/>
    <s v="FMC, Abeokuta."/>
    <x v="1"/>
    <n v="8066688810"/>
    <s v="passeddissert"/>
    <x v="2"/>
    <x v="3"/>
    <s v="Ibadan"/>
    <s v="NGN"/>
    <n v="812500"/>
    <s v=""/>
    <n v="0"/>
    <s v=""/>
    <n v="0"/>
    <s v=""/>
    <s v="159451828WACP150963659"/>
  </r>
  <r>
    <n v="829"/>
    <n v="24359"/>
    <s v="jshinab@gmail.com"/>
    <s v="BABATUNDE JAMIU SHINA"/>
    <s v="57, Atere Compound, Oke Anifowoshe, Ilorin, Kwara State"/>
    <x v="1"/>
    <s v="University of Ilorin, Ilorin, Kwara State"/>
    <x v="1"/>
    <s v="08136488775"/>
    <s v="firstsitting"/>
    <x v="1"/>
    <x v="0"/>
    <s v="Ibadan"/>
    <s v="NGN"/>
    <n v="195000"/>
    <s v=""/>
    <n v="0"/>
    <s v=""/>
    <n v="0"/>
    <s v=""/>
    <s v="243591829WACP198093585"/>
  </r>
  <r>
    <n v="830"/>
    <n v="24436"/>
    <s v="ifeomadom_chima@yahoo.com"/>
    <s v="DOM-CHIMA Ifeoma Chinyere"/>
    <s v="FEDERAL TEACHING HOSPITAL, OWERRI"/>
    <x v="0"/>
    <s v="IVANO-FRANKIVSK NATIONAL MEDICAL UNIVERSITY, UKRAINE"/>
    <x v="1"/>
    <s v="08149484142"/>
    <s v="firstsitting"/>
    <x v="1"/>
    <x v="3"/>
    <s v="Enugu"/>
    <s v="NGN"/>
    <n v="195000"/>
    <s v=""/>
    <n v="0"/>
    <s v=""/>
    <n v="0"/>
    <s v=""/>
    <s v="244361830WACP319705578"/>
  </r>
  <r>
    <n v="831"/>
    <n v="24534"/>
    <s v="akyeapatrick@gmail.com"/>
    <s v="AKYEA Patrick Okae"/>
    <s v="NO.7 RIDGEWAY 4 BN UADDARA BARRACKS KUMASI"/>
    <x v="1"/>
    <s v="KATH"/>
    <x v="2"/>
    <s v="0549853273"/>
    <s v="firstsitting"/>
    <x v="1"/>
    <x v="4"/>
    <s v="Accra"/>
    <s v="USD"/>
    <s v=""/>
    <n v="150"/>
    <s v=""/>
    <n v="0"/>
    <s v=""/>
    <n v="0"/>
    <s v="GHWACP835058463"/>
  </r>
  <r>
    <n v="832"/>
    <n v="18995"/>
    <s v="emeraldbee1@gmail.com"/>
    <s v="BELLO Amina Idris "/>
    <s v="Road 4, house 119, Aldenco estate, Galadimawa, Abuja "/>
    <x v="0"/>
    <s v="Elrazi university "/>
    <x v="1"/>
    <s v="08142784394"/>
    <s v="firstsitting"/>
    <x v="0"/>
    <x v="2"/>
    <s v="Abuja"/>
    <s v="NGN"/>
    <n v="552500"/>
    <s v=""/>
    <n v="110500"/>
    <s v=""/>
    <n v="0"/>
    <s v=""/>
    <s v="189951832WACP703872180"/>
  </r>
  <r>
    <n v="833"/>
    <n v="24544"/>
    <s v="asothaddnnamdi@gmail.com"/>
    <s v="ASOGWA Thaddeus Nnamdi"/>
    <s v="No 10 Ganaja Street, Lokoja, Kogi State"/>
    <x v="1"/>
    <s v="University Of Nigeria, Nsukka"/>
    <x v="1"/>
    <s v="07062909752"/>
    <s v="firstsitting"/>
    <x v="1"/>
    <x v="0"/>
    <s v="Enugu"/>
    <s v="NGN"/>
    <n v="195000"/>
    <s v=""/>
    <n v="0"/>
    <s v=""/>
    <n v="0"/>
    <s v=""/>
    <s v="245441833WACP426801954"/>
  </r>
  <r>
    <n v="834"/>
    <n v="24526"/>
    <s v="aishaadamabdullahi1@gmail.com"/>
    <s v="Abdullahi Aisha Adam"/>
    <s v="09034272412"/>
    <x v="0"/>
    <s v="Kano Independent Research Centre Trust"/>
    <x v="1"/>
    <s v="09034272412"/>
    <s v="firstsitting"/>
    <x v="1"/>
    <x v="2"/>
    <s v="Abuja"/>
    <s v="NGN"/>
    <n v="195000"/>
    <s v=""/>
    <n v="0"/>
    <s v=""/>
    <n v="0"/>
    <s v=""/>
    <s v="245261834WACP644720049"/>
  </r>
  <r>
    <n v="835"/>
    <n v="6749"/>
    <s v="amanyidavid88@gmail.com"/>
    <s v="AMANYI David Ochola"/>
    <s v="Department of Clinical Medicine, Jos University Teaching Hospital P.M.B 2076, Jos"/>
    <x v="1"/>
    <s v="Jos University Teaching Hospital"/>
    <x v="1"/>
    <n v="8063318876"/>
    <s v="firstsitting"/>
    <x v="2"/>
    <x v="0"/>
    <s v="Abuja"/>
    <s v="NGN"/>
    <n v="812500"/>
    <s v=""/>
    <n v="0"/>
    <s v=""/>
    <n v="162500"/>
    <s v=""/>
    <s v="67491835WACP319059464"/>
  </r>
  <r>
    <n v="836"/>
    <n v="9801"/>
    <s v="harunakunnah@gmail.com"/>
    <s v="KUNNAH HARUNA CHRISTABEL"/>
    <s v="NO 31 AJIJI KAZE STREET ISHONG AGWOM JOS PLATEAU STATE NIGERIA"/>
    <x v="0"/>
    <s v="UNIVERSITY OF JOS"/>
    <x v="1"/>
    <s v="08063081047"/>
    <s v="firstsitting"/>
    <x v="0"/>
    <x v="1"/>
    <s v="Abuja"/>
    <s v="NGN"/>
    <n v="552500"/>
    <s v=""/>
    <n v="0"/>
    <s v=""/>
    <n v="0"/>
    <s v=""/>
    <s v="98011836WACP761523021"/>
  </r>
  <r>
    <n v="837"/>
    <n v="20850"/>
    <s v="emintahbenyin@gmail.com"/>
    <s v="MINTAH-BENYIN Emmanuel "/>
    <s v="GPHA Clinic, P.O.Box 488, Community 2 ,Tema."/>
    <x v="1"/>
    <s v="University of Ghana Medical School"/>
    <x v="2"/>
    <n v="233243588428"/>
    <s v="firstsitting"/>
    <x v="0"/>
    <x v="2"/>
    <s v="Accra"/>
    <s v="NGN"/>
    <n v="552500"/>
    <s v=""/>
    <n v="110500"/>
    <s v=""/>
    <n v="0"/>
    <s v=""/>
    <s v="GHWACP372870426"/>
  </r>
  <r>
    <n v="838"/>
    <n v="24533"/>
    <s v="lailabubakar@icloud.com"/>
    <s v="ABUBAKAR Laila Omale"/>
    <s v="Jasmine Drive, Kafe Garden Estate"/>
    <x v="0"/>
    <s v="Vinnitsya National Medical University, Vinnitsya, Ukraine"/>
    <x v="1"/>
    <s v="07083167611"/>
    <s v="firstsitting"/>
    <x v="1"/>
    <x v="3"/>
    <s v="Abuja"/>
    <s v="NGN"/>
    <n v="195000"/>
    <s v=""/>
    <n v="0"/>
    <s v=""/>
    <n v="0"/>
    <s v=""/>
    <s v="245331838WACP758847375"/>
  </r>
  <r>
    <n v="839"/>
    <n v="11103"/>
    <s v="dashilongtong@gmail.com"/>
    <s v="NEPYIL  Longtong  Chinplang"/>
    <s v="Jos University Teaching Hospital"/>
    <x v="0"/>
    <s v="Jos University Teaching Hospital "/>
    <x v="1"/>
    <n v="8163917731"/>
    <s v="firstsitting"/>
    <x v="0"/>
    <x v="1"/>
    <s v="Abuja"/>
    <s v="NGN"/>
    <n v="552500"/>
    <s v=""/>
    <n v="0"/>
    <s v=""/>
    <n v="0"/>
    <s v=""/>
    <s v="111031839WACP132521948"/>
  </r>
  <r>
    <n v="840"/>
    <n v="22484"/>
    <s v="justiciaamisah@gmail.com"/>
    <s v="AMISAH Justicia "/>
    <s v="Directorate of Child Health,KATH,Kumasi"/>
    <x v="0"/>
    <s v="Komfo Anokye Teaching Hospital"/>
    <x v="2"/>
    <n v="233207994961"/>
    <s v="resitting"/>
    <x v="0"/>
    <x v="1"/>
    <s v="Accra"/>
    <s v="USD"/>
    <s v=""/>
    <n v="425"/>
    <s v=""/>
    <n v="0"/>
    <s v=""/>
    <n v="0"/>
    <s v="GHWACP847081146"/>
  </r>
  <r>
    <n v="841"/>
    <n v="18823"/>
    <s v="beninamma2@gmail.com"/>
    <s v="BENIN Amma Sakyiwah Manu "/>
    <s v="P O Box KD 816 Kanda Accra"/>
    <x v="0"/>
    <s v="International Maritime Hospital "/>
    <x v="2"/>
    <n v="233264611206"/>
    <s v="firstsitting"/>
    <x v="2"/>
    <x v="1"/>
    <s v="Accra"/>
    <s v="USD"/>
    <s v=""/>
    <n v="625"/>
    <s v=""/>
    <n v="0"/>
    <s v=""/>
    <n v="125"/>
    <s v="GHWACP518310889"/>
  </r>
  <r>
    <n v="842"/>
    <n v="22455"/>
    <s v="wumps92@gmail.com"/>
    <s v="IDDRISU MARIAMA WUMPINI"/>
    <s v="5E GBAWE BANK QUARTERS ROAD"/>
    <x v="0"/>
    <s v="KORLE BU TEACHING HOSPITAL "/>
    <x v="2"/>
    <s v="0554301246"/>
    <s v="resitting"/>
    <x v="0"/>
    <x v="3"/>
    <s v="Accra"/>
    <s v="USD"/>
    <s v=""/>
    <n v="425"/>
    <s v=""/>
    <n v="0"/>
    <s v=""/>
    <n v="0"/>
    <s v="GHWACP888149988"/>
  </r>
  <r>
    <n v="843"/>
    <n v="22365"/>
    <s v="kwasiyeboahkk@gmail.com"/>
    <s v="KYEREMEH Bill Gyau"/>
    <s v="Accra Psychiatric Hospital"/>
    <x v="1"/>
    <s v="Accra Psychiatric Hospital"/>
    <x v="2"/>
    <s v="0208739352"/>
    <s v="firstsitting"/>
    <x v="0"/>
    <x v="4"/>
    <s v="Accra"/>
    <s v="USD"/>
    <s v=""/>
    <n v="425"/>
    <s v=""/>
    <n v="0"/>
    <s v=""/>
    <n v="0"/>
    <s v="GHWACP701847954"/>
  </r>
  <r>
    <n v="844"/>
    <n v="24520"/>
    <s v="babysaad37@gmail.com"/>
    <s v="SAAD Aisha Yusuf"/>
    <s v="No 35c Rahma close, Tudun wada, Kaduna"/>
    <x v="0"/>
    <s v="Ahmadu Bello University Teaching Hospital"/>
    <x v="1"/>
    <s v="07065553573"/>
    <s v="firstsitting"/>
    <x v="1"/>
    <x v="1"/>
    <s v="Abuja"/>
    <s v="NGN"/>
    <n v="195000"/>
    <s v=""/>
    <n v="0"/>
    <s v=""/>
    <n v="0"/>
    <s v=""/>
    <s v="245201844WACP141958114"/>
  </r>
  <r>
    <n v="845"/>
    <n v="23784"/>
    <s v="lawizajamilu@yahoo.com"/>
    <s v="JAMILU LAWIZA ADAMU"/>
    <s v="NO 24 AHMED JODA CRESCENT,KADO ESTATE ABUJA"/>
    <x v="0"/>
    <s v="OCTOBER 6TH UNIVERSITY EGYPT"/>
    <x v="1"/>
    <s v="08037342248"/>
    <s v="resitting"/>
    <x v="1"/>
    <x v="3"/>
    <s v="Abuja"/>
    <s v="NGN"/>
    <n v="195000"/>
    <s v=""/>
    <n v="0"/>
    <s v=""/>
    <n v="0"/>
    <s v=""/>
    <s v="237841845WACP718531895"/>
  </r>
  <r>
    <n v="846"/>
    <n v="24430"/>
    <s v="adaobidoris0@gmail.com"/>
    <s v="AGBO ADAOBI OBINNA"/>
    <s v="House 2, road 24, trans ekulu upper north, Enugu state"/>
    <x v="0"/>
    <s v="Madonna university, Elele Nigeria"/>
    <x v="1"/>
    <s v="08132252551"/>
    <s v="firstsitting"/>
    <x v="1"/>
    <x v="4"/>
    <s v="Abuja"/>
    <s v="NGN"/>
    <n v="195000"/>
    <s v=""/>
    <n v="0"/>
    <s v=""/>
    <n v="0"/>
    <s v=""/>
    <s v="244301846WACP205766254"/>
  </r>
  <r>
    <n v="848"/>
    <n v="24542"/>
    <s v="dkokakan@gmail.com"/>
    <s v="DAVID Kokakan Luke"/>
    <s v="No1 Otokopiri, Imiringi. Bayelsa state"/>
    <x v="1"/>
    <s v="Niger Delta University Teaching Hospital"/>
    <x v="1"/>
    <s v="08163727716"/>
    <s v="firstsitting"/>
    <x v="1"/>
    <x v="2"/>
    <s v="Enugu"/>
    <s v="NGN"/>
    <n v="195000"/>
    <s v=""/>
    <n v="0"/>
    <s v=""/>
    <n v="0"/>
    <s v=""/>
    <s v="245421848WACP164640614"/>
  </r>
  <r>
    <n v="849"/>
    <n v="23814"/>
    <s v="adongo.kelvin@ymail.com"/>
    <s v="Adongo kelvin  ayindulme"/>
    <s v="GN-1110-5237  Coastal Estates, Afienya, Ningo Prampram Accra Ghana"/>
    <x v="1"/>
    <s v="Ghana Armed Forces Health Services"/>
    <x v="2"/>
    <s v="(233)0507096370"/>
    <s v="firstsitting"/>
    <x v="1"/>
    <x v="3"/>
    <s v="Accra"/>
    <s v="USD"/>
    <s v=""/>
    <n v="150"/>
    <s v=""/>
    <n v="0"/>
    <s v=""/>
    <n v="0"/>
    <s v="GHWACP672963634"/>
  </r>
  <r>
    <n v="850"/>
    <n v="21629"/>
    <s v="khadijahhyusuf@icloud.com"/>
    <s v="YUSUF  Khadijah  Abba"/>
    <s v="Tudun Wada Makarfi Nepa Road Kaduna state."/>
    <x v="0"/>
    <s v="Ahfad University for women Sudan"/>
    <x v="1"/>
    <s v="09037533998"/>
    <s v="resitting"/>
    <x v="1"/>
    <x v="1"/>
    <s v="Abuja"/>
    <s v="NGN"/>
    <n v="195000"/>
    <s v=""/>
    <n v="0"/>
    <s v=""/>
    <n v="0"/>
    <s v=""/>
    <s v="216291850WACP90436738"/>
  </r>
  <r>
    <n v="851"/>
    <n v="20989"/>
    <s v="ojeleyes99@gmail.com"/>
    <s v="OJELEYE  Abass  Oyewande "/>
    <s v="No 17, Idasa street, Igbara Odo Ekiti "/>
    <x v="1"/>
    <s v="Federal Medical center Owo, Ondo state "/>
    <x v="1"/>
    <s v="08064899832"/>
    <s v="firstsitting"/>
    <x v="0"/>
    <x v="2"/>
    <s v="Ibadan"/>
    <s v="NGN"/>
    <n v="552500"/>
    <s v=""/>
    <n v="110500"/>
    <s v=""/>
    <n v="0"/>
    <s v=""/>
    <s v="209891851WACP826338754"/>
  </r>
  <r>
    <n v="852"/>
    <n v="24473"/>
    <s v="elouisjr@gmail.com"/>
    <s v="NTERFUL JNR Emmanuel Louis"/>
    <s v="34 Calabassas Ave, Airport Hills"/>
    <x v="1"/>
    <s v="Accra Medical Center"/>
    <x v="2"/>
    <n v="233532707874"/>
    <s v="firstsitting"/>
    <x v="1"/>
    <x v="3"/>
    <s v="Accra"/>
    <s v="USD"/>
    <s v=""/>
    <n v="150"/>
    <s v=""/>
    <n v="0"/>
    <s v=""/>
    <n v="0"/>
    <s v="GHWACP801770835"/>
  </r>
  <r>
    <n v="855"/>
    <n v="3745"/>
    <s v="drtaofeekrafiu87@gmail.com"/>
    <s v="TAOFEEK  Rafiu  Babatunde"/>
    <s v="Federal Teaching Hospital, katsina"/>
    <x v="1"/>
    <s v="Federal Teaching Hospital, Katsina."/>
    <x v="1"/>
    <s v="08062827104"/>
    <s v="firstsitting"/>
    <x v="2"/>
    <x v="1"/>
    <s v="Abuja"/>
    <s v="NGN"/>
    <n v="812500"/>
    <s v=""/>
    <n v="0"/>
    <s v=""/>
    <n v="162500"/>
    <s v=""/>
    <s v="37451855WACP912712021"/>
  </r>
  <r>
    <n v="856"/>
    <n v="19308"/>
    <s v="zenyaro@yahoo.com"/>
    <s v="YARO ZENABU "/>
    <s v="P.O. Box MP 968"/>
    <x v="0"/>
    <s v="Korle Bu Teaching Hospital "/>
    <x v="2"/>
    <s v="0201371070"/>
    <s v="resitting"/>
    <x v="0"/>
    <x v="3"/>
    <s v="Accra"/>
    <s v="USD"/>
    <s v=""/>
    <n v="425"/>
    <s v=""/>
    <n v="0"/>
    <s v=""/>
    <n v="0"/>
    <s v="GHWACP234935318"/>
  </r>
  <r>
    <n v="857"/>
    <n v="6229"/>
    <s v="akande_emmanuel2003@yahoo.com"/>
    <s v="AKANDE Emmanuel  Oluwatimilehin "/>
    <s v="No 14,zone c, Adekola Area, behind CAC Agbala Itura, new ife road, Ibadan "/>
    <x v="1"/>
    <s v="Obafemi Awolowo University Teaching Hospital complex, ile ife, osun state "/>
    <x v="1"/>
    <s v="07069662751"/>
    <s v="firstsitting"/>
    <x v="2"/>
    <x v="0"/>
    <s v="Ibadan"/>
    <s v="NGN"/>
    <n v="812500"/>
    <s v=""/>
    <n v="0"/>
    <s v=""/>
    <n v="162500"/>
    <s v=""/>
    <s v="62291857WACP1106057"/>
  </r>
  <r>
    <n v="858"/>
    <n v="23802"/>
    <s v="utibe.thompson@gmail.com"/>
    <s v="THOMPSON Utibe Godfrey"/>
    <s v="97 Jebs Road, Calabar South, Calabar, CRS"/>
    <x v="1"/>
    <s v="University of Calabar Teaching Hospital"/>
    <x v="1"/>
    <n v="2347064554287"/>
    <s v="firstsitting"/>
    <x v="0"/>
    <x v="3"/>
    <s v="Enugu"/>
    <s v="NGN"/>
    <n v="552500"/>
    <s v=""/>
    <n v="0"/>
    <s v=""/>
    <n v="0"/>
    <s v=""/>
    <s v="238021858WACP831349496"/>
  </r>
  <r>
    <n v="859"/>
    <n v="24536"/>
    <s v="beejayis@yahoo.com"/>
    <s v="INAOLAJI Bolaji Biodun"/>
    <s v="81,Adekola Zone A1,Iyana Agbala, off New Ife Road, Ibadan,Oyo State Nigeria"/>
    <x v="1"/>
    <s v="University College Hospital Ibadan"/>
    <x v="1"/>
    <s v="08035860376"/>
    <s v="firstsitting"/>
    <x v="1"/>
    <x v="4"/>
    <s v="Ibadan"/>
    <s v="NGN"/>
    <n v="195000"/>
    <s v=""/>
    <n v="0"/>
    <s v=""/>
    <n v="0"/>
    <s v=""/>
    <s v="245361859WACP251175077"/>
  </r>
  <r>
    <n v="860"/>
    <n v="23983"/>
    <s v="tofy.debo@gmail.com"/>
    <s v="ADEBOWALE  JESUTOFUNMI ISEOLUWA"/>
    <s v="10, Old Ilaro Road, Opeoluwa, Ita-oshin, Abeokuta, Nigeria"/>
    <x v="0"/>
    <s v="University of Ibadan"/>
    <x v="1"/>
    <s v="08189493028"/>
    <s v="firstsitting"/>
    <x v="1"/>
    <x v="4"/>
    <s v="Ibadan"/>
    <s v="NGN"/>
    <n v="195000"/>
    <s v=""/>
    <n v="0"/>
    <s v=""/>
    <n v="0"/>
    <s v=""/>
    <s v="239831860WACP90256069"/>
  </r>
  <r>
    <n v="861"/>
    <n v="22457"/>
    <s v="chibuebemchukwu17@gmail.com"/>
    <s v="CHUKWU Chibuebem Joshua"/>
    <s v="6 Gori Close Abuja"/>
    <x v="1"/>
    <s v="Garki Hospital Abuja"/>
    <x v="1"/>
    <n v="2348036863776"/>
    <s v="firstsitting"/>
    <x v="0"/>
    <x v="1"/>
    <s v="Abuja"/>
    <s v="NGN"/>
    <n v="552500"/>
    <s v=""/>
    <n v="0"/>
    <s v=""/>
    <n v="0"/>
    <s v=""/>
    <s v="224571861WACP690558686"/>
  </r>
  <r>
    <n v="862"/>
    <n v="21768"/>
    <s v="maimunaaminu8@gmail.com"/>
    <s v="ABUBAKAR Maimuna Aminu"/>
    <s v="No. 1A, Justice Aloma Mukhtar Street, Anthem Estate"/>
    <x v="0"/>
    <s v="University of Abuja, Abuja, Nigeria."/>
    <x v="1"/>
    <n v="238032367444"/>
    <s v="firstsitting"/>
    <x v="1"/>
    <x v="0"/>
    <s v="Abuja"/>
    <s v="NGN"/>
    <n v="195000"/>
    <s v=""/>
    <n v="0"/>
    <s v=""/>
    <n v="0"/>
    <s v=""/>
    <s v="217681862WACP202854419"/>
  </r>
  <r>
    <n v="863"/>
    <n v="21217"/>
    <s v="peacefullbuchi@yahoo.com"/>
    <s v="OFODILE  Esther  Onyebuchi "/>
    <s v="No1, 5th avenue, 4th dimension New heaven, Enugu "/>
    <x v="0"/>
    <s v="ESUT Teaching Hospital, Parklane, Enugu "/>
    <x v="1"/>
    <n v="2348120110088"/>
    <s v="resitting"/>
    <x v="0"/>
    <x v="1"/>
    <s v="Enugu"/>
    <s v="NGN"/>
    <n v="552500"/>
    <s v=""/>
    <n v="0"/>
    <s v=""/>
    <n v="0"/>
    <s v=""/>
    <s v="212171863WACP185715701"/>
  </r>
  <r>
    <n v="864"/>
    <n v="20736"/>
    <s v="awo.ruth.longjohn@gmail.com"/>
    <s v="LAWRENCE Ruth Awolanyeofori"/>
    <s v="Plot 7, Block 11, Road 22, Federal housing estate, Woji, Portharcourt"/>
    <x v="0"/>
    <s v="University of Portharcourt Teaching Hospital"/>
    <x v="1"/>
    <s v="08034270390"/>
    <s v="firstsitting"/>
    <x v="0"/>
    <x v="2"/>
    <s v="Abuja"/>
    <s v="NGN"/>
    <n v="552500"/>
    <s v=""/>
    <n v="110500"/>
    <s v=""/>
    <n v="0"/>
    <s v=""/>
    <s v="207361864WACP218704191"/>
  </r>
  <r>
    <n v="865"/>
    <n v="20496"/>
    <s v="Emieneokopi@gmail.com"/>
    <s v="OKOPI comfort emiene"/>
    <s v="No 2 Ngoabi lane ,Narayi highcost Kaduna"/>
    <x v="0"/>
    <s v="BENUE STATE UNIVERSITY"/>
    <x v="1"/>
    <s v="07062637756"/>
    <s v="firstsitting"/>
    <x v="0"/>
    <x v="0"/>
    <s v="Abuja"/>
    <s v="NGN"/>
    <n v="552500"/>
    <s v=""/>
    <n v="0"/>
    <s v=""/>
    <n v="0"/>
    <s v=""/>
    <s v="204961865WACP357500093"/>
  </r>
  <r>
    <n v="866"/>
    <n v="24545"/>
    <s v="asuwetimothy@gmail.com"/>
    <s v="ASUWE Timothy Terkula"/>
    <s v="Opp bnarda quarters off gboko road makurdi"/>
    <x v="1"/>
    <s v="VN Karazin Kharkov national university Ukraine"/>
    <x v="1"/>
    <s v="09049702670"/>
    <s v="firstsitting"/>
    <x v="1"/>
    <x v="3"/>
    <s v="Abuja"/>
    <s v="NGN"/>
    <n v="195000"/>
    <s v=""/>
    <n v="0"/>
    <s v=""/>
    <n v="0"/>
    <s v=""/>
    <s v="245451866WACP236444393"/>
  </r>
  <r>
    <n v="867"/>
    <n v="19655"/>
    <s v="ishakubaba205@gmail.com"/>
    <s v="BABA Ishaku Azael"/>
    <s v="BABA&amp;#039;S RESIDENCE BEHIND ALL SAINTS COLLEGE FEDERAL LOWCOST GOMBE"/>
    <x v="1"/>
    <s v="FEDERAL TEACHING HOSPITAL GOMBE STATE"/>
    <x v="1"/>
    <s v="08034797487"/>
    <s v="resitting"/>
    <x v="0"/>
    <x v="1"/>
    <s v="Abuja"/>
    <s v="NGN"/>
    <n v="552500"/>
    <s v=""/>
    <n v="0"/>
    <s v=""/>
    <n v="0"/>
    <s v=""/>
    <s v="196551867WACP522008572"/>
  </r>
  <r>
    <n v="868"/>
    <n v="242"/>
    <s v="Arisekola1_a@yahoo.com"/>
    <s v=" SHODIYA Azeez Arisekola"/>
    <s v="10 Tijani street, off Moricas road, Agege, Lagos state."/>
    <x v="1"/>
    <s v="Lagos State University Teaching Hospital, Ikeja, Lagos state."/>
    <x v="1"/>
    <n v="7031517017"/>
    <s v="firstsitting"/>
    <x v="2"/>
    <x v="1"/>
    <s v="Ibadan"/>
    <s v="NGN"/>
    <n v="812500"/>
    <s v=""/>
    <n v="0"/>
    <s v=""/>
    <n v="162500"/>
    <s v=""/>
    <s v="2421868WACP777516355"/>
  </r>
  <r>
    <n v="869"/>
    <n v="24502"/>
    <s v="samuelatsen1000@gmail.com"/>
    <s v="ATSEN Samuel Edoh"/>
    <s v="Plateau hospital doctor&amp;#039;s quarters"/>
    <x v="1"/>
    <s v="Plateau Specialist Hospital Jos."/>
    <x v="1"/>
    <s v="07031551072"/>
    <s v="firstsitting"/>
    <x v="1"/>
    <x v="0"/>
    <s v="Abuja"/>
    <s v="NGN"/>
    <n v="195000"/>
    <s v=""/>
    <n v="0"/>
    <s v=""/>
    <n v="0"/>
    <s v=""/>
    <s v="245021869WACP422985650"/>
  </r>
  <r>
    <n v="870"/>
    <n v="24543"/>
    <s v="kkboy@rocketmail.com"/>
    <s v="LAWAL nura "/>
    <s v="SSQ 1, General Hospital Danmusa"/>
    <x v="1"/>
    <s v="Ahmadu Bello University, Zaria"/>
    <x v="1"/>
    <s v="07063228808"/>
    <s v="firstsitting"/>
    <x v="1"/>
    <x v="4"/>
    <s v="Abuja"/>
    <s v="NGN"/>
    <n v="195000"/>
    <s v=""/>
    <n v="0"/>
    <s v=""/>
    <n v="0"/>
    <s v=""/>
    <s v="245431870WACP751436076"/>
  </r>
  <r>
    <n v="871"/>
    <n v="20051"/>
    <s v="mammansalihu@yahoo.com"/>
    <s v="MAMMAN  salihu  "/>
    <s v="Department of Child Health, federal medical center Bida Niger state "/>
    <x v="1"/>
    <s v="Federal medical center, Bida"/>
    <x v="1"/>
    <s v="07037728200"/>
    <s v="firstsitting"/>
    <x v="0"/>
    <x v="3"/>
    <s v="Abuja"/>
    <s v="NGN"/>
    <n v="552500"/>
    <s v=""/>
    <n v="0"/>
    <s v=""/>
    <n v="0"/>
    <s v=""/>
    <s v="200511871WACP161974195"/>
  </r>
  <r>
    <n v="872"/>
    <n v="24506"/>
    <s v="onotublessing5@gmail.com"/>
    <s v="ONOTU Blessing Ometere"/>
    <s v="07065552745"/>
    <x v="0"/>
    <s v="Bingham University"/>
    <x v="1"/>
    <s v="07065552745"/>
    <s v="firstsitting"/>
    <x v="1"/>
    <x v="1"/>
    <s v="Abuja"/>
    <s v="NGN"/>
    <n v="195000"/>
    <s v=""/>
    <n v="0"/>
    <s v=""/>
    <n v="0"/>
    <s v=""/>
    <s v="245061872WACP926292810"/>
  </r>
  <r>
    <n v="873"/>
    <n v="8310"/>
    <s v="psomhi@gmail.com"/>
    <s v="IKHURIONAN ughiemosomhi pamela"/>
    <s v="1, Osarobomwen, Street, Off Upper Lawani, Benin City, Edo State, Nigeria"/>
    <x v="0"/>
    <s v="university of benin teaching hospital"/>
    <x v="1"/>
    <n v="7062042534"/>
    <s v="firstsitting"/>
    <x v="2"/>
    <x v="0"/>
    <s v="Ibadan"/>
    <s v="NGN"/>
    <n v="812500"/>
    <s v=""/>
    <n v="0"/>
    <s v=""/>
    <n v="162500"/>
    <s v=""/>
    <s v="83101873WACP763553712"/>
  </r>
  <r>
    <n v="874"/>
    <n v="20257"/>
    <s v="uyossuccess@yahoo.com"/>
    <s v="OFOH-OGHOUNU Uyoyou "/>
    <s v="9 Prince Iweanya Ogeah Avenue, Back of McDons, Okpanam Road, Asaba, Delta State."/>
    <x v="0"/>
    <s v="Asaba Specialist Hospital, Asaba, Delta State"/>
    <x v="1"/>
    <s v="08068561927"/>
    <s v="firstsitting"/>
    <x v="0"/>
    <x v="0"/>
    <s v="Enugu"/>
    <s v="NGN"/>
    <n v="552500"/>
    <s v=""/>
    <n v="0"/>
    <s v=""/>
    <n v="0"/>
    <s v=""/>
    <s v="202571874WACP367969382"/>
  </r>
  <r>
    <n v="875"/>
    <n v="19671"/>
    <s v="chinyereabigail610@gmail.com"/>
    <s v="ADINLOFU  Abigail  Chinyere"/>
    <s v="Asaba Specialist Hospital "/>
    <x v="0"/>
    <s v="Madonna University"/>
    <x v="1"/>
    <s v="08166989159"/>
    <s v="firstsitting"/>
    <x v="0"/>
    <x v="0"/>
    <s v="Enugu"/>
    <s v="NGN"/>
    <n v="552500"/>
    <s v=""/>
    <n v="0"/>
    <s v=""/>
    <n v="0"/>
    <s v=""/>
    <s v="196711875WACP820601184"/>
  </r>
  <r>
    <n v="876"/>
    <n v="18489"/>
    <s v="talk2drkon@gmail.com"/>
    <s v="OLUA Kingsley Nnamdi"/>
    <s v="Umunna Layout phase 2,Ubomiri,Imo State"/>
    <x v="1"/>
    <s v="Federal Teaching Hospital Owerri"/>
    <x v="1"/>
    <s v="08038236357"/>
    <s v="firstsitting"/>
    <x v="1"/>
    <x v="0"/>
    <s v="Enugu"/>
    <s v="NGN"/>
    <n v="195000"/>
    <s v=""/>
    <n v="0"/>
    <s v=""/>
    <n v="0"/>
    <s v=""/>
    <s v="184891876WACP259345360"/>
  </r>
  <r>
    <n v="877"/>
    <n v="8751"/>
    <s v="Ogundejioluyemie@gmail.com"/>
    <s v="OGUNDEJI oluyemi Enoch "/>
    <s v="Clinical Medicine department, Ahmadu bello university,"/>
    <x v="1"/>
    <s v="Ahmadu Bello University Teaching Hospital, Zaria"/>
    <x v="1"/>
    <s v="08069153201"/>
    <s v="passedorals"/>
    <x v="2"/>
    <x v="0"/>
    <s v="Abuja"/>
    <s v="NGN"/>
    <n v="812500"/>
    <s v=""/>
    <n v="0"/>
    <s v=""/>
    <n v="162500"/>
    <s v=""/>
    <s v="87511877WACP268476120"/>
  </r>
  <r>
    <n v="878"/>
    <n v="24528"/>
    <s v="usmanyunusamuhd@gmail.com"/>
    <s v="MUHD Usman Yunusa"/>
    <s v="FUTH, Lafia, Nasarawa State"/>
    <x v="1"/>
    <s v="FUTH, Lafia, Nasarawa State"/>
    <x v="1"/>
    <s v="08061256666"/>
    <s v="firstsitting"/>
    <x v="1"/>
    <x v="2"/>
    <s v="Abuja"/>
    <s v="NGN"/>
    <n v="195000"/>
    <s v=""/>
    <n v="0"/>
    <s v=""/>
    <n v="0"/>
    <s v=""/>
    <s v="245281878WACP260602117"/>
  </r>
  <r>
    <n v="879"/>
    <n v="24206"/>
    <s v="rabaa@live.com"/>
    <s v="Dantata Adawiyya Mahmud Ila"/>
    <s v="rabaa@live.com"/>
    <x v="0"/>
    <s v="None"/>
    <x v="1"/>
    <s v="08079400330"/>
    <s v="firstsitting"/>
    <x v="1"/>
    <x v="2"/>
    <s v="Abuja"/>
    <s v="NGN"/>
    <n v="195000"/>
    <s v=""/>
    <n v="0"/>
    <s v=""/>
    <n v="0"/>
    <s v=""/>
    <s v="242061879WACP208525554"/>
  </r>
  <r>
    <n v="880"/>
    <n v="21364"/>
    <s v="uduakusanga@yahoo.com"/>
    <s v="USANGA Uduak Ime"/>
    <s v="DEPARTMENT OF COMMUNITY MEDICINE, UNIVERSITY OF UYO TEACHING HOSPITAL, UYO"/>
    <x v="0"/>
    <s v="DEPARTMENT OF COMMUNITY MEDICINE, UNIVERSITY OF UYO TEACHING HOSPITAL, UYO"/>
    <x v="1"/>
    <s v="08023462817"/>
    <s v="firstsitting"/>
    <x v="0"/>
    <x v="2"/>
    <s v="Abuja"/>
    <s v="NGN"/>
    <n v="552500"/>
    <s v=""/>
    <n v="110500"/>
    <s v=""/>
    <n v="0"/>
    <s v=""/>
    <s v="213641880WACP521798581"/>
  </r>
  <r>
    <n v="881"/>
    <n v="24420"/>
    <s v="brownemi@yahoo.com"/>
    <s v="ENAHOLO Emike Adela"/>
    <s v="713 sentinel crescent durumi Abuja"/>
    <x v="0"/>
    <s v="Medical Doctor"/>
    <x v="1"/>
    <s v="08100532428"/>
    <s v="firstsitting"/>
    <x v="1"/>
    <x v="0"/>
    <s v="Abuja"/>
    <s v="NGN"/>
    <n v="195000"/>
    <s v=""/>
    <n v="0"/>
    <s v=""/>
    <n v="0"/>
    <s v=""/>
    <s v="244201881WACP70472408"/>
  </r>
  <r>
    <n v="882"/>
    <n v="1344"/>
    <s v="Nuraddeenbindawa@yahoo.com"/>
    <s v="IBRAHIM Nuraddeen Bindawa"/>
    <s v="No. 29 Mashi Crescent Kofar Marusa Lowcost, Katsina"/>
    <x v="1"/>
    <s v="Federal Teaching Hospital Katsina"/>
    <x v="1"/>
    <s v="08036538136"/>
    <s v="firstsitting"/>
    <x v="2"/>
    <x v="3"/>
    <s v="Ibadan"/>
    <s v="NGN"/>
    <n v="812500"/>
    <s v=""/>
    <n v="0"/>
    <s v=""/>
    <n v="162500"/>
    <s v=""/>
    <s v="13441882WACP345040030"/>
  </r>
  <r>
    <n v="884"/>
    <n v="20944"/>
    <s v="stanleyidun@gmail.com"/>
    <s v="YAIDOO Stanley  Kweku"/>
    <s v="CG-0464-1418"/>
    <x v="1"/>
    <s v="Awutu Senya East Municipal Health  Directorate "/>
    <x v="2"/>
    <s v="0268843906"/>
    <s v="firstsitting"/>
    <x v="0"/>
    <x v="2"/>
    <s v="Accra"/>
    <s v="USD"/>
    <s v=""/>
    <n v="425"/>
    <s v=""/>
    <n v="85"/>
    <s v=""/>
    <n v="0"/>
    <s v="GHWACP522107944"/>
  </r>
  <r>
    <n v="885"/>
    <n v="20117"/>
    <s v="charmingjummy@yahoo.com"/>
    <s v="OLATUNJI  Oluwatobiloba  Opemipo"/>
    <s v="Odore, off Egbejila, Ilorin"/>
    <x v="0"/>
    <s v="University of Ilorin teaching hospital "/>
    <x v="1"/>
    <s v="08055736700"/>
    <s v="firstsitting"/>
    <x v="0"/>
    <x v="0"/>
    <s v="Ibadan"/>
    <s v="NGN"/>
    <n v="552500"/>
    <s v=""/>
    <n v="0"/>
    <s v=""/>
    <n v="0"/>
    <s v=""/>
    <s v="201171885WACP319499377"/>
  </r>
  <r>
    <n v="886"/>
    <n v="3364"/>
    <s v="shelenc8@yahoo.com"/>
    <s v="OGUNFOWOKAN  oluwasegun "/>
    <s v="BLOCK 1A OBUDU ROAD PHASE I ESTATE KUJE ROAD GWAGWALADA FCT ABUJA "/>
    <x v="1"/>
    <s v="UNIVERSITY OF ABUJA TEACHING HOSPITAL ABUJANG "/>
    <x v="1"/>
    <s v="07032636620"/>
    <s v="firstsitting"/>
    <x v="0"/>
    <x v="0"/>
    <s v="Abuja"/>
    <s v="NGN"/>
    <n v="552500"/>
    <s v=""/>
    <n v="0"/>
    <s v=""/>
    <n v="0"/>
    <s v=""/>
    <s v="33641886WACP97835493"/>
  </r>
  <r>
    <n v="887"/>
    <n v="2691"/>
    <s v="Mohammadfatimahk@yahoo.com"/>
    <s v="MOHAMMED  Fatimah "/>
    <s v="Department of Population Health"/>
    <x v="0"/>
    <s v="Federal Medical Centre, Abuja"/>
    <x v="1"/>
    <n v="2348034494894"/>
    <s v="passedorals"/>
    <x v="2"/>
    <x v="1"/>
    <s v="Abuja"/>
    <s v="NGN"/>
    <n v="812500"/>
    <s v=""/>
    <n v="0"/>
    <s v=""/>
    <n v="162500"/>
    <s v=""/>
    <s v="26911887WACP415564311"/>
  </r>
  <r>
    <n v="888"/>
    <n v="20990"/>
    <s v="jkonadu@ug.edu.gh"/>
    <s v="KONADU Josephyne Bertha"/>
    <s v="#10 Mensa Brodi Avenue"/>
    <x v="0"/>
    <s v="University Hospital, Legon"/>
    <x v="2"/>
    <n v="233267775522"/>
    <s v="firstsitting"/>
    <x v="0"/>
    <x v="2"/>
    <s v="Accra"/>
    <s v="NGN"/>
    <n v="552500"/>
    <s v=""/>
    <n v="110500"/>
    <s v=""/>
    <n v="0"/>
    <s v=""/>
    <s v="GHWACP262024403"/>
  </r>
  <r>
    <n v="889"/>
    <n v="3547"/>
    <s v="wlsnamuta@yahoo.com"/>
    <s v="AMUTA Wilson Ehi"/>
    <s v="D15 flat 1, 24th street, Games village, Abuja."/>
    <x v="1"/>
    <s v="University of Abuja Teaching Hospital Gwagwalada "/>
    <x v="1"/>
    <s v="+234(0)7038523400"/>
    <s v="firstsitting"/>
    <x v="0"/>
    <x v="0"/>
    <s v="Abuja"/>
    <s v="NGN"/>
    <n v="552500"/>
    <s v=""/>
    <n v="0"/>
    <s v=""/>
    <n v="0"/>
    <s v=""/>
    <s v="35471889WACP504835416"/>
  </r>
  <r>
    <n v="890"/>
    <n v="24350"/>
    <s v="aliyukhadeeja456@gmail.com"/>
    <s v="ALIYU Khadija "/>
    <s v="House 14, 21 road kado estate abuja"/>
    <x v="0"/>
    <s v="Nile university of nigeria"/>
    <x v="1"/>
    <n v="2348033822164"/>
    <s v="firstsitting"/>
    <x v="1"/>
    <x v="1"/>
    <s v="Abuja"/>
    <s v="NGN"/>
    <n v="195000"/>
    <s v=""/>
    <n v="0"/>
    <s v=""/>
    <n v="0"/>
    <s v=""/>
    <s v="243501890WACP148251385"/>
  </r>
  <r>
    <n v="891"/>
    <n v="21338"/>
    <s v="onolivermbam@gmail.com"/>
    <s v="ONWE oliver mbam C."/>
    <s v="F1, AEFUTHA 1 RESIDENTS&amp;#039; QUARTERS"/>
    <x v="1"/>
    <s v="Alex-Ekwueme Federal University Teaching Hospital Abakaliki, Ebonyi State"/>
    <x v="1"/>
    <s v="08030941425"/>
    <s v="firstsitting"/>
    <x v="2"/>
    <x v="1"/>
    <s v="Abuja"/>
    <s v="NGN"/>
    <n v="812500"/>
    <s v=""/>
    <n v="0"/>
    <s v=""/>
    <n v="162500"/>
    <s v=""/>
    <s v="GHWACP490845916"/>
  </r>
  <r>
    <n v="892"/>
    <n v="24547"/>
    <s v="rthdarrah5@gmail.com"/>
    <s v="CLOTTEY Ruth Yawa"/>
    <s v="Ashaley Botwe"/>
    <x v="0"/>
    <s v="KORLE-BU TEACHING HOSPITAL"/>
    <x v="2"/>
    <s v="0244595110"/>
    <s v="firstsitting"/>
    <x v="1"/>
    <x v="2"/>
    <s v="Accra"/>
    <s v="USD"/>
    <s v=""/>
    <n v="150"/>
    <s v=""/>
    <n v="0"/>
    <s v=""/>
    <n v="0"/>
    <s v="GHWACP603507784"/>
  </r>
  <r>
    <n v="893"/>
    <n v="195"/>
    <s v="buraky2k@gmail.com"/>
    <s v="BURAK Victor Nathaniel Yitamson"/>
    <s v="ADJ LABOUR ESTATE TUMFURE,  GOMBE,  GOMBE STATE"/>
    <x v="1"/>
    <s v="FEDERAL TEACHING HOSPITAL, GOMBE"/>
    <x v="1"/>
    <n v="2348024695405"/>
    <s v="firstsitting"/>
    <x v="2"/>
    <x v="1"/>
    <s v="Abuja"/>
    <s v="NGN"/>
    <n v="812500"/>
    <s v=""/>
    <n v="0"/>
    <s v=""/>
    <n v="162500"/>
    <s v=""/>
    <s v="1951893WACP323348277"/>
  </r>
  <r>
    <n v="894"/>
    <n v="6915"/>
    <s v="brightestd2k@yahoo.co.uk"/>
    <s v="UMUFO Bright Akpesiri"/>
    <s v="Dept. of Child Health, Federal Medical Center, Abeokuta "/>
    <x v="1"/>
    <s v="Federal Medical Center, Abeokuta, Ogun State "/>
    <x v="1"/>
    <s v="07036410416"/>
    <s v="firstsitting"/>
    <x v="0"/>
    <x v="3"/>
    <s v="Ibadan"/>
    <s v="NGN"/>
    <n v="552500"/>
    <s v=""/>
    <n v="0"/>
    <s v=""/>
    <n v="0"/>
    <s v=""/>
    <s v="69151894WACP901414679"/>
  </r>
  <r>
    <n v="895"/>
    <n v="21883"/>
    <s v="firdawsesh@gmail.com"/>
    <s v="SULEIMAN Fatima Firdausi"/>
    <s v="Trevean Apartments, Jahi, Abuja"/>
    <x v="0"/>
    <s v="DSS Medical Centre, Abuja"/>
    <x v="1"/>
    <s v="08140889088"/>
    <s v="resitting"/>
    <x v="1"/>
    <x v="0"/>
    <s v="Abuja"/>
    <s v="NGN"/>
    <n v="195000"/>
    <s v=""/>
    <n v="0"/>
    <s v=""/>
    <n v="0"/>
    <s v=""/>
    <s v="218831895WACP378022683"/>
  </r>
  <r>
    <n v="896"/>
    <n v="4738"/>
    <s v="koholdennis@gmail.com"/>
    <s v="KOHOL Terhemen  Dennis"/>
    <s v="Plot 884, Gwagwalada Expansion, Kutunku 2."/>
    <x v="1"/>
    <s v="University of Abuja Teaching Hospital (UATH)"/>
    <x v="1"/>
    <n v="2348169254333"/>
    <s v="firstsitting"/>
    <x v="0"/>
    <x v="0"/>
    <s v="Abuja"/>
    <s v="NGN"/>
    <n v="552500"/>
    <s v=""/>
    <n v="0"/>
    <s v=""/>
    <n v="0"/>
    <s v=""/>
    <s v="47381896WACP569867947"/>
  </r>
  <r>
    <n v="897"/>
    <n v="1253"/>
    <s v="amehabdul@gmail.com"/>
    <s v="AMEH Abdul "/>
    <s v="DEPT. OF Child Health,"/>
    <x v="1"/>
    <s v=" UNIVERSITY OF ABUJA TEACHING HOSPITAL GWAGWALADA FCT"/>
    <x v="1"/>
    <n v="8032175017"/>
    <s v="casebookdissert"/>
    <x v="2"/>
    <x v="3"/>
    <s v="Abuja"/>
    <s v="NGN"/>
    <n v="812500"/>
    <s v=""/>
    <n v="0"/>
    <s v=""/>
    <n v="0"/>
    <s v=""/>
    <s v="12531897WACP268513854"/>
  </r>
  <r>
    <n v="898"/>
    <n v="22967"/>
    <s v="pharmacophiliac@gmail.com"/>
    <s v="AJAYI Babajide Oladapo"/>
    <s v="Block 33, Shomolu Avenue, Dolphin Estate, Ikoyi, Lagos"/>
    <x v="1"/>
    <s v="General Hospital, Odan, Lagos"/>
    <x v="1"/>
    <n v="2348060314362"/>
    <s v="resitting"/>
    <x v="1"/>
    <x v="4"/>
    <s v="Ibadan"/>
    <s v="NGN"/>
    <n v="195000"/>
    <s v=""/>
    <n v="0"/>
    <s v=""/>
    <n v="0"/>
    <s v=""/>
    <s v="229671898WACP103494892"/>
  </r>
  <r>
    <n v="899"/>
    <n v="21286"/>
    <s v="finiuzo@gmail.com"/>
    <s v="AKUBUEZE  Fyne Chisom"/>
    <s v="Department of Community Medicine, Federal Medical Centre, Owo "/>
    <x v="0"/>
    <s v="Federal Medical Centre, Owo"/>
    <x v="1"/>
    <s v="08032579040"/>
    <s v="firstsitting"/>
    <x v="0"/>
    <x v="2"/>
    <s v="Ibadan"/>
    <s v="NGN"/>
    <n v="552500"/>
    <s v=""/>
    <n v="110500"/>
    <s v=""/>
    <n v="0"/>
    <s v=""/>
    <s v="212861899WACP236934619"/>
  </r>
  <r>
    <n v="900"/>
    <n v="6929"/>
    <s v="ebunlomosigri@gmail.com"/>
    <s v="IGRI Ebunlomo  Samuel"/>
    <s v="University of Uyo Teaching Hospital, Uyo, Akwa ibom state, P.M.B 1136, Uyo, Akwa ibom state "/>
    <x v="0"/>
    <s v="University of Uyo Teaching Hospital, Uyo, Akwa ibom state, P.M.B 1136,"/>
    <x v="1"/>
    <n v="2348031536569"/>
    <s v="passedorals"/>
    <x v="2"/>
    <x v="1"/>
    <s v="Ibadan"/>
    <s v="NGN"/>
    <n v="812500"/>
    <s v=""/>
    <n v="0"/>
    <s v=""/>
    <n v="162500"/>
    <s v=""/>
    <s v="69291900WACP369714797"/>
  </r>
  <r>
    <n v="901"/>
    <n v="19345"/>
    <s v="zuma4sumy2017@gmail.com"/>
    <s v="Umar Zaharadeen Abbas"/>
    <s v="Federal Neuropsychiatric Hospital, PMB 1322 Baga road maiduguri"/>
    <x v="1"/>
    <s v="Federal Neuropsychiatric Hospital,  Maiduguri"/>
    <x v="1"/>
    <s v="08034829086"/>
    <s v="firstsitting"/>
    <x v="2"/>
    <x v="4"/>
    <s v="Ibadan"/>
    <s v="NGN"/>
    <n v="812500"/>
    <s v=""/>
    <n v="0"/>
    <s v=""/>
    <n v="162500"/>
    <s v=""/>
    <s v="193451901WACP416310859"/>
  </r>
  <r>
    <n v="902"/>
    <n v="5968"/>
    <s v="usmanolatoyekehinde@gmail.com"/>
    <s v="OLATOYE kehinde usman"/>
    <s v="FEDERAL TEACHING HOSPITAL, KATSINA"/>
    <x v="1"/>
    <s v="FEDERAL TEACHING HOSPITAL KATSINA"/>
    <x v="1"/>
    <s v="07036101723"/>
    <s v="firstsitting"/>
    <x v="2"/>
    <x v="0"/>
    <s v="Abuja"/>
    <s v="NGN"/>
    <n v="812500"/>
    <s v=""/>
    <n v="0"/>
    <s v=""/>
    <n v="162500"/>
    <s v=""/>
    <s v="59681902WACP961929338"/>
  </r>
  <r>
    <n v="903"/>
    <n v="21878"/>
    <s v="jonahsantosjoshua@gmail.com"/>
    <s v="JOSHUA Jonah Chawai"/>
    <s v="LOW COST NGURU YOBE STATE"/>
    <x v="1"/>
    <s v="FEDERAL MEDICAL CENTRE NGURU YOBE STATE"/>
    <x v="1"/>
    <n v="2348066293880"/>
    <s v="firstsitting"/>
    <x v="1"/>
    <x v="2"/>
    <s v="Abuja"/>
    <s v="NGN"/>
    <n v="195000"/>
    <s v=""/>
    <n v="0"/>
    <s v=""/>
    <n v="0"/>
    <s v=""/>
    <s v="218781903WACP981332928"/>
  </r>
  <r>
    <n v="904"/>
    <n v="24548"/>
    <s v="anintamusa447@gmail.com"/>
    <s v="MUSA Aninta Florence"/>
    <s v="NO 2B YETSON SCHOOL STREET, MAHUTA KADUNA,"/>
    <x v="0"/>
    <s v="Kaduna State University, Kaduna"/>
    <x v="1"/>
    <s v="09076343569"/>
    <s v="firstsitting"/>
    <x v="1"/>
    <x v="4"/>
    <s v="Abuja"/>
    <s v="NGN"/>
    <n v="195000"/>
    <s v=""/>
    <n v="0"/>
    <s v=""/>
    <n v="0"/>
    <s v=""/>
    <s v="245481904WACP760334069"/>
  </r>
  <r>
    <n v="905"/>
    <n v="10653"/>
    <s v="oluwaseyisadeojo@yahoo.com"/>
    <s v="OJO Oluwaseyi Folasade"/>
    <s v="Department of Community Medicine, University College Hospital, Ibadan, Oyo State, Nigeria"/>
    <x v="0"/>
    <s v="University College Hospital, Ibadan, Oyo State, Nigeria"/>
    <x v="1"/>
    <s v="08056160878"/>
    <s v="firstsitting"/>
    <x v="2"/>
    <x v="2"/>
    <s v="Ibadan"/>
    <s v="NGN"/>
    <n v="812500"/>
    <s v=""/>
    <n v="0"/>
    <s v=""/>
    <n v="162500"/>
    <s v=""/>
    <s v="106531905WACP359334467"/>
  </r>
  <r>
    <n v="906"/>
    <n v="24524"/>
    <s v="chritomil@yahoo.com"/>
    <s v="JONES Victoria  Christine Mildred"/>
    <s v="22A Green Lane , Freetown"/>
    <x v="0"/>
    <s v="Ministry of Health"/>
    <x v="3"/>
    <n v="23276228500"/>
    <s v="firstsitting"/>
    <x v="1"/>
    <x v="0"/>
    <s v="Freetown"/>
    <s v="NGN"/>
    <n v="195000"/>
    <s v=""/>
    <n v="0"/>
    <s v=""/>
    <n v="0"/>
    <s v=""/>
    <s v="245241906WACP334122223"/>
  </r>
  <r>
    <n v="907"/>
    <n v="863"/>
    <s v="chumamaduka@yahoo.com"/>
    <s v="MADUKA Chukwuma Uchenna"/>
    <s v="dept of medicineNAUTH NNEWIAnambra state"/>
    <x v="1"/>
    <s v="NNAMDI AZIKIWE UNIVERSITY TEACHING HOSPITAL NNEWI"/>
    <x v="1"/>
    <s v="08037433621"/>
    <s v="resitting"/>
    <x v="0"/>
    <x v="3"/>
    <s v="Enugu"/>
    <s v="NGN"/>
    <n v="552500"/>
    <s v=""/>
    <n v="0"/>
    <s v=""/>
    <n v="0"/>
    <s v=""/>
    <s v="8631907WACP964971204"/>
  </r>
  <r>
    <n v="908"/>
    <n v="9325"/>
    <s v="gloriajoseph058@gmail.com"/>
    <s v="ENEJO  Gloria  "/>
    <n v="902101"/>
    <x v="0"/>
    <s v="University of Abuja teaching hospital, Gwagwalada Abuja "/>
    <x v="1"/>
    <n v="8163110972"/>
    <s v="firstsitting"/>
    <x v="0"/>
    <x v="0"/>
    <s v="Abuja"/>
    <s v="NGN"/>
    <n v="552500"/>
    <s v=""/>
    <n v="0"/>
    <s v=""/>
    <n v="0"/>
    <s v=""/>
    <s v="93251908WACP944911059"/>
  </r>
  <r>
    <n v="909"/>
    <n v="22354"/>
    <s v="onyekachukwuka102@gmail.com"/>
    <s v="AKWUOBI Onyeka Andrew"/>
    <s v="Udobi Avenue iruozobia village Ikenga-Umueri"/>
    <x v="1"/>
    <s v="Chukwuemeka Odumegwu Ojukwu University Teaching Hospital Awka"/>
    <x v="1"/>
    <s v="07036381079"/>
    <s v="firstsitting"/>
    <x v="0"/>
    <x v="3"/>
    <s v="Enugu"/>
    <s v="NGN"/>
    <n v="552500"/>
    <s v=""/>
    <n v="0"/>
    <s v=""/>
    <n v="0"/>
    <s v=""/>
    <s v="223541909WACP252379290"/>
  </r>
  <r>
    <n v="910"/>
    <n v="10062"/>
    <s v="bilyaminuusman@gmail.com"/>
    <s v="USMAN Bilyaminu Grema"/>
    <s v="Fori, Maiduguri Borno State"/>
    <x v="1"/>
    <s v="Ahmadu Bello University Teaching Hospital"/>
    <x v="1"/>
    <n v="7032298474"/>
    <s v="firstsitting"/>
    <x v="1"/>
    <x v="0"/>
    <s v="Abuja"/>
    <s v="NGN"/>
    <n v="195000"/>
    <s v=""/>
    <n v="0"/>
    <s v=""/>
    <n v="0"/>
    <s v=""/>
    <s v="100621910WACP778890349"/>
  </r>
  <r>
    <n v="911"/>
    <n v="3792"/>
    <s v="origbolazarus@gmail.com"/>
    <s v="ORIGBO Lazarus  Chinaemerem"/>
    <s v="Federal Medical Centre,Asaba,  Delta State"/>
    <x v="1"/>
    <s v="FMC Asaba"/>
    <x v="1"/>
    <s v="07030251955"/>
    <s v="firstsitting"/>
    <x v="2"/>
    <x v="1"/>
    <s v="Abuja"/>
    <s v="NGN"/>
    <n v="812500"/>
    <s v=""/>
    <n v="0"/>
    <s v=""/>
    <n v="162500"/>
    <s v=""/>
    <s v="37921911WACP493507285"/>
  </r>
  <r>
    <n v="913"/>
    <n v="24239"/>
    <s v="ogilialoysuis@gmail.com"/>
    <s v="OGILI Aloysius Ebubechukwu"/>
    <s v="87B Olonode street,Alagomeji,Yaba,Lagos"/>
    <x v="1"/>
    <s v="Regis &amp;amp; Reina hospital"/>
    <x v="1"/>
    <s v="09124740856"/>
    <s v="firstsitting"/>
    <x v="1"/>
    <x v="0"/>
    <s v="Ibadan"/>
    <s v="NGN"/>
    <n v="195000"/>
    <s v=""/>
    <n v="0"/>
    <s v=""/>
    <n v="0"/>
    <s v=""/>
    <s v="242391913WACP163936057"/>
  </r>
  <r>
    <n v="914"/>
    <n v="24481"/>
    <s v="medkan09@gmail.com"/>
    <s v="KANNEH Mohamed Osman"/>
    <s v="1 Hill Cot Road Junction Wilberforce, Freetown Sierra Leone"/>
    <x v="1"/>
    <s v="Ola During Children&amp;#039;s Hospital Freetown"/>
    <x v="3"/>
    <n v="23276401526"/>
    <s v="firstsitting"/>
    <x v="1"/>
    <x v="0"/>
    <s v="Freetown"/>
    <s v="NGN"/>
    <n v="195000"/>
    <s v=""/>
    <n v="0"/>
    <s v=""/>
    <n v="0"/>
    <s v=""/>
    <s v="244811914WACP20784458"/>
  </r>
  <r>
    <n v="915"/>
    <n v="10246"/>
    <s v="drawolesisl@gmail.com"/>
    <s v="AWOLESI samsideen lekan"/>
    <s v="General Hospital (Odan), Lagos"/>
    <x v="1"/>
    <s v="General Hospital (Odan), Lagos"/>
    <x v="1"/>
    <n v="7031804966"/>
    <s v="firstsitting"/>
    <x v="2"/>
    <x v="0"/>
    <s v="Ibadan"/>
    <s v="NGN"/>
    <n v="812500"/>
    <s v=""/>
    <n v="0"/>
    <s v=""/>
    <n v="162500"/>
    <s v=""/>
    <s v="102461915WACP196420818"/>
  </r>
  <r>
    <n v="916"/>
    <n v="8303"/>
    <s v="idoakpan@yahoo.com"/>
    <s v="AKPAN Ido John"/>
    <s v="Community Medicine Department, UPTH, Port Harcourt"/>
    <x v="1"/>
    <s v="University of Port Harcourt Teaching Hospital, Port Harcourt"/>
    <x v="1"/>
    <n v="-7038433181"/>
    <s v="passeddissert"/>
    <x v="2"/>
    <x v="2"/>
    <s v="Abuja"/>
    <s v="NGN"/>
    <n v="812500"/>
    <s v=""/>
    <n v="0"/>
    <s v=""/>
    <n v="0"/>
    <s v=""/>
    <s v="83031916WACP427881600"/>
  </r>
  <r>
    <n v="917"/>
    <n v="24223"/>
    <s v="Chigozieokoroafo@gmail.com"/>
    <s v="OKOROAFO Chigozie Stanley"/>
    <s v="7 George Echebelem ave"/>
    <x v="1"/>
    <s v="Abia state university uturu"/>
    <x v="1"/>
    <s v="08166290538"/>
    <s v="firstsitting"/>
    <x v="1"/>
    <x v="0"/>
    <s v="Enugu"/>
    <s v="NGN"/>
    <n v="195000"/>
    <s v=""/>
    <n v="0"/>
    <s v=""/>
    <n v="0"/>
    <s v=""/>
    <s v="242231917WACP927519554"/>
  </r>
  <r>
    <n v="918"/>
    <n v="21359"/>
    <s v="lokeyawest@yahoo.com"/>
    <s v="ARTHUR-KENNEDY Sandra "/>
    <s v="NICU, Department of Child Health"/>
    <x v="0"/>
    <s v="Korle-bu Teaching Hospital"/>
    <x v="2"/>
    <n v="233201103930"/>
    <s v="resitting"/>
    <x v="0"/>
    <x v="1"/>
    <s v="Accra"/>
    <s v="USD"/>
    <s v=""/>
    <n v="425"/>
    <s v=""/>
    <n v="0"/>
    <s v=""/>
    <n v="0"/>
    <s v="GHWACP358984719"/>
  </r>
  <r>
    <n v="919"/>
    <n v="727"/>
    <s v="ekechiamadi@yahoo.com"/>
    <s v="AMADI Ekechi Stella"/>
    <s v="5/13 Chief Johnson Amadi street formerly Igbodo"/>
    <x v="0"/>
    <s v="Rivers State University Teaching Hospital"/>
    <x v="1"/>
    <s v="08032790394"/>
    <s v="firstsitting"/>
    <x v="2"/>
    <x v="3"/>
    <s v="Ibadan"/>
    <s v="NGN"/>
    <n v="812500"/>
    <s v=""/>
    <n v="0"/>
    <s v=""/>
    <n v="162500"/>
    <s v=""/>
    <s v="7271919WACP578759926"/>
  </r>
  <r>
    <n v="920"/>
    <n v="10170"/>
    <s v="preciouspromise4ever@gmail.com"/>
    <s v="UBOM Promise Enwongo"/>
    <s v="POBOX549"/>
    <x v="0"/>
    <s v="Bingham University Teaching Hospital, Jos"/>
    <x v="1"/>
    <s v="08148182522"/>
    <s v="firstsitting"/>
    <x v="0"/>
    <x v="0"/>
    <s v="Abuja"/>
    <s v="NGN"/>
    <n v="552500"/>
    <s v=""/>
    <n v="0"/>
    <s v=""/>
    <n v="0"/>
    <s v=""/>
    <s v="101701920WACP928205125"/>
  </r>
  <r>
    <n v="921"/>
    <n v="23177"/>
    <s v="emmalite789@yahoo.com"/>
    <s v="ADIASANI EMMANUEL KODZO ELIKEM"/>
    <s v="0245049364"/>
    <x v="1"/>
    <s v="37 Military Hospital"/>
    <x v="2"/>
    <s v="0201478662"/>
    <s v="resitting"/>
    <x v="1"/>
    <x v="3"/>
    <s v="Accra"/>
    <s v="USD"/>
    <s v=""/>
    <n v="150"/>
    <s v=""/>
    <n v="0"/>
    <s v=""/>
    <n v="0"/>
    <s v="231771921WACP658799592"/>
  </r>
  <r>
    <n v="922"/>
    <n v="22876"/>
    <s v="falmatabukaraliyu20@gmail.com"/>
    <s v="BUKAR Falmata Aliyu"/>
    <s v="DOCTORS QUARTER&amp;#039;S BULUMKUTU MAIDUGURI"/>
    <x v="0"/>
    <s v="UNIVERSITY OF MAIDUGURI TEACHING HOSPITAL "/>
    <x v="1"/>
    <s v="08062351426"/>
    <s v="resitting"/>
    <x v="1"/>
    <x v="2"/>
    <s v="Abuja"/>
    <s v="NGN"/>
    <n v="195000"/>
    <s v=""/>
    <n v="0"/>
    <s v=""/>
    <n v="0"/>
    <s v=""/>
    <s v="228761922WACP963327982"/>
  </r>
  <r>
    <n v="923"/>
    <n v="21678"/>
    <s v="jovitaokpor@yahoo.com"/>
    <s v="OKPOR Jovita Oluchukwu"/>
    <s v="DEPT OF Population Health, FUTHO"/>
    <x v="0"/>
    <s v="FEDERAL UNIVERSITY TEACHING HOSPITAL OWERRI"/>
    <x v="1"/>
    <n v="2348035001023"/>
    <s v="firstsitting"/>
    <x v="0"/>
    <x v="1"/>
    <s v="Enugu"/>
    <s v="NGN"/>
    <n v="552500"/>
    <s v=""/>
    <n v="0"/>
    <s v=""/>
    <n v="0"/>
    <s v=""/>
    <s v="216781923WACP221829196"/>
  </r>
  <r>
    <n v="924"/>
    <n v="1869"/>
    <s v="Jaazykane@yahoo.co.uk"/>
    <s v="UFFIAH okpan Kanu"/>
    <s v="15 eke Effiong nta street. Calabar. Cross river ."/>
    <x v="1"/>
    <s v="university of calabar teaching hospital"/>
    <x v="1"/>
    <n v="8035524512"/>
    <s v="resitting"/>
    <x v="0"/>
    <x v="1"/>
    <s v="Ibadan"/>
    <s v="NGN"/>
    <n v="552500"/>
    <s v=""/>
    <n v="0"/>
    <s v=""/>
    <n v="0"/>
    <s v=""/>
    <s v="18691924WACP283756618"/>
  </r>
  <r>
    <n v="925"/>
    <n v="6711"/>
    <s v="allisonochigbo@gmail.com"/>
    <s v="Ogbodo Allison  Ogwa "/>
    <s v="No 15 Royal Palm Villa Sangotedo Lagos"/>
    <x v="0"/>
    <s v="University of Jos, Plateau State"/>
    <x v="1"/>
    <n v="2347068488568"/>
    <s v="resitting"/>
    <x v="1"/>
    <x v="3"/>
    <s v="Ibadan"/>
    <s v="NGN"/>
    <n v="195000"/>
    <s v=""/>
    <n v="0"/>
    <s v=""/>
    <n v="0"/>
    <s v=""/>
    <s v="67111925WACP214674078"/>
  </r>
  <r>
    <n v="926"/>
    <n v="24496"/>
    <s v="chivic886@gmail.com"/>
    <s v="EZENWATA  Victor Chigozie"/>
    <s v="No. 2 oluwatosin Street Adams Estate, Ikotun Egbe, Lagos State"/>
    <x v="1"/>
    <s v="Nnamdi Azikiwe University Awka"/>
    <x v="1"/>
    <s v="08038947772"/>
    <s v="firstsitting"/>
    <x v="1"/>
    <x v="0"/>
    <s v="Enugu"/>
    <s v="NGN"/>
    <n v="195000"/>
    <s v=""/>
    <n v="0"/>
    <s v=""/>
    <n v="0"/>
    <s v=""/>
    <s v="244961926WACP405729486"/>
  </r>
  <r>
    <n v="927"/>
    <n v="5192"/>
    <s v="eleojo4u89@gmail.com"/>
    <s v="AGBADI Hadiza Eleojo"/>
    <s v="Department of Population Health University of Abuja Teaching Hospital Gwagwalada, FCT, Abuja"/>
    <x v="0"/>
    <s v="University of Abuja Teaching Hospital"/>
    <x v="1"/>
    <n v="2348062585090"/>
    <s v="firstsitting"/>
    <x v="2"/>
    <x v="1"/>
    <s v="Abuja"/>
    <s v="NGN"/>
    <n v="812500"/>
    <s v=""/>
    <n v="0"/>
    <s v=""/>
    <n v="162500"/>
    <s v=""/>
    <s v="51921927WACP48220707"/>
  </r>
  <r>
    <n v="928"/>
    <n v="5734"/>
    <s v="pamelakorubo@gmail.com"/>
    <s v="KORUBO Sarah  Soibi"/>
    <s v="No 21 Ohiamini Street, off Olu Obasanjo road, GRA phase III Port Harcourt Nigeria"/>
    <x v="0"/>
    <s v="Rivers State University Teaching Hospital"/>
    <x v="1"/>
    <s v="07032911609"/>
    <s v="firstsitting"/>
    <x v="2"/>
    <x v="1"/>
    <s v="Abuja"/>
    <s v="NGN"/>
    <n v="812500"/>
    <s v=""/>
    <n v="0"/>
    <s v=""/>
    <n v="162500"/>
    <s v=""/>
    <s v="57341928WACP589007128"/>
  </r>
  <r>
    <n v="929"/>
    <n v="11215"/>
    <s v="chidimmaokochi@gmail.com"/>
    <s v="OKOCHI  CHIDIMMA  "/>
    <s v="PEDIATRICS DEPARTMENT, ESUT TEACHING HOSPITAL PARKLANE ENUGU."/>
    <x v="0"/>
    <s v="ENUGU STATE UNIVERSITY OF SCIENCE AND TECHNOLOGY"/>
    <x v="1"/>
    <n v="8067145294"/>
    <s v="resitting"/>
    <x v="0"/>
    <x v="1"/>
    <s v="Enugu"/>
    <s v="NGN"/>
    <n v="552500"/>
    <s v=""/>
    <n v="0"/>
    <s v=""/>
    <n v="0"/>
    <s v=""/>
    <s v="112151929WACP342973548"/>
  </r>
  <r>
    <n v="930"/>
    <n v="24556"/>
    <s v="dladyempire@gmail.com"/>
    <s v="ANDOH WILLIAMS Lady Eunice "/>
    <s v="Cocoa Street Tseaddo"/>
    <x v="0"/>
    <s v="Lekma Hospital"/>
    <x v="2"/>
    <s v="0544104684"/>
    <s v="firstsitting"/>
    <x v="1"/>
    <x v="2"/>
    <s v="Accra"/>
    <s v="USD"/>
    <s v=""/>
    <n v="150"/>
    <s v=""/>
    <n v="0"/>
    <s v=""/>
    <n v="0"/>
    <s v="GHWACP245561930"/>
  </r>
  <r>
    <n v="931"/>
    <n v="24558"/>
    <s v="alexmary219@gmail.com"/>
    <s v="ALEX Edwina Idahosa"/>
    <s v="No. 2 Mariam Pam drive, Rayfield, Jos"/>
    <x v="0"/>
    <s v="College of Health Sciences, Bingham University"/>
    <x v="1"/>
    <s v="07034805714"/>
    <s v="firstsitting"/>
    <x v="1"/>
    <x v="3"/>
    <s v="Abuja"/>
    <s v="NGN"/>
    <n v="195000"/>
    <s v=""/>
    <n v="0"/>
    <s v=""/>
    <n v="0"/>
    <s v=""/>
    <s v="245581931WACP629669244"/>
  </r>
  <r>
    <n v="932"/>
    <n v="24339"/>
    <s v="peteraruwa@gmail.com"/>
    <s v="Aruwa Peter Abdulrasaq"/>
    <s v="Kilometer 46, Lagos-Ibadan Expressway Redemption Camp"/>
    <x v="1"/>
    <s v="Redeemer&amp;#039;s Medical Centre"/>
    <x v="1"/>
    <s v="09067008473"/>
    <s v="firstsitting"/>
    <x v="1"/>
    <x v="0"/>
    <s v="Ibadan"/>
    <s v="NGN"/>
    <n v="195000"/>
    <s v=""/>
    <n v="0"/>
    <s v=""/>
    <n v="0"/>
    <s v=""/>
    <s v="243391932WACP885744586"/>
  </r>
  <r>
    <n v="933"/>
    <n v="3218"/>
    <s v="egheidusuyi@yahoo.com"/>
    <s v="EGHE ASIMEGBE   "/>
    <s v="Department of Child Health, University of Benin Teaching Hospital, Benin City, Edo State."/>
    <x v="0"/>
    <s v="University of Benin Teaching Hospital"/>
    <x v="1"/>
    <s v="08023312618"/>
    <s v="firstsitting"/>
    <x v="2"/>
    <x v="3"/>
    <s v="Abuja"/>
    <s v="NGN"/>
    <n v="812500"/>
    <s v=""/>
    <n v="0"/>
    <s v=""/>
    <n v="162500"/>
    <s v=""/>
    <s v="32181933WACP78278633"/>
  </r>
  <r>
    <n v="934"/>
    <n v="24559"/>
    <s v="ukwuaniprecious@gmail.com"/>
    <s v="UKWUANI Precious Oluchi"/>
    <s v="no 17 trinity avenue independence layout, enugu state, Nigeria"/>
    <x v="0"/>
    <s v="Enugu State University of Science and Technology, Esut"/>
    <x v="1"/>
    <s v="08020502391"/>
    <s v="firstsitting"/>
    <x v="1"/>
    <x v="3"/>
    <s v="Enugu"/>
    <s v="NGN"/>
    <n v="195000"/>
    <s v=""/>
    <n v="0"/>
    <s v=""/>
    <n v="0"/>
    <s v=""/>
    <s v="245591934WACP830530401"/>
  </r>
  <r>
    <n v="935"/>
    <n v="3863"/>
    <s v="anidiemma@gmail.com"/>
    <s v="ANIDI Ejiro  EMMANUEL"/>
    <s v="Federal medical centre P.M.B 1033 Asaba Delta State Nigeria. "/>
    <x v="1"/>
    <s v="Federal Medical centre Asaba Delta State Nigeria"/>
    <x v="1"/>
    <s v="08134041837"/>
    <s v="firstsitting"/>
    <x v="2"/>
    <x v="0"/>
    <s v="Ibadan"/>
    <s v="NGN"/>
    <n v="812500"/>
    <s v=""/>
    <n v="0"/>
    <s v=""/>
    <n v="162500"/>
    <s v=""/>
    <s v="38631935WACP438462015"/>
  </r>
  <r>
    <n v="936"/>
    <n v="24566"/>
    <s v="victoriashittu2022@gmail.com"/>
    <s v="SHITTU Victoria Adeola"/>
    <s v="Plot 5B, Kemta-Apakila"/>
    <x v="0"/>
    <s v="Obafemi Awolowo University"/>
    <x v="1"/>
    <s v="08134858887"/>
    <s v="firstsitting"/>
    <x v="1"/>
    <x v="4"/>
    <s v="Enugu"/>
    <s v="NGN"/>
    <n v="195000"/>
    <s v=""/>
    <n v="0"/>
    <s v=""/>
    <n v="0"/>
    <s v=""/>
    <s v="245661936WACP474453938"/>
  </r>
  <r>
    <n v="937"/>
    <n v="6723"/>
    <s v="preciousonyeonuhilary@gmail.com"/>
    <s v="ONYEONU-HILARY Precious  Nneoma"/>
    <s v="Department of Anatomical Pathology,University of Portharcourt Teaching Hospital,Rivers State"/>
    <x v="0"/>
    <s v="University of Portharcourt Teaching Hospital"/>
    <x v="1"/>
    <s v="09092688511"/>
    <s v="resitting"/>
    <x v="0"/>
    <x v="0"/>
    <s v="Ibadan"/>
    <s v="NGN"/>
    <n v="552500"/>
    <s v=""/>
    <n v="110500"/>
    <s v=""/>
    <n v="0"/>
    <s v=""/>
    <s v="67231937WACP30278174"/>
  </r>
  <r>
    <n v="938"/>
    <n v="24550"/>
    <s v="akosuaampomahdickson@gmail.com"/>
    <s v="DICKSON Akosua Ampomah"/>
    <s v="Ga East Municipal Assembly"/>
    <x v="0"/>
    <s v="Accra Psychiatric Hospital"/>
    <x v="2"/>
    <s v="0548907458"/>
    <s v="firstsitting"/>
    <x v="1"/>
    <x v="4"/>
    <s v="Accra"/>
    <s v="USD"/>
    <s v=""/>
    <n v="150"/>
    <s v=""/>
    <n v="0"/>
    <s v=""/>
    <n v="0"/>
    <s v="GHWACP272569464"/>
  </r>
  <r>
    <n v="939"/>
    <n v="9914"/>
    <s v="ayinbisa.md@gmail.com"/>
    <s v="AMANKWA Emmanuella Ayinbisa"/>
    <s v="P.  O. Box YK 702, Kanda"/>
    <x v="0"/>
    <s v="Accra"/>
    <x v="2"/>
    <n v="200802907"/>
    <s v="resitting"/>
    <x v="0"/>
    <x v="3"/>
    <s v="Accra"/>
    <s v="USD"/>
    <s v=""/>
    <n v="425"/>
    <s v=""/>
    <n v="0"/>
    <s v=""/>
    <n v="0"/>
    <s v="GHWACP710097754"/>
  </r>
  <r>
    <n v="940"/>
    <n v="22955"/>
    <s v="Hadizamuhammedumar@gmail.com"/>
    <s v="MUHAMMAD Hadiza Umar"/>
    <s v="Badawa layout"/>
    <x v="0"/>
    <s v="National university sudan"/>
    <x v="1"/>
    <s v="08068675486"/>
    <s v="resitting"/>
    <x v="1"/>
    <x v="2"/>
    <s v="Abuja"/>
    <s v="NGN"/>
    <n v="195000"/>
    <s v=""/>
    <n v="0"/>
    <s v=""/>
    <n v="0"/>
    <s v=""/>
    <s v="229551940WACP771752595"/>
  </r>
  <r>
    <n v="941"/>
    <n v="5613"/>
    <s v="sulearems@yahoo.com"/>
    <s v="AREMU sulaiman  kayode"/>
    <s v="DEPARTMENT OF Clinical Medicine,AMINU KANO TEACHING HOSPITAL,KANO. "/>
    <x v="1"/>
    <s v="AMINU KANO TEACHING HOSPITAL"/>
    <x v="1"/>
    <n v="2348036164489"/>
    <s v="firstsitting"/>
    <x v="2"/>
    <x v="0"/>
    <s v="Abuja"/>
    <s v="NGN"/>
    <n v="812500"/>
    <s v=""/>
    <n v="0"/>
    <s v=""/>
    <n v="162500"/>
    <s v=""/>
    <s v="56131941WACP462974253"/>
  </r>
  <r>
    <n v="942"/>
    <n v="24061"/>
    <s v="etongo2@yahoo.com"/>
    <s v="TONGO Esosa Sarah"/>
    <s v="10 Unity close, Alalubosa GRA Extension, Ibadan"/>
    <x v="0"/>
    <s v="Olabisi onabanjo university teaching hospital"/>
    <x v="1"/>
    <s v="08077916251"/>
    <s v="firstsitting"/>
    <x v="1"/>
    <x v="1"/>
    <s v="Ibadan"/>
    <s v="NGN"/>
    <n v="195000"/>
    <s v=""/>
    <n v="0"/>
    <s v=""/>
    <n v="0"/>
    <s v=""/>
    <s v="240611942WACP718985062"/>
  </r>
  <r>
    <n v="943"/>
    <n v="24555"/>
    <s v="matildageyhey@yahoo.com"/>
    <s v="ASIEDU Matilda Harmoah"/>
    <s v="GN-0544-9953, P.O.Box CO 4172"/>
    <x v="0"/>
    <s v="Accra Psychiatric Hospital"/>
    <x v="2"/>
    <n v="233246959135"/>
    <s v="firstsitting"/>
    <x v="1"/>
    <x v="4"/>
    <s v="Accra"/>
    <s v="USD"/>
    <s v=""/>
    <n v="150"/>
    <s v=""/>
    <n v="0"/>
    <s v=""/>
    <n v="0"/>
    <s v="GHWACP279944875"/>
  </r>
  <r>
    <n v="944"/>
    <n v="9049"/>
    <s v="nnennaibeh@yahoo.co.uk"/>
    <s v="CHUKWUDINMA  Oluchi Nene"/>
    <s v="Plot C5 Harmony Estate Galadimawa Abuja "/>
    <x v="0"/>
    <s v="Garki Hospital Abuja"/>
    <x v="1"/>
    <n v="2348137569161"/>
    <s v="firstsitting"/>
    <x v="0"/>
    <x v="0"/>
    <s v="Abuja"/>
    <s v="NGN"/>
    <n v="552500"/>
    <s v=""/>
    <n v="0"/>
    <s v=""/>
    <n v="0"/>
    <s v=""/>
    <s v="90491944WACP856220631"/>
  </r>
  <r>
    <n v="945"/>
    <n v="23975"/>
    <s v="htghpost@gmail.com"/>
    <s v="ARYEETEY Naa Sakley "/>
    <s v="No.1 Ofin Lane, Asylum Down, Accra, Ghana"/>
    <x v="0"/>
    <s v="Upper West Regional Hospital"/>
    <x v="2"/>
    <n v="233207383532"/>
    <s v="firstsitting"/>
    <x v="1"/>
    <x v="1"/>
    <s v="Accra"/>
    <s v="USD"/>
    <s v=""/>
    <n v="150"/>
    <s v=""/>
    <n v="0"/>
    <s v=""/>
    <n v="0"/>
    <s v="GHWACP66848123"/>
  </r>
  <r>
    <n v="946"/>
    <n v="20410"/>
    <s v="martintettey28@gmail.com"/>
    <s v="TETTEY  Martin Nii Aryee "/>
    <s v="P.O. Box 2854,  Accra"/>
    <x v="1"/>
    <s v="Accra Psychiatric Hospital"/>
    <x v="2"/>
    <s v="020 852 3674 "/>
    <s v="firstsitting"/>
    <x v="1"/>
    <x v="4"/>
    <s v="Accra"/>
    <s v="USD"/>
    <s v=""/>
    <n v="150"/>
    <s v=""/>
    <n v="0"/>
    <s v=""/>
    <n v="0"/>
    <s v="GHWACP857632496"/>
  </r>
  <r>
    <n v="947"/>
    <n v="24573"/>
    <s v="kemakolamkingsley74@gmail.com"/>
    <s v="NWAMARA Kingsley Kemakolam"/>
    <s v="Azaraowalla Emekuku, Owerri North LGA, Imo State"/>
    <x v="1"/>
    <s v="Federal Teaching Hospital (FTH) Owerri, Imo State"/>
    <x v="1"/>
    <s v="08142909644"/>
    <s v="firstsitting"/>
    <x v="1"/>
    <x v="2"/>
    <s v="Enugu"/>
    <s v="NGN"/>
    <n v="195000"/>
    <s v=""/>
    <n v="0"/>
    <s v=""/>
    <n v="0"/>
    <s v=""/>
    <s v="245731947WACP537934982"/>
  </r>
  <r>
    <n v="948"/>
    <n v="24569"/>
    <s v="maniruyusuf.alr@gmail.com"/>
    <s v="YUSUF MANIRU "/>
    <s v="Mallam YUSUF HOUSE, MALLAMAWA AREA, ALIERO, ALIERO LGA, KEBBI STATE.L"/>
    <x v="1"/>
    <s v="USMANU DANFODIYO UNIVERSITY SOKOTO"/>
    <x v="1"/>
    <s v="08162062487"/>
    <s v="firstsitting"/>
    <x v="1"/>
    <x v="2"/>
    <s v="Abuja"/>
    <s v="NGN"/>
    <n v="195000"/>
    <s v=""/>
    <n v="0"/>
    <s v=""/>
    <n v="0"/>
    <s v=""/>
    <s v="245691948WACP189042499"/>
  </r>
  <r>
    <n v="949"/>
    <n v="24345"/>
    <s v="ichematiowhor@gmail.com"/>
    <s v="OWHOR Ichemati Ezebunwo"/>
    <s v="11 Ilom road woji port harcourt rivers state"/>
    <x v="1"/>
    <s v="Neuropsychiatric hospital Rumuigbo Port harcourt Rivers state"/>
    <x v="1"/>
    <s v="07038069035"/>
    <s v="firstsitting"/>
    <x v="1"/>
    <x v="4"/>
    <s v="Enugu"/>
    <s v="NGN"/>
    <n v="195000"/>
    <s v=""/>
    <n v="0"/>
    <s v=""/>
    <n v="0"/>
    <s v=""/>
    <s v="243451949WACP197401171"/>
  </r>
  <r>
    <n v="950"/>
    <n v="24554"/>
    <s v="elorm.sandra@yahoo.com"/>
    <s v="NUTEKPOR Sandra Elorm"/>
    <s v="p.o.box 18953"/>
    <x v="0"/>
    <s v="Accra psychiatric hospital"/>
    <x v="2"/>
    <s v="0206946104"/>
    <s v="firstsitting"/>
    <x v="1"/>
    <x v="4"/>
    <s v="Accra"/>
    <s v="USD"/>
    <s v=""/>
    <n v="150"/>
    <s v=""/>
    <n v="0"/>
    <s v=""/>
    <n v="0"/>
    <s v="GHWACP817088418"/>
  </r>
  <r>
    <n v="951"/>
    <n v="1758"/>
    <s v="sapsissofly@gmail.com"/>
    <s v="OLISA ochiagha "/>
    <s v="Dept Of Child Health, UDUTH, Sokoto"/>
    <x v="1"/>
    <s v="usmanu danfodiyo university teaching hospital"/>
    <x v="1"/>
    <n v="8036628149"/>
    <s v="firstsitting"/>
    <x v="2"/>
    <x v="3"/>
    <s v="Abuja"/>
    <s v="NGN"/>
    <n v="812500"/>
    <s v=""/>
    <n v="0"/>
    <s v=""/>
    <n v="162500"/>
    <s v=""/>
    <s v="17581951WACP444079366"/>
  </r>
  <r>
    <n v="952"/>
    <n v="24557"/>
    <s v="KazussahJ@gmail.com"/>
    <s v="KAZUSSAH Joseph Bugri"/>
    <s v="28 Bougain Street"/>
    <x v="1"/>
    <s v="Accra Psychiatric Hospital"/>
    <x v="2"/>
    <s v="0533169179"/>
    <s v="firstsitting"/>
    <x v="1"/>
    <x v="4"/>
    <s v="Accra"/>
    <s v="USD"/>
    <s v=""/>
    <n v="150"/>
    <s v=""/>
    <n v="0"/>
    <s v=""/>
    <n v="0"/>
    <s v="GHWACP684271831"/>
  </r>
  <r>
    <n v="953"/>
    <n v="24035"/>
    <s v="akintola.oluwatoyin@yahoo.com"/>
    <s v="Akintola Oluwatoyin Omolola"/>
    <s v="No 2, Road B, Zone C, Agbati, Alakia, Ibadan"/>
    <x v="0"/>
    <s v="University of Ibadan"/>
    <x v="1"/>
    <s v="08156469166"/>
    <s v="firstsitting"/>
    <x v="1"/>
    <x v="4"/>
    <s v="Ibadan"/>
    <s v="NGN"/>
    <n v="195000"/>
    <s v=""/>
    <n v="0"/>
    <s v=""/>
    <n v="0"/>
    <s v=""/>
    <s v="240351953WACP826517128"/>
  </r>
  <r>
    <n v="954"/>
    <n v="24564"/>
    <s v="aishagumsu@gmail.com"/>
    <s v="GUMSU Aisha Abba"/>
    <s v="aishagumsu@gmail.com"/>
    <x v="0"/>
    <s v="Economic and financial crimes commission"/>
    <x v="1"/>
    <s v="07068919947"/>
    <s v="firstsitting"/>
    <x v="1"/>
    <x v="2"/>
    <s v="Abuja"/>
    <s v="NGN"/>
    <n v="195000"/>
    <s v=""/>
    <n v="0"/>
    <s v=""/>
    <n v="0"/>
    <s v=""/>
    <s v="245641954WACP578257890"/>
  </r>
  <r>
    <n v="955"/>
    <n v="24333"/>
    <s v="afrifa188@gmail.com"/>
    <s v="BRAKO Richmond Afrifa"/>
    <s v="Eastern Regional Hospital. Post Office Box 201"/>
    <x v="1"/>
    <s v="Eastern Regional Hospital"/>
    <x v="2"/>
    <s v="0546444567"/>
    <s v="firstsitting"/>
    <x v="1"/>
    <x v="3"/>
    <s v="Accra"/>
    <s v="USD"/>
    <s v=""/>
    <n v="150"/>
    <s v=""/>
    <n v="0"/>
    <s v=""/>
    <n v="0"/>
    <s v="GHWACP936400409"/>
  </r>
  <r>
    <n v="956"/>
    <n v="3522"/>
    <s v="jahidnusi@gmail.com"/>
    <s v="SUNUSI Mujahid Rabiu"/>
    <s v="sharada phase 1 gp963/6 along hisbah secreteriat kano., uba bank"/>
    <x v="1"/>
    <s v="Department of Child Health Aminu Kano Teaching Hospital, Kano State, Nigeria"/>
    <x v="1"/>
    <n v="7039236212"/>
    <s v="firstsitting"/>
    <x v="2"/>
    <x v="3"/>
    <s v="Abuja"/>
    <s v="NGN"/>
    <n v="812500"/>
    <s v=""/>
    <n v="0"/>
    <s v=""/>
    <n v="162500"/>
    <s v=""/>
    <s v="35221956WACP299123026"/>
  </r>
  <r>
    <n v="957"/>
    <n v="24575"/>
    <s v="banjiheights@gmail.com"/>
    <s v="APATA Banji Sylvester"/>
    <s v="House 1, Road 509, Abayomi Estate, Ibadan, Oyo State, Nigeria"/>
    <x v="1"/>
    <s v="University College Hospital, UCH, Ibadan, Oyo State, Nigeria"/>
    <x v="1"/>
    <n v="2348136179710"/>
    <s v="firstsitting"/>
    <x v="1"/>
    <x v="0"/>
    <s v="Ibadan"/>
    <s v="NGN"/>
    <n v="195000"/>
    <s v=""/>
    <n v="0"/>
    <s v=""/>
    <n v="0"/>
    <s v=""/>
    <s v="245751957WACP945292313"/>
  </r>
  <r>
    <n v="958"/>
    <n v="24568"/>
    <s v="abdulmuminyabo@gmail.com"/>
    <s v="TAMBARI Abdulmumin Usman"/>
    <s v="Bado quarters area sokoto"/>
    <x v="1"/>
    <s v="Ministry of Health sokoto"/>
    <x v="1"/>
    <n v="2347066677336"/>
    <s v="firstsitting"/>
    <x v="1"/>
    <x v="0"/>
    <s v="Abuja"/>
    <s v="NGN"/>
    <n v="195000"/>
    <s v=""/>
    <n v="0"/>
    <s v=""/>
    <n v="0"/>
    <s v=""/>
    <s v="245681958WACP124846150"/>
  </r>
  <r>
    <n v="959"/>
    <n v="24574"/>
    <s v="mgkambaza@gmail.com"/>
    <s v="UMAR Muhd Gazali "/>
    <s v="Behind Ali Bagudo residence, Badariya area, Birnin kebbi, kebbi state"/>
    <x v="1"/>
    <s v="Kebbi state teaching hospital, Birnin kebbi"/>
    <x v="1"/>
    <s v="08031510596"/>
    <s v="firstsitting"/>
    <x v="1"/>
    <x v="2"/>
    <s v="Abuja"/>
    <s v="NGN"/>
    <n v="195000"/>
    <s v=""/>
    <n v="0"/>
    <s v=""/>
    <n v="0"/>
    <s v=""/>
    <s v="245741959WACP238541235"/>
  </r>
  <r>
    <n v="960"/>
    <n v="24561"/>
    <s v="ka_twum@hotmail.com"/>
    <s v="TWUM Andrew Amankwah"/>
    <s v="Djarbleo Street, Dansoman"/>
    <x v="1"/>
    <s v="Korle-Bu Teaching Hospital"/>
    <x v="2"/>
    <s v="0209038676"/>
    <s v="firstsitting"/>
    <x v="1"/>
    <x v="3"/>
    <s v="Accra"/>
    <s v="USD"/>
    <s v=""/>
    <n v="150"/>
    <s v=""/>
    <n v="0"/>
    <s v=""/>
    <n v="0"/>
    <s v="GHWACP929575314"/>
  </r>
  <r>
    <n v="961"/>
    <n v="24002"/>
    <s v="nnamdiokpara4@gmail.com"/>
    <s v="OKPARA Increase Nnamdi"/>
    <s v="House 4, Flat 1, road M, off New road/Mgbaraja, PH, Rivers State"/>
    <x v="1"/>
    <s v="University of Port Harcourt Teaching Hospital"/>
    <x v="1"/>
    <s v="08071065978"/>
    <s v="firstsitting"/>
    <x v="1"/>
    <x v="4"/>
    <s v="Enugu"/>
    <s v="NGN"/>
    <n v="195000"/>
    <s v=""/>
    <n v="0"/>
    <s v=""/>
    <n v="0"/>
    <s v=""/>
    <s v="240021961WACP825655453"/>
  </r>
  <r>
    <n v="962"/>
    <n v="24553"/>
    <s v="velmacquaah@gmail.com"/>
    <s v="ACQUAAH Velma Aba Darkoa"/>
    <s v="P.O.Box 519,Takoradi WR"/>
    <x v="0"/>
    <s v="Cape Coast Teaching Hospital"/>
    <x v="2"/>
    <s v="0547852924"/>
    <s v="firstsitting"/>
    <x v="1"/>
    <x v="0"/>
    <s v="Accra"/>
    <s v="USD"/>
    <s v=""/>
    <n v="150"/>
    <s v=""/>
    <n v="0"/>
    <s v=""/>
    <n v="0"/>
    <s v="GHWACP689184345"/>
  </r>
  <r>
    <n v="963"/>
    <n v="24552"/>
    <s v="aniPerp7@gmail.com"/>
    <s v="ANIAH Perpetual Ayineboe"/>
    <s v="Tamale West Hospital"/>
    <x v="0"/>
    <s v="Tamale West Hospital"/>
    <x v="2"/>
    <n v="233559650442"/>
    <s v="firstsitting"/>
    <x v="1"/>
    <x v="0"/>
    <s v="Accra"/>
    <s v="USD"/>
    <s v=""/>
    <n v="150"/>
    <s v=""/>
    <n v="0"/>
    <s v=""/>
    <n v="0"/>
    <s v="GHWACP594427890"/>
  </r>
  <r>
    <n v="964"/>
    <n v="8635"/>
    <s v="ajayivt@yahoo.com"/>
    <s v="AKIN-DOSUMU Victoria  Toyosi"/>
    <s v="No 4 Foyeke Close Basin Road, Ilorin"/>
    <x v="0"/>
    <s v="LAUTECH Teaching Hospital Ogbomoso"/>
    <x v="1"/>
    <n v="8037417274"/>
    <s v="firstsitting"/>
    <x v="2"/>
    <x v="2"/>
    <s v="Ibadan"/>
    <s v="NGN"/>
    <n v="812500"/>
    <s v=""/>
    <n v="0"/>
    <s v=""/>
    <n v="162500"/>
    <s v=""/>
    <s v="86351964WACP185238556"/>
  </r>
  <r>
    <n v="965"/>
    <n v="22513"/>
    <s v="jemimah.ayippey@gmail.com"/>
    <s v="ASOMANI Jemimah Abena"/>
    <s v="P.O Box CE 11021, Tema Comm.11"/>
    <x v="0"/>
    <s v="Korle Bu Teaching Hospital"/>
    <x v="2"/>
    <s v="0243220218"/>
    <s v="resitting"/>
    <x v="0"/>
    <x v="1"/>
    <s v="Accra"/>
    <s v="USD"/>
    <s v=""/>
    <n v="425"/>
    <s v=""/>
    <n v="0"/>
    <s v=""/>
    <n v="0"/>
    <s v="GHWACP497082094"/>
  </r>
  <r>
    <n v="966"/>
    <n v="24518"/>
    <s v="achinkokdominic@gmail.com"/>
    <s v="ACHINKOK Dominic "/>
    <s v="Upper East Region, Box 26. Bolgatanga"/>
    <x v="1"/>
    <s v="Upper East Regional Hospital-Bolgatanga"/>
    <x v="2"/>
    <s v="0245372244"/>
    <s v="firstsitting"/>
    <x v="1"/>
    <x v="0"/>
    <s v="Accra"/>
    <s v="USD"/>
    <s v=""/>
    <n v="150"/>
    <s v=""/>
    <n v="0"/>
    <s v=""/>
    <n v="0"/>
    <s v="GHWACP677620347"/>
  </r>
  <r>
    <n v="967"/>
    <n v="20420"/>
    <s v="hbabakura@gmail.com"/>
    <s v="BABAKURA  Halima Damasak"/>
    <s v="University of Maiduguri teaching hospital"/>
    <x v="0"/>
    <s v="University of  Maiduguri teaching hospital"/>
    <x v="1"/>
    <s v="07064519472"/>
    <s v="firstsitting"/>
    <x v="0"/>
    <x v="0"/>
    <s v="Abuja"/>
    <s v="NGN"/>
    <n v="552500"/>
    <s v=""/>
    <n v="110500"/>
    <s v=""/>
    <n v="0"/>
    <s v=""/>
    <s v="204201967WACP442811940"/>
  </r>
  <r>
    <n v="968"/>
    <n v="22750"/>
    <s v="arabawilliams@gmail.com"/>
    <s v="Williams  Lovia Araba"/>
    <s v="CC-260-0608"/>
    <x v="0"/>
    <s v="Korle-Bu Teaching Hospital"/>
    <x v="2"/>
    <s v="0265605359 "/>
    <s v="firstsitting"/>
    <x v="0"/>
    <x v="1"/>
    <s v="Accra"/>
    <s v="USD"/>
    <s v=""/>
    <n v="425"/>
    <s v=""/>
    <n v="0"/>
    <s v=""/>
    <n v="0"/>
    <s v="GHWACP454852093"/>
  </r>
  <r>
    <n v="969"/>
    <n v="7890"/>
    <s v="onyi4lix@gmail.com"/>
    <s v="OMUMU Onyiye Georgian"/>
    <s v="60A Charles Street Agbor, Delta State"/>
    <x v="0"/>
    <s v="Asaba Specialist Hospital, Asaba, Delta State"/>
    <x v="1"/>
    <n v="7038177041"/>
    <s v="firstsitting"/>
    <x v="2"/>
    <x v="1"/>
    <s v="Abuja"/>
    <s v="NGN"/>
    <n v="812500"/>
    <s v=""/>
    <n v="0"/>
    <s v=""/>
    <n v="162500"/>
    <s v=""/>
    <s v="78901969WACP945129246"/>
  </r>
  <r>
    <n v="970"/>
    <n v="23780"/>
    <s v="zahrajibreel02@gmail.com"/>
    <s v="JIBRIL Fatima Yakub"/>
    <s v="No 19 Doctors Quarters Bololo, Maiduguri, Borno State, Nigeria. "/>
    <x v="0"/>
    <s v="University of Maiduguri Teaching Hospital (UMTH)"/>
    <x v="1"/>
    <s v="08100264444"/>
    <s v="resitting"/>
    <x v="1"/>
    <x v="0"/>
    <s v="Abuja"/>
    <s v="NGN"/>
    <n v="195000"/>
    <s v=""/>
    <n v="0"/>
    <s v=""/>
    <n v="0"/>
    <s v=""/>
    <s v="237801970WACP571682007"/>
  </r>
  <r>
    <n v="971"/>
    <n v="21337"/>
    <s v="maametyelbert@gmail.com"/>
    <s v="YELBERT Judith Maame Tanoa "/>
    <s v="Gbetsile "/>
    <x v="0"/>
    <s v="University of Ghana Medical Centre"/>
    <x v="2"/>
    <s v="0553705741"/>
    <s v="firstsitting"/>
    <x v="0"/>
    <x v="2"/>
    <s v="Accra"/>
    <s v="USD"/>
    <s v=""/>
    <n v="425"/>
    <s v=""/>
    <n v="85"/>
    <s v=""/>
    <n v="0"/>
    <s v="GHWACP902819237"/>
  </r>
  <r>
    <n v="972"/>
    <n v="20653"/>
    <s v="dr.adomba2010@gmail.com"/>
    <s v="SASU Samuel Kwesi"/>
    <s v="43, Frank Gilbert Street, Tesano, Accra-Ghana"/>
    <x v="1"/>
    <s v="Korle-Bu Teaching Hospital"/>
    <x v="2"/>
    <s v="0264354479"/>
    <s v="resitting"/>
    <x v="0"/>
    <x v="1"/>
    <s v="Accra"/>
    <s v="USD"/>
    <s v=""/>
    <n v="425"/>
    <s v=""/>
    <n v="0"/>
    <s v=""/>
    <n v="0"/>
    <s v="GHWACP380676517"/>
  </r>
  <r>
    <n v="973"/>
    <n v="24571"/>
    <s v="frimpongakosua90@gmail.com"/>
    <s v="FRIMPONG Akosua "/>
    <s v="OKPELOR ABLORH SOWAH STREET, Nmai Dzor"/>
    <x v="0"/>
    <s v="ST ANDREWS CLINIC"/>
    <x v="2"/>
    <s v="0247700088"/>
    <s v="firstsitting"/>
    <x v="1"/>
    <x v="3"/>
    <s v="Accra"/>
    <s v="USD"/>
    <s v=""/>
    <n v="150"/>
    <s v=""/>
    <n v="0"/>
    <s v=""/>
    <n v="0"/>
    <s v="GHWACP363422470"/>
  </r>
  <r>
    <n v="974"/>
    <n v="24562"/>
    <s v="comfortobarein@gmail.com"/>
    <s v="OBAREIN Ekpen Comfort"/>
    <s v="No. 9 Eke Ita Street, Asari Eso Layout, off Marian, Calabar, Cross River State, Nigeria"/>
    <x v="0"/>
    <s v="University of Calabar Teaching Hospital, Calabar, Cross River State, Nigeria"/>
    <x v="1"/>
    <s v="08164119725"/>
    <s v="firstsitting"/>
    <x v="1"/>
    <x v="4"/>
    <s v="Abuja"/>
    <s v="NGN"/>
    <n v="195000"/>
    <s v=""/>
    <n v="0"/>
    <s v=""/>
    <n v="0"/>
    <s v=""/>
    <s v="245621974WACP135926869"/>
  </r>
  <r>
    <n v="975"/>
    <n v="19612"/>
    <s v="folaranmiabidoye@gmail.com"/>
    <s v="ABIDOYE  Michael  Folaranmi "/>
    <s v="Federal medical center, PMB 02 Machina road Nguru Yobe state "/>
    <x v="1"/>
    <s v="Federal medical center, Nguru "/>
    <x v="1"/>
    <s v="07068503622"/>
    <s v="firstsitting"/>
    <x v="0"/>
    <x v="0"/>
    <s v="Ibadan"/>
    <s v="NGN"/>
    <n v="552500"/>
    <s v=""/>
    <n v="0"/>
    <s v=""/>
    <n v="0"/>
    <s v=""/>
    <s v="196121975WACP55727517"/>
  </r>
  <r>
    <n v="976"/>
    <n v="19242"/>
    <s v="harrison.m.edokpayi@gmail.com"/>
    <s v="EDOKPAYI Harrison "/>
    <s v="17, Omosun Street, Off Benin Auchi Road, Urora, Benin City."/>
    <x v="1"/>
    <s v="University of Benin Teaching Hospital"/>
    <x v="1"/>
    <s v="08080953962"/>
    <s v="resitting"/>
    <x v="0"/>
    <x v="1"/>
    <s v="Ibadan"/>
    <s v="NGN"/>
    <n v="552500"/>
    <s v=""/>
    <n v="0"/>
    <s v=""/>
    <n v="0"/>
    <s v=""/>
    <s v="192421976WACP103011191"/>
  </r>
  <r>
    <n v="977"/>
    <n v="24503"/>
    <s v="feyikemiolabisi@gmail.com"/>
    <s v="OLABISI Oluwafeyikemi Olufunke"/>
    <s v="24, Social sciences road, Unilag estate"/>
    <x v="0"/>
    <s v="University of Szeged, Hungary"/>
    <x v="1"/>
    <s v="07011251140"/>
    <s v="firstsitting"/>
    <x v="1"/>
    <x v="3"/>
    <s v="Ibadan"/>
    <s v="NGN"/>
    <n v="195000"/>
    <s v=""/>
    <n v="0"/>
    <s v=""/>
    <n v="0"/>
    <s v=""/>
    <s v="245031977WACP401362209"/>
  </r>
  <r>
    <n v="978"/>
    <n v="5516"/>
    <s v="adegoremains@yahoo.com"/>
    <s v="EFERAKEYA Adego "/>
    <s v="C/O DEPARTMENT OF Clinical Medicine, UNIVERSITY OF BENIN TEACHING HOSPITAL, BENIN CITY, EDO STATE."/>
    <x v="1"/>
    <s v="University of Benin Teaching Hospital"/>
    <x v="1"/>
    <n v="8037465119"/>
    <s v="firstsitting"/>
    <x v="2"/>
    <x v="0"/>
    <s v="Abuja"/>
    <s v="NGN"/>
    <n v="812500"/>
    <s v=""/>
    <n v="0"/>
    <s v=""/>
    <n v="162500"/>
    <s v=""/>
    <s v="55161978WACP326701182"/>
  </r>
  <r>
    <n v="979"/>
    <n v="24582"/>
    <s v="samirazag33@gmail.com"/>
    <s v="ZANGWIO Samira "/>
    <s v="37 MILITARY HOSPITAL, NEGEHELI BARRACKS"/>
    <x v="0"/>
    <s v="37 MILITARY HOSPITAL, ACCRA GHANA"/>
    <x v="2"/>
    <s v="0544506026"/>
    <s v="firstsitting"/>
    <x v="1"/>
    <x v="3"/>
    <s v="Accra"/>
    <s v="USD"/>
    <s v=""/>
    <n v="150"/>
    <s v=""/>
    <n v="0"/>
    <s v=""/>
    <n v="0"/>
    <s v="GHWACP287840524"/>
  </r>
  <r>
    <n v="980"/>
    <n v="24488"/>
    <s v="Dazzledark45@gmail.com"/>
    <s v="MBANUGO Ifunanya Ogochukwu"/>
    <s v="39 RIVERLANE GRA ENUGU"/>
    <x v="0"/>
    <s v="NULL"/>
    <x v="1"/>
    <s v="08065759071"/>
    <s v="firstsitting"/>
    <x v="1"/>
    <x v="0"/>
    <s v="Enugu"/>
    <s v="NGN"/>
    <n v="195000"/>
    <s v=""/>
    <n v="0"/>
    <s v=""/>
    <n v="0"/>
    <s v=""/>
    <s v="244881980WACP405768476"/>
  </r>
  <r>
    <n v="981"/>
    <n v="12931"/>
    <s v="tombayellowe@gmail.com"/>
    <s v="MARTYNS-YELLOWE Tomba Berepele "/>
    <s v="4-8 Harley street Old GRA Port-Harcourt"/>
    <x v="0"/>
    <s v="Rivers State University Teaching Hospital "/>
    <x v="1"/>
    <s v="08037003964"/>
    <s v="firstsitting"/>
    <x v="2"/>
    <x v="3"/>
    <s v="Abuja"/>
    <s v="NGN"/>
    <n v="812500"/>
    <s v=""/>
    <n v="0"/>
    <s v=""/>
    <n v="162500"/>
    <s v=""/>
    <s v="129311981WACP559403499"/>
  </r>
  <r>
    <n v="982"/>
    <n v="24588"/>
    <s v="esenesamuel24@gmail.com"/>
    <s v="ESENE Samuel Aigbobhiose"/>
    <s v="2, Upper Adesuwa, Opposite CGMI, Benin City, Edo State"/>
    <x v="1"/>
    <s v="University of Benin Teaching Hospital, Benin City, Edo State."/>
    <x v="1"/>
    <s v="08076803008"/>
    <s v="firstsitting"/>
    <x v="1"/>
    <x v="0"/>
    <s v="Ibadan"/>
    <s v="NGN"/>
    <n v="195000"/>
    <s v=""/>
    <n v="0"/>
    <s v=""/>
    <n v="0"/>
    <s v=""/>
    <s v="245881982WACP154433997"/>
  </r>
  <r>
    <n v="983"/>
    <n v="18328"/>
    <s v="chukwukachuchu@gmail.com"/>
    <s v="ANICHE Chukwuka Anozie"/>
    <s v="ST LUKE&amp;#039;S ANGLICAN CHURCH  BOX 10072 ONITSHA."/>
    <x v="1"/>
    <s v="NNAMDI AZIKIWE UNIVERSITY, AWKA."/>
    <x v="1"/>
    <s v="08061174923"/>
    <s v="firstsitting"/>
    <x v="1"/>
    <x v="0"/>
    <s v="Enugu"/>
    <s v="NGN"/>
    <n v="195000"/>
    <s v=""/>
    <n v="0"/>
    <s v=""/>
    <n v="0"/>
    <s v=""/>
    <s v="183281983WACP765455418"/>
  </r>
  <r>
    <n v="984"/>
    <n v="21069"/>
    <s v="daminamusa2014@gmail.com"/>
    <s v="DAMINA Musa Muhammad"/>
    <s v="No.8 Kashere Road, GRA, Gombe, Gombe State"/>
    <x v="1"/>
    <s v="Bayero University Kano"/>
    <x v="1"/>
    <s v="07036574910"/>
    <s v="firstsitting"/>
    <x v="0"/>
    <x v="0"/>
    <s v="Abuja"/>
    <s v="NGN"/>
    <n v="552500"/>
    <s v=""/>
    <n v="110500"/>
    <s v=""/>
    <n v="0"/>
    <s v=""/>
    <s v="210691984WACP163259333"/>
  </r>
  <r>
    <n v="985"/>
    <n v="18033"/>
    <s v="drraphaeleasy@gmail.com"/>
    <s v="FARUNA raphael  enejo"/>
    <s v="HOUSE 20 FLAT 1 wuro modibbo lelewaji yola town "/>
    <x v="1"/>
    <s v="MODIBBO ADAMA UNIVERSITY TEACHING HOSPITAL YOLA"/>
    <x v="1"/>
    <s v="08147757167"/>
    <s v="firstsitting"/>
    <x v="0"/>
    <x v="3"/>
    <s v="Abuja"/>
    <s v="NGN"/>
    <n v="552500"/>
    <s v=""/>
    <n v="0"/>
    <s v=""/>
    <n v="0"/>
    <s v=""/>
    <s v="180331985WACP467122971"/>
  </r>
  <r>
    <n v="986"/>
    <n v="4633"/>
    <s v="SAKABA.HABIB@GMAIL.COM"/>
    <s v="BALA Habibu Sakaba"/>
    <s v="HOUSE NO: 1, AREA D, POLYTECHNIC QUATERS, GWADANGWAJI, BIRNIN KEBBI, KEBBI STATE"/>
    <x v="1"/>
    <s v="USMANU Danfodiyo University Teaching Hospital, Sokoto "/>
    <x v="1"/>
    <n v="7069150040"/>
    <s v="firstsitting"/>
    <x v="0"/>
    <x v="0"/>
    <s v="Ibadan"/>
    <s v="NGN"/>
    <n v="552500"/>
    <s v=""/>
    <n v="110500"/>
    <s v=""/>
    <n v="0"/>
    <s v=""/>
    <s v="46331986WACP215900366"/>
  </r>
  <r>
    <n v="987"/>
    <n v="3567"/>
    <s v="akbadegoke@gmail.com"/>
    <s v="ADEGOKE Abdulkabir Babajide"/>
    <s v="17, Engineering Close, Unilag Estate Magodo Isheri Lagos"/>
    <x v="1"/>
    <s v="Lagos University Teaching Hospital, Idi-Araba, Lagos"/>
    <x v="1"/>
    <s v="09090681966"/>
    <s v="firstsitting"/>
    <x v="2"/>
    <x v="2"/>
    <s v="Ibadan"/>
    <s v="NGN"/>
    <n v="812500"/>
    <s v=""/>
    <n v="0"/>
    <s v=""/>
    <n v="162500"/>
    <s v=""/>
    <s v="35671987WACP611088271"/>
  </r>
  <r>
    <n v="988"/>
    <n v="24005"/>
    <s v="seyikrystals@gmail.com"/>
    <s v="Ojiebun Oluwaseyi Cecilia"/>
    <s v="26 Otunba Samson Ago Palace Way"/>
    <x v="0"/>
    <s v="College of medicine university of lagos"/>
    <x v="1"/>
    <s v="09039955431"/>
    <s v="firstsitting"/>
    <x v="1"/>
    <x v="3"/>
    <s v="Ibadan"/>
    <s v="NGN"/>
    <n v="195000"/>
    <s v=""/>
    <n v="0"/>
    <s v=""/>
    <n v="0"/>
    <s v=""/>
    <s v="240051988WACP727542935"/>
  </r>
  <r>
    <n v="989"/>
    <n v="14279"/>
    <s v="ikakitayoko1972@gmail.com"/>
    <s v="YOKO ikakita "/>
    <s v="49 Aggrey Road, Port Harcourt"/>
    <x v="0"/>
    <s v="RSUTH"/>
    <x v="1"/>
    <s v="08135952853"/>
    <s v="firstsitting"/>
    <x v="2"/>
    <x v="0"/>
    <s v="Ibadan"/>
    <s v="NGN"/>
    <n v="812500"/>
    <s v=""/>
    <n v="0"/>
    <s v=""/>
    <n v="162500"/>
    <s v=""/>
    <s v="142791989WACP786928712"/>
  </r>
  <r>
    <n v="990"/>
    <n v="24589"/>
    <s v="agyegord88@gmail.com"/>
    <s v="ANTWI Gordon Agyekum"/>
    <s v="P.o.box AH 1219 Achimota"/>
    <x v="1"/>
    <s v="University of Ghana Medical Centre"/>
    <x v="2"/>
    <s v="0558356352"/>
    <s v="firstsitting"/>
    <x v="1"/>
    <x v="4"/>
    <s v="Accra"/>
    <s v="USD"/>
    <s v=""/>
    <n v="150"/>
    <s v=""/>
    <n v="0"/>
    <s v=""/>
    <n v="0"/>
    <s v="GHWACP172248107"/>
  </r>
  <r>
    <n v="991"/>
    <n v="7326"/>
    <s v="hamzatzainab2012@gmail.com"/>
    <s v="HAMZAT Zainab Oluwatoyin"/>
    <s v="LAUTECH Teaching Hospital Ogbomoso, Oyo State"/>
    <x v="0"/>
    <s v="LAUTECH teaching hospital"/>
    <x v="1"/>
    <n v="7061102015"/>
    <s v="firstsitting"/>
    <x v="2"/>
    <x v="2"/>
    <s v="Ibadan"/>
    <s v="NGN"/>
    <n v="812500"/>
    <s v=""/>
    <n v="0"/>
    <s v=""/>
    <n v="162500"/>
    <s v=""/>
    <s v="73261991WACP998240700"/>
  </r>
  <r>
    <n v="992"/>
    <n v="5593"/>
    <s v="drfaitho1@gmail.com"/>
    <s v="ONIYIRE Olajumoke Abiodun"/>
    <s v="No 1, House of Prayer, Parkview Estate, Bagidan, Off Ijede road, Ikorodu Lagos state"/>
    <x v="0"/>
    <s v="Lagos University Teaching Hospital (LUTH)"/>
    <x v="1"/>
    <n v="8023337962"/>
    <s v="firstsitting"/>
    <x v="2"/>
    <x v="2"/>
    <s v="Ibadan"/>
    <s v="NGN"/>
    <n v="812500"/>
    <s v=""/>
    <n v="0"/>
    <s v=""/>
    <n v="162500"/>
    <s v=""/>
    <s v="55931992WACP378477075"/>
  </r>
  <r>
    <n v="993"/>
    <n v="16916"/>
    <s v="habilamathew@gmail.com"/>
    <s v="MATHEW Habila None"/>
    <s v="Usmanu Danfodiyo University Teaching Hospital Sokoto"/>
    <x v="1"/>
    <s v="Usmanu Danfodiyo University sokoto"/>
    <x v="1"/>
    <n v="8062963904"/>
    <s v="firstsitting"/>
    <x v="0"/>
    <x v="0"/>
    <s v="Ibadan"/>
    <s v="NGN"/>
    <n v="552500"/>
    <s v=""/>
    <n v="110500"/>
    <s v=""/>
    <n v="0"/>
    <s v=""/>
    <s v="169161993WACP975116133"/>
  </r>
  <r>
    <n v="994"/>
    <n v="5772"/>
    <s v="nringim@yahoo.com"/>
    <s v="HABIB  Nafisa  Ringim "/>
    <s v="No 357 Mai aduwa Goron Dutse, Kano "/>
    <x v="0"/>
    <s v="Aminu Kano Teaching Hospital, Kano."/>
    <x v="1"/>
    <n v="8033611000"/>
    <s v="firstsitting"/>
    <x v="2"/>
    <x v="4"/>
    <s v="Ibadan"/>
    <s v="NGN"/>
    <n v="812500"/>
    <s v=""/>
    <n v="0"/>
    <s v=""/>
    <n v="162500"/>
    <s v=""/>
    <s v="57721994WACP497241473"/>
  </r>
  <r>
    <n v="995"/>
    <n v="24597"/>
    <s v="kosisochukwuani@gmail.com"/>
    <s v="ANI Kosisochukwu Camela"/>
    <s v="28 Ekolou street off-itire road, Surulere Lagos"/>
    <x v="0"/>
    <s v="Enugu State University of Science and Technology"/>
    <x v="1"/>
    <s v="08104347770"/>
    <s v="firstsitting"/>
    <x v="1"/>
    <x v="0"/>
    <s v="Ibadan"/>
    <s v="NGN"/>
    <n v="195000"/>
    <s v=""/>
    <n v="0"/>
    <s v=""/>
    <n v="0"/>
    <s v=""/>
    <s v="245971995WACP438630248"/>
  </r>
  <r>
    <n v="996"/>
    <n v="24595"/>
    <s v="sophiaibiang@gmail.com"/>
    <s v="ETENG Ewoni-Sophia Ibiang"/>
    <s v="No 3 Elder&amp;#039;s close enima omin, 8 miles Calabar."/>
    <x v="0"/>
    <s v="University of Calabar teaching hospital."/>
    <x v="1"/>
    <s v="08107524110"/>
    <s v="firstsitting"/>
    <x v="1"/>
    <x v="2"/>
    <s v="Abuja"/>
    <s v="NGN"/>
    <n v="195000"/>
    <s v=""/>
    <n v="0"/>
    <s v=""/>
    <n v="0"/>
    <s v=""/>
    <s v="245951996WACP668454608"/>
  </r>
  <r>
    <n v="997"/>
    <n v="21565"/>
    <s v="zainabusmany@gmail.com"/>
    <s v="YAHAYA Zainab  Usman"/>
    <s v="44 Dennis osadebe crescent Apo legislative qtrs zone A"/>
    <x v="0"/>
    <s v="Sudan International university"/>
    <x v="1"/>
    <s v="08169768030"/>
    <s v="resitting"/>
    <x v="1"/>
    <x v="3"/>
    <s v="Abuja"/>
    <s v="NGN"/>
    <n v="195000"/>
    <s v=""/>
    <n v="0"/>
    <s v=""/>
    <n v="0"/>
    <s v=""/>
    <s v="215651997WACP944153672"/>
  </r>
  <r>
    <n v="998"/>
    <n v="2299"/>
    <s v="abdallah.jabir@yahoo.com"/>
    <s v="Abdullahi Jabir Muhammad"/>
    <s v="Department of Medicine, Ahmadu Bello University Teaching Hospital, Shika"/>
    <x v="1"/>
    <s v="Ahmadu Bello University Teaching Hospital, Shika"/>
    <x v="1"/>
    <s v="08039421961"/>
    <s v="firstsitting"/>
    <x v="2"/>
    <x v="3"/>
    <s v="Abuja"/>
    <s v="NGN"/>
    <n v="812500"/>
    <s v=""/>
    <n v="0"/>
    <s v=""/>
    <n v="162500"/>
    <s v=""/>
    <s v="22991998WACP943981627"/>
  </r>
  <r>
    <n v="999"/>
    <n v="23841"/>
    <s v="euniceolujimi@gmail.com"/>
    <s v="OLUJIMI  Eunice  Oluwagbemisola "/>
    <s v="1,Ogunbela avenue Ago palace way"/>
    <x v="0"/>
    <s v="Federal medical centre Ebute- metta"/>
    <x v="1"/>
    <s v="09038032686"/>
    <s v="firstsitting"/>
    <x v="1"/>
    <x v="0"/>
    <s v="Ibadan"/>
    <s v="NGN"/>
    <n v="195000"/>
    <s v=""/>
    <n v="0"/>
    <s v=""/>
    <n v="0"/>
    <s v=""/>
    <s v="238411999WACP298595588"/>
  </r>
  <r>
    <n v="1000"/>
    <n v="5339"/>
    <s v="salamatkeji@gmail.com"/>
    <s v="KEJI Salamat "/>
    <s v="FEDERAL MEDICAL CENTER KEFFI, KEFFI, NASARAWA STATE"/>
    <x v="0"/>
    <s v="Federal medical center keffi "/>
    <x v="1"/>
    <n v="8053271387"/>
    <s v="firstsitting"/>
    <x v="2"/>
    <x v="1"/>
    <s v="Abuja"/>
    <s v="NGN"/>
    <n v="812500"/>
    <s v=""/>
    <n v="0"/>
    <s v=""/>
    <n v="162500"/>
    <s v=""/>
    <s v="533911000WACP286246543"/>
  </r>
  <r>
    <n v="1001"/>
    <n v="9704"/>
    <s v="misanene2001@gmail.com"/>
    <s v="AJEMIGBITSE Oritsemisan Helen"/>
    <s v="National Hospital Abuja, department of Child Health, Garki  Phase 2, Abuja"/>
    <x v="0"/>
    <s v="National Hospital Abuja"/>
    <x v="1"/>
    <n v="8033592457"/>
    <s v="firstsitting"/>
    <x v="2"/>
    <x v="3"/>
    <s v="Abuja"/>
    <s v="NGN"/>
    <n v="812500"/>
    <s v=""/>
    <n v="0"/>
    <s v=""/>
    <n v="162500"/>
    <s v=""/>
    <s v="970411001WACP170856520"/>
  </r>
  <r>
    <n v="1002"/>
    <n v="22159"/>
    <s v="Wina_tek@hotmail.com"/>
    <s v="NUGA Edwina Olusola"/>
    <s v="5 Seye Nuga Street, Ashi, Ibadan, Nigeria"/>
    <x v="0"/>
    <s v="Federal Neuro-Psychiatric Hospital Yaba Lagos"/>
    <x v="1"/>
    <n v="2349082092854"/>
    <s v="firstsitting"/>
    <x v="0"/>
    <x v="4"/>
    <s v="Ibadan"/>
    <s v="NGN"/>
    <n v="552500"/>
    <s v=""/>
    <n v="0"/>
    <s v=""/>
    <n v="0"/>
    <s v=""/>
    <s v="GHWACP563071882"/>
  </r>
  <r>
    <n v="1003"/>
    <n v="18767"/>
    <s v="rennyuju@gmail.com"/>
    <s v="Udom Irene Uju Amos"/>
    <s v="18 union Street"/>
    <x v="0"/>
    <s v="University of uyo teaching hospital"/>
    <x v="1"/>
    <s v="08062929254"/>
    <s v="firstsitting"/>
    <x v="0"/>
    <x v="0"/>
    <s v="Abuja"/>
    <s v="NGN"/>
    <n v="552500"/>
    <s v=""/>
    <n v="0"/>
    <s v=""/>
    <n v="0"/>
    <s v=""/>
    <s v="1876711003WACP697667379"/>
  </r>
  <r>
    <n v="1004"/>
    <n v="18534"/>
    <s v="deborahnsiah52@gmail.com"/>
    <s v="AKOTO NSIAH Deborah Esi"/>
    <s v="P.0.Box 8348. Accra North"/>
    <x v="0"/>
    <s v="Korle-bu Teaching Hospital"/>
    <x v="2"/>
    <s v="0241101946"/>
    <s v="resitting"/>
    <x v="0"/>
    <x v="3"/>
    <s v="Accra"/>
    <s v="USD"/>
    <s v=""/>
    <n v="425"/>
    <s v=""/>
    <n v="0"/>
    <s v=""/>
    <n v="0"/>
    <s v="GHWACP11371962"/>
  </r>
  <r>
    <n v="1006"/>
    <n v="20029"/>
    <s v="adwoamed@yahoo.com"/>
    <s v="ANI-ASAMOAH  Gloria "/>
    <s v="SC 213, Tema"/>
    <x v="0"/>
    <s v="Korle Bu Polyclinic/ Clinical Medicine Department"/>
    <x v="2"/>
    <s v="0206469294"/>
    <s v="firstsitting"/>
    <x v="2"/>
    <x v="0"/>
    <s v="Accra"/>
    <s v="USD"/>
    <s v=""/>
    <n v="625"/>
    <s v=""/>
    <n v="0"/>
    <s v=""/>
    <n v="125"/>
    <s v="GHWACP575181475"/>
  </r>
  <r>
    <n v="1007"/>
    <n v="18940"/>
    <s v="aiteepp17@gmail.com"/>
    <s v="ANTHONY ITORO PAUL"/>
    <s v="23 akpan eno street,abak"/>
    <x v="0"/>
    <s v="university of uyo teaching hospital,uyo, akwaibom state"/>
    <x v="1"/>
    <s v="08064578429"/>
    <s v="firstsitting"/>
    <x v="0"/>
    <x v="0"/>
    <s v="Abuja"/>
    <s v="NGN"/>
    <n v="552500"/>
    <s v=""/>
    <n v="0"/>
    <s v=""/>
    <n v="0"/>
    <s v=""/>
    <s v="1894011007WACP883001205"/>
  </r>
  <r>
    <n v="1008"/>
    <n v="19586"/>
    <s v="drtom2008@gmail.com"/>
    <s v="THOMAS Elvis Ighodaro"/>
    <s v="8 OGBODU AVENUE ODONLA IKORODU LAGOS "/>
    <x v="1"/>
    <s v="UNIVERSITY OF BENIN "/>
    <x v="1"/>
    <s v="07037122665"/>
    <s v="firstsitting"/>
    <x v="0"/>
    <x v="0"/>
    <s v="Ibadan"/>
    <s v="NGN"/>
    <n v="552500"/>
    <s v=""/>
    <n v="0"/>
    <s v=""/>
    <n v="0"/>
    <s v=""/>
    <s v="1958611008WACP9104743"/>
  </r>
  <r>
    <n v="1009"/>
    <n v="19062"/>
    <s v="dremmanadetunji@gmail.com"/>
    <s v="ADETUNJI EMMANUEL ADEKUNLE"/>
    <s v="26, Tanimowo Street, Off Ishaga Close, Ilasamaja, Mushin Lagos"/>
    <x v="1"/>
    <s v="College of Medicine, University of Lagos "/>
    <x v="1"/>
    <s v="07068588751"/>
    <s v="firstsitting"/>
    <x v="0"/>
    <x v="0"/>
    <s v="Ibadan"/>
    <s v="NGN"/>
    <n v="552500"/>
    <s v=""/>
    <n v="0"/>
    <s v=""/>
    <n v="0"/>
    <s v=""/>
    <s v="1906211009WACP755300529"/>
  </r>
  <r>
    <n v="1010"/>
    <n v="5512"/>
    <s v="tukoricacid@gmail.com"/>
    <s v="TUKO Evans Godday"/>
    <s v="NDUTH, Okolobiri"/>
    <x v="1"/>
    <s v="Niger Delta University Teaching Hospital, Okolobiri"/>
    <x v="1"/>
    <s v="08065051919"/>
    <s v="resitting"/>
    <x v="0"/>
    <x v="3"/>
    <s v="Enugu"/>
    <s v="NGN"/>
    <n v="552500"/>
    <s v=""/>
    <n v="0"/>
    <s v=""/>
    <n v="0"/>
    <s v=""/>
    <s v="551211010WACP195006526"/>
  </r>
  <r>
    <n v="1011"/>
    <n v="24064"/>
    <s v="odoguprecious@yahoo.com"/>
    <s v="ODOGU Elohor Precious"/>
    <s v="No 27 Greenland Estate Ajah, Lagos"/>
    <x v="0"/>
    <s v="Kharkiv national medical university"/>
    <x v="1"/>
    <s v="07047338501"/>
    <s v="firstsitting"/>
    <x v="1"/>
    <x v="1"/>
    <s v="Ibadan"/>
    <s v="NGN"/>
    <n v="195000"/>
    <s v=""/>
    <n v="0"/>
    <s v=""/>
    <n v="0"/>
    <s v=""/>
    <s v="2406411011WACP952829321"/>
  </r>
  <r>
    <n v="1012"/>
    <n v="6830"/>
    <s v="homsielvire8@gmail.com"/>
    <s v="ANYANWU Chinedu Elvire"/>
    <s v="Egbu by Amawire, Owerri, Imo State"/>
    <x v="0"/>
    <s v="Federal medical center umuahia"/>
    <x v="1"/>
    <n v="7063456280"/>
    <s v="firstsitting"/>
    <x v="0"/>
    <x v="2"/>
    <s v="Enugu"/>
    <s v="NGN"/>
    <n v="552500"/>
    <s v=""/>
    <n v="110500"/>
    <s v=""/>
    <n v="0"/>
    <s v=""/>
    <s v="683011012WACP62652436"/>
  </r>
  <r>
    <n v="1014"/>
    <n v="4235"/>
    <s v="chenyoluv07@gmail.com"/>
    <s v="OMEDE Achenyo Abigail"/>
    <s v="Department of Clinical Medicine, University of Ilorin Teaching Hospital "/>
    <x v="0"/>
    <s v="University of Ilorin Teaching Hospital, Ilorin, Kwara State"/>
    <x v="1"/>
    <n v="8068611445"/>
    <s v="firstsitting"/>
    <x v="2"/>
    <x v="0"/>
    <s v="Ibadan"/>
    <s v="NGN"/>
    <n v="812500"/>
    <s v=""/>
    <n v="0"/>
    <s v=""/>
    <n v="162500"/>
    <s v=""/>
    <s v="423511014WACP179025933"/>
  </r>
  <r>
    <n v="1015"/>
    <n v="18996"/>
    <s v="togunolawale@gmail.com"/>
    <s v="olawale Togun Ayobami"/>
    <s v="Ogundipe phase 2 kirikiri apapa lagos"/>
    <x v="1"/>
    <s v="Ladoke akintola university of techonology ogbomoso"/>
    <x v="1"/>
    <s v="08106418097"/>
    <s v="firstsitting"/>
    <x v="0"/>
    <x v="3"/>
    <s v="Ibadan"/>
    <s v="NGN"/>
    <n v="552500"/>
    <s v=""/>
    <n v="0"/>
    <s v=""/>
    <n v="0"/>
    <s v=""/>
    <s v="1899611015WACP161346396"/>
  </r>
  <r>
    <n v="1016"/>
    <n v="21785"/>
    <s v="oyindakande@gmail.com"/>
    <s v="AKANDE  Oyindamola  Bisola "/>
    <s v="Plot 25 School Road 2 Satellite town Calabar "/>
    <x v="0"/>
    <s v="Madonna University "/>
    <x v="1"/>
    <s v="07032593536"/>
    <s v="firstsitting"/>
    <x v="1"/>
    <x v="4"/>
    <s v="Enugu"/>
    <s v="NGN"/>
    <n v="195000"/>
    <s v=""/>
    <n v="0"/>
    <s v=""/>
    <n v="0"/>
    <s v=""/>
    <s v="2178511016WACP696102971"/>
  </r>
  <r>
    <n v="1017"/>
    <n v="8488"/>
    <s v="folajimioyebola@yahoo.co.uk"/>
    <s v="OYEBOLA OLUFOLAJIMI OLUFOLAYELE"/>
    <s v="3/5 ADEBISI STREET ADEKUNLE YABA LAGOS"/>
    <x v="1"/>
    <s v="General Hospital Lagos"/>
    <x v="1"/>
    <n v="8033307981"/>
    <s v="firstsitting"/>
    <x v="2"/>
    <x v="0"/>
    <s v="Ibadan"/>
    <s v="NGN"/>
    <n v="812500"/>
    <s v=""/>
    <n v="0"/>
    <s v=""/>
    <n v="162500"/>
    <s v=""/>
    <s v="GHWACP898665259"/>
  </r>
  <r>
    <n v="1018"/>
    <n v="4734"/>
    <s v="oghenetegaonyibia@yahoo.com"/>
    <s v="ONYIBIA AKHIGBE-OBOH Oghenetega Chiwendu"/>
    <s v="SHOR, Doctors Quarters, University of Benin Teaching Hospital, Ugbowo, Benin City, Edo State."/>
    <x v="0"/>
    <s v="University of Benin Teaching Hospital, Benin City, Edo State."/>
    <x v="1"/>
    <n v="7032615176"/>
    <s v="resitting"/>
    <x v="0"/>
    <x v="3"/>
    <s v="Ibadan"/>
    <s v="NGN"/>
    <n v="552500"/>
    <s v=""/>
    <n v="0"/>
    <s v=""/>
    <n v="0"/>
    <s v=""/>
    <s v="473411018WACP740005845"/>
  </r>
  <r>
    <n v="1019"/>
    <n v="935"/>
    <s v="celsusking@gmail.com"/>
    <s v="EZE Kenechukwu Celsus"/>
    <s v="DEPARTMENT OF Child Health, UDUTH, SOKOTO"/>
    <x v="1"/>
    <s v="USMANU DANFODIYO UNIVERSITY TEACHING HOSPITAL,  SOKOTO"/>
    <x v="1"/>
    <n v="8033456077"/>
    <s v="firstsitting"/>
    <x v="2"/>
    <x v="3"/>
    <s v="Abuja"/>
    <s v="NGN"/>
    <n v="812500"/>
    <s v=""/>
    <n v="0"/>
    <s v=""/>
    <n v="162500"/>
    <s v=""/>
    <s v="93511019WACP490859340"/>
  </r>
  <r>
    <n v="1020"/>
    <n v="22917"/>
    <s v="aminagubio@gmail.com"/>
    <s v="GUBIO Amina Modu"/>
    <s v="Doctors Quaters, Kano road, Maiduguri Borno State "/>
    <x v="0"/>
    <s v="University of Maiduguri teacher hospital "/>
    <x v="1"/>
    <s v="08032181741"/>
    <s v="resitting"/>
    <x v="1"/>
    <x v="1"/>
    <s v="Abuja"/>
    <s v="NGN"/>
    <n v="195000"/>
    <s v=""/>
    <n v="0"/>
    <s v=""/>
    <n v="0"/>
    <s v=""/>
    <s v="2291711020WACP609731085"/>
  </r>
  <r>
    <n v="1021"/>
    <n v="24570"/>
    <s v="maryamsarina216@gmail.com"/>
    <s v="SARINA Maryam Ibrahim"/>
    <s v="No.sarina street,hotoro Kano."/>
    <x v="0"/>
    <s v="Aminu kano teaching hospital"/>
    <x v="1"/>
    <s v="08032313150"/>
    <s v="firstsitting"/>
    <x v="1"/>
    <x v="4"/>
    <s v="Abuja"/>
    <s v="NGN"/>
    <n v="195000"/>
    <s v=""/>
    <n v="0"/>
    <s v=""/>
    <n v="0"/>
    <s v=""/>
    <s v="2457011021WACP486987991"/>
  </r>
  <r>
    <n v="1022"/>
    <n v="23578"/>
    <s v="anassackeyfio1713@gmail.com"/>
    <s v="SACKEYFIO Anastasia Naa Afarley"/>
    <s v="P.O BOX ML 754, Mallam, Accra"/>
    <x v="0"/>
    <s v="Ho Teaching Hospital"/>
    <x v="2"/>
    <s v="0547712551"/>
    <s v="firstsitting"/>
    <x v="1"/>
    <x v="1"/>
    <s v="Accra"/>
    <s v="USD"/>
    <s v=""/>
    <n v="150"/>
    <s v=""/>
    <n v="0"/>
    <s v=""/>
    <n v="0"/>
    <s v="GHWACP698253240"/>
  </r>
  <r>
    <n v="1023"/>
    <n v="2896"/>
    <s v="indefinitereality@yahoo.com"/>
    <s v="ASEKHAME Omokhowa Tito"/>
    <s v="DEPARTMENT OF MEDICINE, NNAMDI AZIKIWE UNIVERSITY TEACHING HOSPITAL, NNEWI, ANAMBRA STATE"/>
    <x v="1"/>
    <s v="Nnamdi  Azikiwe  University  Teaching  Hospital  Nnewi "/>
    <x v="1"/>
    <s v="08064080185"/>
    <s v="resitting"/>
    <x v="2"/>
    <x v="3"/>
    <s v="Abuja"/>
    <s v="NGN"/>
    <n v="812500"/>
    <s v=""/>
    <n v="0"/>
    <s v=""/>
    <n v="162500"/>
    <s v=""/>
    <s v="289611023WACP546127399"/>
  </r>
  <r>
    <n v="1024"/>
    <n v="24587"/>
    <s v="drexlerwoodbridge@gmail.com"/>
    <s v="AKPA victor ochefu"/>
    <s v="Q LINE FEDERAL LOWCOST MAKURDI"/>
    <x v="1"/>
    <s v="BENUE STATE UNIVERSITY MAKURDI"/>
    <x v="1"/>
    <s v="08032573945"/>
    <s v="firstsitting"/>
    <x v="1"/>
    <x v="0"/>
    <s v="Enugu"/>
    <s v="NGN"/>
    <n v="195000"/>
    <s v=""/>
    <n v="0"/>
    <s v=""/>
    <n v="0"/>
    <s v=""/>
    <s v="2458711024WACP386839599"/>
  </r>
  <r>
    <n v="1025"/>
    <n v="9149"/>
    <s v="ojaymcdon@gmail.com"/>
    <s v="OJE Ogbonnaya Donald"/>
    <s v="University of Abuja Teaching Hospital. Gwagwalada."/>
    <x v="1"/>
    <s v="University of Abuja Teaching Hospital. Gwagwalada."/>
    <x v="1"/>
    <n v="2348057184630"/>
    <s v="firstsitting"/>
    <x v="2"/>
    <x v="3"/>
    <s v="Ibadan"/>
    <s v="NGN"/>
    <n v="812500"/>
    <s v=""/>
    <n v="0"/>
    <s v=""/>
    <n v="162500"/>
    <s v=""/>
    <s v="914911025WACP895923255"/>
  </r>
  <r>
    <n v="1026"/>
    <n v="2848"/>
    <s v="dineaorga@gmail.com"/>
    <s v="AORGA Aondonengen  James "/>
    <s v="Behind Yamayus Filling Station, Old Otukpo Road, Makurdi, Benue State."/>
    <x v="1"/>
    <s v="Department of Population Health, Benue State University Teaching Hospital, Makurdi, Benue State"/>
    <x v="1"/>
    <s v="07066762832"/>
    <s v="resitting"/>
    <x v="0"/>
    <x v="1"/>
    <s v="Abuja"/>
    <s v="NGN"/>
    <n v="552500"/>
    <s v=""/>
    <n v="0"/>
    <s v=""/>
    <n v="0"/>
    <s v=""/>
    <s v="284811026WACP754965956"/>
  </r>
  <r>
    <n v="1027"/>
    <n v="21301"/>
    <s v="wisdomagboro@gmail.com"/>
    <s v="AGBORO Oghenekobiruo Wisdom"/>
    <s v="Delta State University Teaching Hospital Oghara Delta State "/>
    <x v="1"/>
    <s v="Delta State University Teaching Hospital Oghara Delta State "/>
    <x v="1"/>
    <n v="2348105379084"/>
    <s v="firstsitting"/>
    <x v="0"/>
    <x v="3"/>
    <s v="Abuja"/>
    <s v="NGN"/>
    <n v="552500"/>
    <s v=""/>
    <n v="0"/>
    <s v=""/>
    <n v="0"/>
    <s v=""/>
    <s v="2130111027WACP864895830"/>
  </r>
  <r>
    <n v="1028"/>
    <n v="19596"/>
    <s v="olurotimibello@gmail.com"/>
    <s v="BELLO OLUROTIMI VICTOR"/>
    <s v="3, Oluwole Ogunleye Street"/>
    <x v="1"/>
    <s v="university of Medical Sciences Teaching Hospital Complex, Laje Road, Ondo"/>
    <x v="1"/>
    <s v="07030436307"/>
    <s v="firstsitting"/>
    <x v="2"/>
    <x v="0"/>
    <s v="Ibadan"/>
    <s v="NGN"/>
    <n v="812500"/>
    <s v=""/>
    <n v="0"/>
    <s v=""/>
    <n v="162500"/>
    <s v=""/>
    <s v="1959611028WACP80952977"/>
  </r>
  <r>
    <n v="1029"/>
    <n v="4019"/>
    <s v="amaechijeoma@yahoo.com"/>
    <s v="AMAECHI Ijeoma Grace"/>
    <s v="25 ahoada road, rumuibekwe housing estate"/>
    <x v="0"/>
    <s v="RIVERS STATE UNIVERSITY TEACHING HOSPITAL"/>
    <x v="1"/>
    <n v="8033125679"/>
    <s v="firstsitting"/>
    <x v="2"/>
    <x v="0"/>
    <s v="Ibadan"/>
    <s v="NGN"/>
    <n v="812500"/>
    <s v=""/>
    <n v="0"/>
    <s v=""/>
    <n v="162500"/>
    <s v=""/>
    <s v="401911029WACP107041508"/>
  </r>
  <r>
    <n v="1030"/>
    <n v="1870"/>
    <s v="em_bee1@yahoo.com"/>
    <s v="SOKUNBI mbang oluwafunmilayo hephzibah"/>
    <s v="F.M.C EBUTE METTA LAGOS"/>
    <x v="0"/>
    <s v="FMC EBUTE METTA LAGOS"/>
    <x v="1"/>
    <s v="08022871601;08160229750"/>
    <s v="firstsitting"/>
    <x v="2"/>
    <x v="0"/>
    <s v="Ibadan"/>
    <s v="NGN"/>
    <n v="812500"/>
    <s v=""/>
    <n v="0"/>
    <s v=""/>
    <n v="162500"/>
    <s v=""/>
    <s v="187011030WACP13718492"/>
  </r>
  <r>
    <n v="1031"/>
    <n v="23908"/>
    <s v="zeemed18@yahoo.com"/>
    <s v="AHMED Zainab "/>
    <s v="no 123 Hausawa doctors streetlayout"/>
    <x v="0"/>
    <s v="Aminu Kano Teaching Hospital Kano"/>
    <x v="1"/>
    <s v="08031395603"/>
    <s v="firstsitting"/>
    <x v="1"/>
    <x v="0"/>
    <s v="Abuja"/>
    <s v="NGN"/>
    <n v="195000"/>
    <s v=""/>
    <n v="0"/>
    <s v=""/>
    <n v="0"/>
    <s v=""/>
    <s v="2390811031WACP874458136"/>
  </r>
  <r>
    <n v="1032"/>
    <n v="19341"/>
    <s v="micahjatau@yahoo.com"/>
    <s v="JATAU Micah Shekwoiko"/>
    <s v="33A NADP Project Quarters, Shendam Road"/>
    <x v="1"/>
    <s v="Federal University Teaching Hospital, Lafia"/>
    <x v="1"/>
    <n v="2348102805799"/>
    <s v="firstsitting"/>
    <x v="1"/>
    <x v="2"/>
    <s v="Abuja"/>
    <s v="NGN"/>
    <n v="195000"/>
    <s v=""/>
    <n v="0"/>
    <s v=""/>
    <n v="0"/>
    <s v=""/>
    <s v="1934111032WACP262529161"/>
  </r>
  <r>
    <n v="1033"/>
    <n v="9203"/>
    <s v="tessychi_n@yahoo.com"/>
    <s v="NWANKWO Chinweoke Theresa"/>
    <s v="1st Avenue B close House 3 FESTAC Lagos"/>
    <x v="0"/>
    <s v="Lagos State University Teaching Hospital Lasuth"/>
    <x v="1"/>
    <n v="8063007723"/>
    <s v="firstsitting"/>
    <x v="2"/>
    <x v="0"/>
    <s v="Ibadan"/>
    <s v="NGN"/>
    <n v="812500"/>
    <s v=""/>
    <n v="0"/>
    <s v=""/>
    <n v="162500"/>
    <s v=""/>
    <s v="920311033WACP567907672"/>
  </r>
  <r>
    <n v="1034"/>
    <n v="10890"/>
    <s v="sisterroms@gmail.com"/>
    <s v="PETER Moromoke  Esther"/>
    <s v="C/O CCU, OAUTHC, ILE-IFE "/>
    <x v="0"/>
    <s v="Obafemi Awolowo University  Teaching Hospitals Complex Ile-ife "/>
    <x v="1"/>
    <n v="8035600614"/>
    <s v="firstsitting"/>
    <x v="2"/>
    <x v="3"/>
    <s v="Ibadan"/>
    <s v="NGN"/>
    <n v="812500"/>
    <s v=""/>
    <n v="0"/>
    <s v=""/>
    <n v="162500"/>
    <s v=""/>
    <s v="1089011034WACP585087198"/>
  </r>
  <r>
    <n v="1035"/>
    <n v="24605"/>
    <s v="fzarahsadiq@gmail.com"/>
    <s v="USMAN Fatima Sadiq"/>
    <s v="Danmanawa kano"/>
    <x v="0"/>
    <s v="Bayero University Kano"/>
    <x v="1"/>
    <s v="234 806 438 7543"/>
    <s v="firstsitting"/>
    <x v="1"/>
    <x v="2"/>
    <s v="Abuja"/>
    <s v="NGN"/>
    <n v="195000"/>
    <s v=""/>
    <n v="0"/>
    <s v=""/>
    <n v="0"/>
    <s v=""/>
    <s v="2460511035WACP356786011"/>
  </r>
  <r>
    <n v="1036"/>
    <n v="11176"/>
    <s v="amakablez@gmail.com"/>
    <s v="EGWORAHA Nwamaka Okoro"/>
    <s v="No 2 okeren lane, off Akintola Road sapele Delta State."/>
    <x v="0"/>
    <s v="Obafemi Awolowo University ile ife"/>
    <x v="1"/>
    <n v="7037598790"/>
    <s v="firstsitting"/>
    <x v="0"/>
    <x v="3"/>
    <s v="Abuja"/>
    <s v="NGN"/>
    <n v="552500"/>
    <s v=""/>
    <n v="0"/>
    <s v=""/>
    <n v="0"/>
    <s v=""/>
    <s v="1117611036WACP941311801"/>
  </r>
  <r>
    <n v="1037"/>
    <n v="24509"/>
    <s v="giddyjunior@yahoo.com"/>
    <s v="OPPONG Gideon Yaw"/>
    <s v="New Bortanor"/>
    <x v="1"/>
    <s v="3M&amp;amp;C MEDICAL CENTER"/>
    <x v="2"/>
    <s v="0559591270"/>
    <s v="firstsitting"/>
    <x v="1"/>
    <x v="1"/>
    <s v="Accra"/>
    <s v="USD"/>
    <s v=""/>
    <n v="150"/>
    <s v=""/>
    <n v="0"/>
    <s v=""/>
    <n v="0"/>
    <s v="2450911037WACP700324184"/>
  </r>
  <r>
    <n v="1039"/>
    <n v="24610"/>
    <s v="kennii500@gmail.com"/>
    <s v="TETTEY Louise Nii Ayeboi"/>
    <s v="Box 77"/>
    <x v="1"/>
    <s v="Korle Bu Teaching Hospital Polyclinic"/>
    <x v="2"/>
    <s v="0594480229"/>
    <s v="firstsitting"/>
    <x v="1"/>
    <x v="0"/>
    <s v="Accra"/>
    <s v="USD"/>
    <s v=""/>
    <n v="150"/>
    <s v=""/>
    <n v="0"/>
    <s v=""/>
    <n v="0"/>
    <s v="GHWACP978485397"/>
  </r>
  <r>
    <n v="1040"/>
    <n v="24599"/>
    <s v="mawizgreaye@yahoo.com"/>
    <s v="YEWENU Mawuko Wisdom"/>
    <s v="P.O. Box DC 63, Dansoman, Accra"/>
    <x v="1"/>
    <s v="Cocoa Clinic, Accra"/>
    <x v="2"/>
    <s v="0553840148/0268119390"/>
    <s v="firstsitting"/>
    <x v="1"/>
    <x v="4"/>
    <s v="Accra"/>
    <s v="USD"/>
    <s v=""/>
    <n v="150"/>
    <s v=""/>
    <n v="0"/>
    <s v=""/>
    <n v="0"/>
    <s v="GHWACP873153658"/>
  </r>
  <r>
    <n v="1041"/>
    <n v="24348"/>
    <s v="exilaxhockett@gmail.com"/>
    <s v="IBRAHIM  Rahinatu "/>
    <s v="ParliamentaryServicesofGhana, PMB-Osu,Accra"/>
    <x v="0"/>
    <s v="Parliament Medical Centre"/>
    <x v="2"/>
    <n v="233244835801"/>
    <s v="firstsitting"/>
    <x v="1"/>
    <x v="0"/>
    <s v="Accra"/>
    <s v="USD"/>
    <s v=""/>
    <n v="150"/>
    <s v=""/>
    <n v="0"/>
    <s v=""/>
    <n v="0"/>
    <s v="GHWACP62329163"/>
  </r>
  <r>
    <n v="1042"/>
    <n v="22957"/>
    <s v="emmanuelpflomo@gmail.com"/>
    <s v="FLOMO Emmanuel P"/>
    <s v="Tubman Boulevard"/>
    <x v="1"/>
    <s v="John F. Kennedy Medical Center "/>
    <x v="4"/>
    <n v="231886965551"/>
    <s v="firstsitting"/>
    <x v="0"/>
    <x v="4"/>
    <s v="Monrovia"/>
    <s v="USD"/>
    <s v=""/>
    <n v="425"/>
    <s v=""/>
    <n v="0"/>
    <s v=""/>
    <n v="0"/>
    <s v="GHWACP403852649"/>
  </r>
  <r>
    <n v="1043"/>
    <n v="21658"/>
    <s v="tsocro@gmail.com"/>
    <s v="SOCRO Terry Juty"/>
    <s v="JFK Medical Center, Monrovia, Liberia "/>
    <x v="1"/>
    <s v="JFK Medical Center, Liberia College of Physicians and Surgeons (LCPS)"/>
    <x v="4"/>
    <n v="231886930670"/>
    <s v="firstsitting"/>
    <x v="0"/>
    <x v="4"/>
    <s v="Monrovia"/>
    <s v="USD"/>
    <s v=""/>
    <n v="425"/>
    <s v=""/>
    <n v="0"/>
    <s v=""/>
    <n v="0"/>
    <s v="GHWACP717480043"/>
  </r>
  <r>
    <n v="1044"/>
    <n v="18316"/>
    <s v="ziahmo@gmail.com"/>
    <s v="ZIAH II MOSES "/>
    <s v="E.S. Grant Mental Hospital, JFK Medical Centre, Liberia"/>
    <x v="1"/>
    <s v="Liberia College of Physicians and Surgeons (LCPS)"/>
    <x v="4"/>
    <n v="231886737325"/>
    <s v="firstsitting"/>
    <x v="0"/>
    <x v="4"/>
    <s v="Monrovia"/>
    <s v="USD"/>
    <s v=""/>
    <n v="425"/>
    <s v=""/>
    <n v="0"/>
    <s v=""/>
    <n v="0"/>
    <s v="GHWACP154074156"/>
  </r>
  <r>
    <n v="1045"/>
    <n v="21779"/>
    <s v="izetta2013@gmail.com"/>
    <s v="SHERIFF  Izetta  Sianeh"/>
    <s v="Duport Road- Paynesville, Liberia "/>
    <x v="0"/>
    <s v="John F. Kennedy Medical Center"/>
    <x v="4"/>
    <n v="231886741103"/>
    <s v="firstsitting"/>
    <x v="0"/>
    <x v="4"/>
    <s v="Monrovia"/>
    <s v="USD"/>
    <s v=""/>
    <n v="425"/>
    <s v=""/>
    <n v="0"/>
    <s v=""/>
    <n v="0"/>
    <s v="GHWACP3147957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90FA84-7900-46CD-8887-62B62028D003}" name="PivotTable1"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Gender">
  <location ref="AV4:AW6" firstHeaderRow="1" firstDataRow="1" firstDataCol="1"/>
  <pivotFields count="21">
    <pivotField showAll="0"/>
    <pivotField showAll="0"/>
    <pivotField showAll="0"/>
    <pivotField dataField="1" showAll="0"/>
    <pivotField showAll="0"/>
    <pivotField axis="axisRow" showAll="0">
      <items count="4">
        <item h="1" m="1" x="2"/>
        <item x="0"/>
        <item x="1"/>
        <item t="default"/>
      </items>
    </pivotField>
    <pivotField showAll="0"/>
    <pivotField showAll="0">
      <items count="7">
        <item x="0"/>
        <item x="2"/>
        <item x="4"/>
        <item m="1" x="5"/>
        <item x="1"/>
        <item x="3"/>
        <item t="default"/>
      </items>
    </pivotField>
    <pivotField showAll="0"/>
    <pivotField showAll="0"/>
    <pivotField showAll="0">
      <items count="7">
        <item m="1" x="5"/>
        <item m="1" x="3"/>
        <item m="1" x="4"/>
        <item x="0"/>
        <item x="1"/>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5"/>
  </rowFields>
  <rowItems count="2">
    <i>
      <x v="1"/>
    </i>
    <i>
      <x v="2"/>
    </i>
  </rowItems>
  <colItems count="1">
    <i/>
  </colItems>
  <dataFields count="1">
    <dataField name="Count Registration" fld="3" subtotal="count" baseField="0" baseItem="0"/>
  </dataFields>
  <formats count="16">
    <format dxfId="81">
      <pivotArea outline="0" collapsedLevelsAreSubtotals="1" fieldPosition="0"/>
    </format>
    <format dxfId="80">
      <pivotArea field="11" type="button" dataOnly="0" labelOnly="1" outline="0"/>
    </format>
    <format dxfId="79">
      <pivotArea field="11" type="button" dataOnly="0" labelOnly="1" outline="0"/>
    </format>
    <format dxfId="78">
      <pivotArea field="10" type="button" dataOnly="0" labelOnly="1" outline="0"/>
    </format>
    <format dxfId="77">
      <pivotArea dataOnly="0" labelOnly="1" outline="0" axis="axisValues" fieldPosition="0"/>
    </format>
    <format dxfId="76">
      <pivotArea field="10" type="button" dataOnly="0" labelOnly="1" outline="0"/>
    </format>
    <format dxfId="75">
      <pivotArea dataOnly="0" labelOnly="1" outline="0" axis="axisValues" fieldPosition="0"/>
    </format>
    <format dxfId="74">
      <pivotArea field="10" type="button" dataOnly="0" labelOnly="1" outline="0"/>
    </format>
    <format dxfId="73">
      <pivotArea dataOnly="0" labelOnly="1" outline="0" axis="axisValues" fieldPosition="0"/>
    </format>
    <format dxfId="72">
      <pivotArea field="5" type="button" dataOnly="0" labelOnly="1" outline="0" axis="axisRow" fieldPosition="0"/>
    </format>
    <format dxfId="71">
      <pivotArea field="5" type="button" dataOnly="0" labelOnly="1" outline="0" axis="axisRow" fieldPosition="0"/>
    </format>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8B813-D4BA-4482-ABAB-E88D057D1E08}" name="PivotTable37" cacheId="4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Examinations">
  <location ref="AM4:AN8" firstHeaderRow="1" firstDataRow="1" firstDataCol="1"/>
  <pivotFields count="21">
    <pivotField showAll="0"/>
    <pivotField showAll="0"/>
    <pivotField showAll="0"/>
    <pivotField dataField="1" showAll="0"/>
    <pivotField showAll="0"/>
    <pivotField showAll="0"/>
    <pivotField showAll="0"/>
    <pivotField showAll="0">
      <items count="7">
        <item x="0"/>
        <item x="2"/>
        <item x="4"/>
        <item m="1" x="5"/>
        <item x="1"/>
        <item x="3"/>
        <item t="default"/>
      </items>
    </pivotField>
    <pivotField showAll="0"/>
    <pivotField showAll="0"/>
    <pivotField axis="axisRow" showAll="0">
      <items count="7">
        <item m="1" x="5"/>
        <item m="1" x="3"/>
        <item m="1" x="4"/>
        <item x="0"/>
        <item x="1"/>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10"/>
  </rowFields>
  <rowItems count="4">
    <i>
      <x v="3"/>
    </i>
    <i>
      <x v="4"/>
    </i>
    <i>
      <x v="5"/>
    </i>
    <i t="grand">
      <x/>
    </i>
  </rowItems>
  <colItems count="1">
    <i/>
  </colItems>
  <dataFields count="1">
    <dataField name="Count Registration" fld="3" subtotal="count" baseField="0" baseItem="0"/>
  </dataFields>
  <formats count="15">
    <format dxfId="90">
      <pivotArea outline="0" collapsedLevelsAreSubtotals="1" fieldPosition="0"/>
    </format>
    <format dxfId="89">
      <pivotArea field="11" type="button" dataOnly="0" labelOnly="1" outline="0"/>
    </format>
    <format dxfId="88">
      <pivotArea field="11" type="button" dataOnly="0" labelOnly="1" outline="0"/>
    </format>
    <format dxfId="87">
      <pivotArea field="10" type="button" dataOnly="0" labelOnly="1" outline="0" axis="axisRow" fieldPosition="0"/>
    </format>
    <format dxfId="86">
      <pivotArea dataOnly="0" labelOnly="1" outline="0" axis="axisValues" fieldPosition="0"/>
    </format>
    <format dxfId="85">
      <pivotArea field="10" type="button" dataOnly="0" labelOnly="1" outline="0" axis="axisRow" fieldPosition="0"/>
    </format>
    <format dxfId="84">
      <pivotArea dataOnly="0" labelOnly="1" outline="0" axis="axisValues" fieldPosition="0"/>
    </format>
    <format dxfId="83">
      <pivotArea field="10" type="button" dataOnly="0" labelOnly="1" outline="0" axis="axisRow" fieldPosition="0"/>
    </format>
    <format dxfId="82">
      <pivotArea dataOnly="0" labelOnly="1" outline="0" axis="axisValues" fieldPosition="0"/>
    </format>
    <format dxfId="35">
      <pivotArea type="all" dataOnly="0" outline="0" fieldPosition="0"/>
    </format>
    <format dxfId="34">
      <pivotArea outline="0" collapsedLevelsAreSubtotals="1" fieldPosition="0"/>
    </format>
    <format dxfId="33">
      <pivotArea field="10" type="button" dataOnly="0" labelOnly="1" outline="0" axis="axisRow" fieldPosition="0"/>
    </format>
    <format dxfId="32">
      <pivotArea dataOnly="0" labelOnly="1" fieldPosition="0">
        <references count="1">
          <reference field="10"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65A9A-862F-4767-87A8-A55EB11E6B7A}" name="PivotTable33"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Faculty">
  <location ref="X4:AA9" firstHeaderRow="0" firstDataRow="1" firstDataCol="1"/>
  <pivotFields count="21">
    <pivotField showAll="0"/>
    <pivotField showAll="0"/>
    <pivotField showAll="0"/>
    <pivotField showAll="0"/>
    <pivotField showAll="0"/>
    <pivotField showAll="0"/>
    <pivotField showAll="0"/>
    <pivotField showAll="0">
      <items count="7">
        <item x="0"/>
        <item x="2"/>
        <item x="4"/>
        <item m="1" x="5"/>
        <item x="1"/>
        <item x="3"/>
        <item t="default"/>
      </items>
    </pivotField>
    <pivotField showAll="0"/>
    <pivotField showAll="0"/>
    <pivotField showAll="0">
      <items count="7">
        <item x="0"/>
        <item m="1" x="5"/>
        <item x="1"/>
        <item m="1" x="3"/>
        <item m="1" x="4"/>
        <item x="2"/>
        <item t="default"/>
      </items>
    </pivotField>
    <pivotField axis="axisRow" showAll="0">
      <items count="26">
        <item m="1" x="7"/>
        <item m="1" x="10"/>
        <item m="1" x="8"/>
        <item m="1" x="12"/>
        <item m="1" x="14"/>
        <item m="1" x="13"/>
        <item m="1" x="15"/>
        <item m="1" x="19"/>
        <item m="1" x="16"/>
        <item m="1" x="23"/>
        <item m="1" x="21"/>
        <item m="1" x="17"/>
        <item m="1" x="11"/>
        <item m="1" x="22"/>
        <item m="1" x="18"/>
        <item m="1" x="5"/>
        <item m="1" x="6"/>
        <item m="1" x="20"/>
        <item m="1" x="24"/>
        <item m="1" x="9"/>
        <item x="0"/>
        <item x="1"/>
        <item x="2"/>
        <item x="3"/>
        <item x="4"/>
        <item t="default"/>
      </items>
    </pivotField>
    <pivotField showAll="0"/>
    <pivotField showAll="0"/>
    <pivotField showAll="0"/>
    <pivotField dataField="1" showAll="0"/>
    <pivotField showAll="0"/>
    <pivotField dataField="1" showAll="0"/>
    <pivotField showAll="0"/>
    <pivotField dataField="1" showAll="0"/>
    <pivotField showAll="0"/>
  </pivotFields>
  <rowFields count="1">
    <field x="11"/>
  </rowFields>
  <rowItems count="5">
    <i>
      <x v="20"/>
    </i>
    <i>
      <x v="21"/>
    </i>
    <i>
      <x v="22"/>
    </i>
    <i>
      <x v="23"/>
    </i>
    <i>
      <x v="24"/>
    </i>
  </rowItems>
  <colFields count="1">
    <field x="-2"/>
  </colFields>
  <colItems count="3">
    <i>
      <x/>
    </i>
    <i i="1">
      <x v="1"/>
    </i>
    <i i="2">
      <x v="2"/>
    </i>
  </colItems>
  <dataFields count="3">
    <dataField name="Exam Fees ($)" fld="15" baseField="11" baseItem="0"/>
    <dataField name="Sum of Practical ($)" fld="17" baseField="11" baseItem="0"/>
    <dataField name="Sum of Dissertation ($)" fld="19" baseField="11" baseItem="0"/>
  </dataFields>
  <formats count="11">
    <format dxfId="96">
      <pivotArea field="11" type="button" dataOnly="0" labelOnly="1" outline="0" axis="axisRow" fieldPosition="0"/>
    </format>
    <format dxfId="95">
      <pivotArea field="11" type="button" dataOnly="0" labelOnly="1" outline="0" axis="axisRow" fieldPosition="0"/>
    </format>
    <format dxfId="94">
      <pivotArea dataOnly="0" labelOnly="1" outline="0" fieldPosition="0">
        <references count="1">
          <reference field="4294967294" count="3">
            <x v="0"/>
            <x v="1"/>
            <x v="2"/>
          </reference>
        </references>
      </pivotArea>
    </format>
    <format dxfId="93">
      <pivotArea dataOnly="0" labelOnly="1" outline="0" fieldPosition="0">
        <references count="1">
          <reference field="4294967294" count="3">
            <x v="0"/>
            <x v="1"/>
            <x v="2"/>
          </reference>
        </references>
      </pivotArea>
    </format>
    <format dxfId="92">
      <pivotArea dataOnly="0" labelOnly="1" outline="0" fieldPosition="0">
        <references count="1">
          <reference field="4294967294" count="3">
            <x v="0"/>
            <x v="1"/>
            <x v="2"/>
          </reference>
        </references>
      </pivotArea>
    </format>
    <format dxfId="91">
      <pivotArea outline="0" collapsedLevelsAreSubtotals="1" fieldPosition="0"/>
    </format>
    <format dxfId="50">
      <pivotArea type="all" dataOnly="0" outline="0" fieldPosition="0"/>
    </format>
    <format dxfId="49">
      <pivotArea outline="0" collapsedLevelsAreSubtotals="1" fieldPosition="0"/>
    </format>
    <format dxfId="48">
      <pivotArea field="11" type="button" dataOnly="0" labelOnly="1" outline="0" axis="axisRow" fieldPosition="0"/>
    </format>
    <format dxfId="47">
      <pivotArea dataOnly="0" labelOnly="1" fieldPosition="0">
        <references count="1">
          <reference field="11" count="0"/>
        </references>
      </pivotArea>
    </format>
    <format dxfId="46">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2B13A0-5E4E-4724-8DF1-ADEE9363BA3E}" name="PivotTable36"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Examinations">
  <location ref="AH4:AK7" firstHeaderRow="0" firstDataRow="1" firstDataCol="1"/>
  <pivotFields count="21">
    <pivotField showAll="0"/>
    <pivotField showAll="0"/>
    <pivotField showAll="0"/>
    <pivotField showAll="0"/>
    <pivotField showAll="0"/>
    <pivotField showAll="0"/>
    <pivotField showAll="0"/>
    <pivotField showAll="0">
      <items count="7">
        <item x="0"/>
        <item x="2"/>
        <item x="4"/>
        <item m="1" x="5"/>
        <item x="1"/>
        <item x="3"/>
        <item t="default"/>
      </items>
    </pivotField>
    <pivotField showAll="0"/>
    <pivotField showAll="0"/>
    <pivotField axis="axisRow" showAll="0">
      <items count="7">
        <item m="1" x="5"/>
        <item m="1" x="3"/>
        <item m="1" x="4"/>
        <item x="0"/>
        <item x="1"/>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dataField="1" showAll="0"/>
    <pivotField showAll="0"/>
    <pivotField dataField="1" showAll="0"/>
    <pivotField showAll="0"/>
    <pivotField dataField="1" showAll="0"/>
    <pivotField showAll="0"/>
  </pivotFields>
  <rowFields count="1">
    <field x="10"/>
  </rowFields>
  <rowItems count="3">
    <i>
      <x v="3"/>
    </i>
    <i>
      <x v="4"/>
    </i>
    <i>
      <x v="5"/>
    </i>
  </rowItems>
  <colFields count="1">
    <field x="-2"/>
  </colFields>
  <colItems count="3">
    <i>
      <x/>
    </i>
    <i i="1">
      <x v="1"/>
    </i>
    <i i="2">
      <x v="2"/>
    </i>
  </colItems>
  <dataFields count="3">
    <dataField name="Exam Fees ($)" fld="15" baseField="11" baseItem="0"/>
    <dataField name="Sum of Practical ($)" fld="17" baseField="11" baseItem="0"/>
    <dataField name="Sum of Dissertation ($)" fld="19" baseField="11" baseItem="0"/>
  </dataFields>
  <formats count="13">
    <format dxfId="104">
      <pivotArea field="11" type="button" dataOnly="0" labelOnly="1" outline="0"/>
    </format>
    <format dxfId="103">
      <pivotArea field="11" type="button" dataOnly="0" labelOnly="1" outline="0"/>
    </format>
    <format dxfId="102">
      <pivotArea dataOnly="0" labelOnly="1" outline="0" fieldPosition="0">
        <references count="1">
          <reference field="4294967294" count="3">
            <x v="0"/>
            <x v="1"/>
            <x v="2"/>
          </reference>
        </references>
      </pivotArea>
    </format>
    <format dxfId="101">
      <pivotArea dataOnly="0" labelOnly="1" outline="0" fieldPosition="0">
        <references count="1">
          <reference field="4294967294" count="3">
            <x v="0"/>
            <x v="1"/>
            <x v="2"/>
          </reference>
        </references>
      </pivotArea>
    </format>
    <format dxfId="100">
      <pivotArea dataOnly="0" labelOnly="1" outline="0" fieldPosition="0">
        <references count="1">
          <reference field="4294967294" count="3">
            <x v="0"/>
            <x v="1"/>
            <x v="2"/>
          </reference>
        </references>
      </pivotArea>
    </format>
    <format dxfId="99">
      <pivotArea field="10" type="button" dataOnly="0" labelOnly="1" outline="0" axis="axisRow" fieldPosition="0"/>
    </format>
    <format dxfId="98">
      <pivotArea field="10" type="button" dataOnly="0" labelOnly="1" outline="0" axis="axisRow" fieldPosition="0"/>
    </format>
    <format dxfId="97">
      <pivotArea outline="0" collapsedLevelsAreSubtotals="1" fieldPosition="0"/>
    </format>
    <format dxfId="40">
      <pivotArea type="all" dataOnly="0" outline="0" fieldPosition="0"/>
    </format>
    <format dxfId="39">
      <pivotArea outline="0" collapsedLevelsAreSubtotals="1" fieldPosition="0"/>
    </format>
    <format dxfId="38">
      <pivotArea field="10" type="button" dataOnly="0" labelOnly="1" outline="0" axis="axisRow" fieldPosition="0"/>
    </format>
    <format dxfId="37">
      <pivotArea dataOnly="0" labelOnly="1" fieldPosition="0">
        <references count="1">
          <reference field="10" count="0"/>
        </references>
      </pivotArea>
    </format>
    <format dxfId="36">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07C878-C966-43A5-8C25-B1422617AED3}" name="PivotTable40"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8" rowHeaderCaption="Examinations">
  <location ref="AP4:AQ9" firstHeaderRow="1" firstDataRow="1" firstDataCol="1"/>
  <pivotFields count="21">
    <pivotField showAll="0"/>
    <pivotField showAll="0"/>
    <pivotField showAll="0"/>
    <pivotField dataField="1" showAll="0"/>
    <pivotField showAll="0"/>
    <pivotField showAll="0"/>
    <pivotField showAll="0"/>
    <pivotField axis="axisRow" showAll="0">
      <items count="7">
        <item x="0"/>
        <item x="2"/>
        <item x="4"/>
        <item x="1"/>
        <item x="3"/>
        <item m="1" x="5"/>
        <item t="default"/>
      </items>
    </pivotField>
    <pivotField showAll="0"/>
    <pivotField showAll="0"/>
    <pivotField showAll="0">
      <items count="7">
        <item m="1" x="5"/>
        <item m="1" x="3"/>
        <item m="1" x="4"/>
        <item x="0"/>
        <item x="1"/>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x v="4"/>
    </i>
  </rowItems>
  <colItems count="1">
    <i/>
  </colItems>
  <dataFields count="1">
    <dataField name="Count of Candidates" fld="3" subtotal="count" baseField="0" baseItem="0"/>
  </dataFields>
  <formats count="14">
    <format dxfId="113">
      <pivotArea outline="0" collapsedLevelsAreSubtotals="1" fieldPosition="0"/>
    </format>
    <format dxfId="112">
      <pivotArea field="11" type="button" dataOnly="0" labelOnly="1" outline="0"/>
    </format>
    <format dxfId="111">
      <pivotArea field="11" type="button" dataOnly="0" labelOnly="1" outline="0"/>
    </format>
    <format dxfId="110">
      <pivotArea field="10" type="button" dataOnly="0" labelOnly="1" outline="0"/>
    </format>
    <format dxfId="109">
      <pivotArea dataOnly="0" labelOnly="1" outline="0" axis="axisValues" fieldPosition="0"/>
    </format>
    <format dxfId="108">
      <pivotArea field="10" type="button" dataOnly="0" labelOnly="1" outline="0"/>
    </format>
    <format dxfId="107">
      <pivotArea dataOnly="0" labelOnly="1" outline="0" axis="axisValues" fieldPosition="0"/>
    </format>
    <format dxfId="106">
      <pivotArea field="10" type="button" dataOnly="0" labelOnly="1" outline="0"/>
    </format>
    <format dxfId="105">
      <pivotArea dataOnly="0" labelOnly="1" outline="0" axis="axisValues" fieldPosition="0"/>
    </format>
    <format dxfId="28">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F322EF-02A7-43B5-8448-6EF1949A5F84}" name="PivotTable31"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Nationality">
  <location ref="A4:G9" firstHeaderRow="0" firstDataRow="1" firstDataCol="1"/>
  <pivotFields count="21">
    <pivotField showAll="0"/>
    <pivotField showAll="0"/>
    <pivotField showAll="0"/>
    <pivotField showAll="0"/>
    <pivotField showAll="0"/>
    <pivotField showAll="0"/>
    <pivotField showAll="0"/>
    <pivotField axis="axisRow" showAll="0">
      <items count="7">
        <item x="0"/>
        <item x="2"/>
        <item x="4"/>
        <item x="1"/>
        <item x="3"/>
        <item m="1" x="5"/>
        <item t="default"/>
      </items>
    </pivotField>
    <pivotField showAll="0"/>
    <pivotField showAll="0"/>
    <pivotField showAll="0">
      <items count="7">
        <item x="0"/>
        <item m="1" x="5"/>
        <item x="1"/>
        <item m="1" x="3"/>
        <item m="1" x="4"/>
        <item x="2"/>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7"/>
  </rowFields>
  <rowItems count="5">
    <i>
      <x/>
    </i>
    <i>
      <x v="1"/>
    </i>
    <i>
      <x v="2"/>
    </i>
    <i>
      <x v="3"/>
    </i>
    <i>
      <x v="4"/>
    </i>
  </rowItems>
  <colFields count="1">
    <field x="-2"/>
  </colFields>
  <colItems count="6">
    <i>
      <x/>
    </i>
    <i i="1">
      <x v="1"/>
    </i>
    <i i="2">
      <x v="2"/>
    </i>
    <i i="3">
      <x v="3"/>
    </i>
    <i i="4">
      <x v="4"/>
    </i>
    <i i="5">
      <x v="5"/>
    </i>
  </colItems>
  <dataFields count="6">
    <dataField name="Exam Fees (=N=)" fld="14" baseField="7" baseItem="0"/>
    <dataField name="Exam Fees ($)" fld="15" baseField="7" baseItem="0"/>
    <dataField name="Practicals (=N=)" fld="16" baseField="7" baseItem="0" numFmtId="165"/>
    <dataField name="Practicals ($)" fld="17" baseField="7" baseItem="0" numFmtId="165"/>
    <dataField name="Dissertation Fee (=N=)" fld="18" baseField="7" baseItem="0" numFmtId="165"/>
    <dataField name="Dissertation Fee ($)" fld="19" baseField="7" baseItem="0" numFmtId="165"/>
  </dataFields>
  <formats count="21">
    <format dxfId="129">
      <pivotArea dataOnly="0" labelOnly="1" outline="0" fieldPosition="0">
        <references count="1">
          <reference field="4294967294" count="6">
            <x v="0"/>
            <x v="1"/>
            <x v="2"/>
            <x v="3"/>
            <x v="4"/>
            <x v="5"/>
          </reference>
        </references>
      </pivotArea>
    </format>
    <format dxfId="128">
      <pivotArea dataOnly="0" labelOnly="1" outline="0" fieldPosition="0">
        <references count="1">
          <reference field="4294967294" count="6">
            <x v="0"/>
            <x v="1"/>
            <x v="2"/>
            <x v="3"/>
            <x v="4"/>
            <x v="5"/>
          </reference>
        </references>
      </pivotArea>
    </format>
    <format dxfId="127">
      <pivotArea dataOnly="0" labelOnly="1" outline="0" fieldPosition="0">
        <references count="1">
          <reference field="4294967294" count="6">
            <x v="0"/>
            <x v="1"/>
            <x v="2"/>
            <x v="3"/>
            <x v="4"/>
            <x v="5"/>
          </reference>
        </references>
      </pivotArea>
    </format>
    <format dxfId="126">
      <pivotArea field="7" type="button" dataOnly="0" labelOnly="1" outline="0" axis="axisRow" fieldPosition="0"/>
    </format>
    <format dxfId="125">
      <pivotArea field="7" type="button" dataOnly="0" labelOnly="1" outline="0" axis="axisRow" fieldPosition="0"/>
    </format>
    <format dxfId="124">
      <pivotArea collapsedLevelsAreSubtotals="1" fieldPosition="0">
        <references count="2">
          <reference field="4294967294" count="1" selected="0">
            <x v="1"/>
          </reference>
          <reference field="7" count="0"/>
        </references>
      </pivotArea>
    </format>
    <format dxfId="123">
      <pivotArea field="7" grandRow="1" outline="0" collapsedLevelsAreSubtotals="1" axis="axisRow" fieldPosition="0">
        <references count="1">
          <reference field="4294967294" count="1" selected="0">
            <x v="1"/>
          </reference>
        </references>
      </pivotArea>
    </format>
    <format dxfId="122">
      <pivotArea field="7" grandRow="1" outline="0" collapsedLevelsAreSubtotals="1" axis="axisRow" fieldPosition="0">
        <references count="1">
          <reference field="4294967294" count="1" selected="0">
            <x v="1"/>
          </reference>
        </references>
      </pivotArea>
    </format>
    <format dxfId="121">
      <pivotArea collapsedLevelsAreSubtotals="1" fieldPosition="0">
        <references count="2">
          <reference field="4294967294" count="1" selected="0">
            <x v="0"/>
          </reference>
          <reference field="7" count="0"/>
        </references>
      </pivotArea>
    </format>
    <format dxfId="120">
      <pivotArea outline="0" collapsedLevelsAreSubtotals="1" fieldPosition="0">
        <references count="1">
          <reference field="4294967294" count="1" selected="0">
            <x v="2"/>
          </reference>
        </references>
      </pivotArea>
    </format>
    <format dxfId="119">
      <pivotArea outline="0" collapsedLevelsAreSubtotals="1" fieldPosition="0">
        <references count="1">
          <reference field="4294967294" count="3" selected="0">
            <x v="3"/>
            <x v="4"/>
            <x v="5"/>
          </reference>
        </references>
      </pivotArea>
    </format>
    <format dxfId="118">
      <pivotArea field="7" grandRow="1" outline="0" collapsedLevelsAreSubtotals="1" axis="axisRow" fieldPosition="0">
        <references count="1">
          <reference field="4294967294" count="1" selected="0">
            <x v="0"/>
          </reference>
        </references>
      </pivotArea>
    </format>
    <format dxfId="117">
      <pivotArea collapsedLevelsAreSubtotals="1" fieldPosition="0">
        <references count="2">
          <reference field="4294967294" count="1" selected="0">
            <x v="3"/>
          </reference>
          <reference field="7" count="1">
            <x v="2"/>
          </reference>
        </references>
      </pivotArea>
    </format>
    <format dxfId="116">
      <pivotArea collapsedLevelsAreSubtotals="1" fieldPosition="0">
        <references count="2">
          <reference field="4294967294" count="1" selected="0">
            <x v="1"/>
          </reference>
          <reference field="7" count="1">
            <x v="2"/>
          </reference>
        </references>
      </pivotArea>
    </format>
    <format dxfId="115">
      <pivotArea collapsedLevelsAreSubtotals="1" fieldPosition="0">
        <references count="2">
          <reference field="4294967294" count="1" selected="0">
            <x v="0"/>
          </reference>
          <reference field="7" count="1">
            <x v="3"/>
          </reference>
        </references>
      </pivotArea>
    </format>
    <format dxfId="114">
      <pivotArea outline="0" collapsedLevelsAreSubtotals="1" fieldPosition="0"/>
    </format>
    <format dxfId="70">
      <pivotArea type="all" dataOnly="0" outline="0" fieldPosition="0"/>
    </format>
    <format dxfId="69">
      <pivotArea outline="0" collapsedLevelsAreSubtotals="1" fieldPosition="0"/>
    </format>
    <format dxfId="68">
      <pivotArea field="7" type="button" dataOnly="0" labelOnly="1" outline="0" axis="axisRow" fieldPosition="0"/>
    </format>
    <format dxfId="67">
      <pivotArea dataOnly="0" labelOnly="1" fieldPosition="0">
        <references count="1">
          <reference field="7" count="0"/>
        </references>
      </pivotArea>
    </format>
    <format dxfId="66">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590374-26AD-4B91-95A5-FD0CD49D46DA}" name="PivotTable32"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Faculty">
  <location ref="S4:V9" firstHeaderRow="0" firstDataRow="1" firstDataCol="1"/>
  <pivotFields count="21">
    <pivotField showAll="0"/>
    <pivotField showAll="0"/>
    <pivotField showAll="0"/>
    <pivotField showAll="0"/>
    <pivotField showAll="0"/>
    <pivotField showAll="0"/>
    <pivotField showAll="0"/>
    <pivotField showAll="0">
      <items count="7">
        <item x="0"/>
        <item x="2"/>
        <item x="4"/>
        <item m="1" x="5"/>
        <item x="1"/>
        <item x="3"/>
        <item t="default"/>
      </items>
    </pivotField>
    <pivotField showAll="0"/>
    <pivotField showAll="0"/>
    <pivotField showAll="0">
      <items count="7">
        <item x="0"/>
        <item m="1" x="5"/>
        <item x="1"/>
        <item m="1" x="3"/>
        <item m="1" x="4"/>
        <item x="2"/>
        <item t="default"/>
      </items>
    </pivotField>
    <pivotField axis="axisRow"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dataField="1" showAll="0"/>
    <pivotField showAll="0"/>
    <pivotField dataField="1" showAll="0"/>
    <pivotField showAll="0"/>
    <pivotField dataField="1" showAll="0"/>
    <pivotField showAll="0"/>
    <pivotField showAll="0"/>
  </pivotFields>
  <rowFields count="1">
    <field x="11"/>
  </rowFields>
  <rowItems count="5">
    <i>
      <x v="20"/>
    </i>
    <i>
      <x v="21"/>
    </i>
    <i>
      <x v="22"/>
    </i>
    <i>
      <x v="23"/>
    </i>
    <i>
      <x v="24"/>
    </i>
  </rowItems>
  <colFields count="1">
    <field x="-2"/>
  </colFields>
  <colItems count="3">
    <i>
      <x/>
    </i>
    <i i="1">
      <x v="1"/>
    </i>
    <i i="2">
      <x v="2"/>
    </i>
  </colItems>
  <dataFields count="3">
    <dataField name="Exam Fees (=N=)" fld="14" baseField="7" baseItem="0" numFmtId="165"/>
    <dataField name="Practicals (=N=)" fld="16" baseField="7" baseItem="0" numFmtId="165"/>
    <dataField name="Dissertation Fee (=N=)" fld="18" baseField="7" baseItem="0" numFmtId="165"/>
  </dataFields>
  <formats count="13">
    <format dxfId="137">
      <pivotArea dataOnly="0" labelOnly="1" outline="0" fieldPosition="0">
        <references count="1">
          <reference field="4294967294" count="3">
            <x v="0"/>
            <x v="1"/>
            <x v="2"/>
          </reference>
        </references>
      </pivotArea>
    </format>
    <format dxfId="136">
      <pivotArea dataOnly="0" labelOnly="1" outline="0" fieldPosition="0">
        <references count="1">
          <reference field="4294967294" count="3">
            <x v="0"/>
            <x v="1"/>
            <x v="2"/>
          </reference>
        </references>
      </pivotArea>
    </format>
    <format dxfId="135">
      <pivotArea dataOnly="0" labelOnly="1" outline="0" fieldPosition="0">
        <references count="1">
          <reference field="4294967294" count="3">
            <x v="0"/>
            <x v="1"/>
            <x v="2"/>
          </reference>
        </references>
      </pivotArea>
    </format>
    <format dxfId="134">
      <pivotArea field="11" type="button" dataOnly="0" labelOnly="1" outline="0" axis="axisRow" fieldPosition="0"/>
    </format>
    <format dxfId="133">
      <pivotArea field="11" type="button" dataOnly="0" labelOnly="1" outline="0" axis="axisRow" fieldPosition="0"/>
    </format>
    <format dxfId="132">
      <pivotArea outline="0" collapsedLevelsAreSubtotals="1" fieldPosition="0">
        <references count="1">
          <reference field="4294967294" count="1" selected="0">
            <x v="0"/>
          </reference>
        </references>
      </pivotArea>
    </format>
    <format dxfId="131">
      <pivotArea outline="0" collapsedLevelsAreSubtotals="1" fieldPosition="0">
        <references count="1">
          <reference field="4294967294" count="2" selected="0">
            <x v="1"/>
            <x v="2"/>
          </reference>
        </references>
      </pivotArea>
    </format>
    <format dxfId="130">
      <pivotArea outline="0" collapsedLevelsAreSubtotals="1" fieldPosition="0"/>
    </format>
    <format dxfId="55">
      <pivotArea type="all" dataOnly="0" outline="0" fieldPosition="0"/>
    </format>
    <format dxfId="54">
      <pivotArea outline="0" collapsedLevelsAreSubtotals="1" fieldPosition="0"/>
    </format>
    <format dxfId="53">
      <pivotArea field="11" type="button" dataOnly="0" labelOnly="1" outline="0" axis="axisRow" fieldPosition="0"/>
    </format>
    <format dxfId="52">
      <pivotArea dataOnly="0" labelOnly="1" fieldPosition="0">
        <references count="1">
          <reference field="11" count="0"/>
        </references>
      </pivotArea>
    </format>
    <format dxfId="51">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A956F1-D7B9-4678-9C7E-53FF474CB5D7}" name="PivotTable2"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8" rowHeaderCaption="Faculty">
  <location ref="AZ4:BA9" firstHeaderRow="1" firstDataRow="1" firstDataCol="1"/>
  <pivotFields count="21">
    <pivotField showAll="0"/>
    <pivotField showAll="0"/>
    <pivotField showAll="0"/>
    <pivotField dataField="1" showAll="0"/>
    <pivotField showAll="0"/>
    <pivotField showAll="0">
      <items count="4">
        <item m="1" x="2"/>
        <item x="0"/>
        <item x="1"/>
        <item t="default"/>
      </items>
    </pivotField>
    <pivotField showAll="0"/>
    <pivotField showAll="0">
      <items count="7">
        <item x="0"/>
        <item x="2"/>
        <item x="4"/>
        <item m="1" x="5"/>
        <item x="1"/>
        <item x="3"/>
        <item t="default"/>
      </items>
    </pivotField>
    <pivotField showAll="0"/>
    <pivotField showAll="0"/>
    <pivotField showAll="0">
      <items count="7">
        <item m="1" x="5"/>
        <item m="1" x="3"/>
        <item m="1" x="4"/>
        <item x="0"/>
        <item x="1"/>
        <item x="2"/>
        <item t="default"/>
      </items>
    </pivotField>
    <pivotField axis="axisRow"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11"/>
  </rowFields>
  <rowItems count="5">
    <i>
      <x v="20"/>
    </i>
    <i>
      <x v="21"/>
    </i>
    <i>
      <x v="22"/>
    </i>
    <i>
      <x v="23"/>
    </i>
    <i>
      <x v="24"/>
    </i>
  </rowItems>
  <colItems count="1">
    <i/>
  </colItems>
  <dataFields count="1">
    <dataField name="Count Registration" fld="3" subtotal="count" baseField="0" baseItem="0"/>
  </dataFields>
  <formats count="16">
    <format dxfId="148">
      <pivotArea outline="0" collapsedLevelsAreSubtotals="1" fieldPosition="0"/>
    </format>
    <format dxfId="147">
      <pivotArea field="11" type="button" dataOnly="0" labelOnly="1" outline="0" axis="axisRow" fieldPosition="0"/>
    </format>
    <format dxfId="146">
      <pivotArea field="11" type="button" dataOnly="0" labelOnly="1" outline="0" axis="axisRow" fieldPosition="0"/>
    </format>
    <format dxfId="145">
      <pivotArea field="10" type="button" dataOnly="0" labelOnly="1" outline="0"/>
    </format>
    <format dxfId="144">
      <pivotArea dataOnly="0" labelOnly="1" outline="0" axis="axisValues" fieldPosition="0"/>
    </format>
    <format dxfId="143">
      <pivotArea field="10" type="button" dataOnly="0" labelOnly="1" outline="0"/>
    </format>
    <format dxfId="142">
      <pivotArea dataOnly="0" labelOnly="1" outline="0" axis="axisValues" fieldPosition="0"/>
    </format>
    <format dxfId="141">
      <pivotArea field="10" type="button" dataOnly="0" labelOnly="1" outline="0"/>
    </format>
    <format dxfId="140">
      <pivotArea dataOnly="0" labelOnly="1" outline="0" axis="axisValues" fieldPosition="0"/>
    </format>
    <format dxfId="139">
      <pivotArea field="5" type="button" dataOnly="0" labelOnly="1" outline="0"/>
    </format>
    <format dxfId="138">
      <pivotArea field="5" type="button" dataOnly="0" labelOnly="1" outline="0"/>
    </format>
    <format dxfId="16">
      <pivotArea type="all" dataOnly="0" outline="0" fieldPosition="0"/>
    </format>
    <format dxfId="15">
      <pivotArea outline="0" collapsedLevelsAreSubtotals="1" fieldPosition="0"/>
    </format>
    <format dxfId="14">
      <pivotArea field="11" type="button" dataOnly="0" labelOnly="1" outline="0" axis="axisRow" fieldPosition="0"/>
    </format>
    <format dxfId="13">
      <pivotArea dataOnly="0" labelOnly="1" fieldPosition="0">
        <references count="1">
          <reference field="11" count="0"/>
        </references>
      </pivotArea>
    </format>
    <format dxfId="12">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11" count="1" selected="0">
            <x v="20"/>
          </reference>
        </references>
      </pivotArea>
    </chartFormat>
    <chartFormat chart="16" format="17">
      <pivotArea type="data" outline="0" fieldPosition="0">
        <references count="2">
          <reference field="4294967294" count="1" selected="0">
            <x v="0"/>
          </reference>
          <reference field="11" count="1" selected="0">
            <x v="21"/>
          </reference>
        </references>
      </pivotArea>
    </chartFormat>
    <chartFormat chart="16" format="18">
      <pivotArea type="data" outline="0" fieldPosition="0">
        <references count="2">
          <reference field="4294967294" count="1" selected="0">
            <x v="0"/>
          </reference>
          <reference field="11" count="1" selected="0">
            <x v="22"/>
          </reference>
        </references>
      </pivotArea>
    </chartFormat>
    <chartFormat chart="16" format="19">
      <pivotArea type="data" outline="0" fieldPosition="0">
        <references count="2">
          <reference field="4294967294" count="1" selected="0">
            <x v="0"/>
          </reference>
          <reference field="11" count="1" selected="0">
            <x v="23"/>
          </reference>
        </references>
      </pivotArea>
    </chartFormat>
    <chartFormat chart="16" format="20">
      <pivotArea type="data" outline="0" fieldPosition="0">
        <references count="2">
          <reference field="4294967294" count="1" selected="0">
            <x v="0"/>
          </reference>
          <reference field="11" count="1" selected="0">
            <x v="24"/>
          </reference>
        </references>
      </pivotArea>
    </chartFormat>
    <chartFormat chart="17" format="21" series="1">
      <pivotArea type="data" outline="0" fieldPosition="0">
        <references count="1">
          <reference field="4294967294" count="1" selected="0">
            <x v="0"/>
          </reference>
        </references>
      </pivotArea>
    </chartFormat>
    <chartFormat chart="17" format="22">
      <pivotArea type="data" outline="0" fieldPosition="0">
        <references count="2">
          <reference field="4294967294" count="1" selected="0">
            <x v="0"/>
          </reference>
          <reference field="11" count="1" selected="0">
            <x v="20"/>
          </reference>
        </references>
      </pivotArea>
    </chartFormat>
    <chartFormat chart="17" format="23">
      <pivotArea type="data" outline="0" fieldPosition="0">
        <references count="2">
          <reference field="4294967294" count="1" selected="0">
            <x v="0"/>
          </reference>
          <reference field="11" count="1" selected="0">
            <x v="21"/>
          </reference>
        </references>
      </pivotArea>
    </chartFormat>
    <chartFormat chart="17" format="24">
      <pivotArea type="data" outline="0" fieldPosition="0">
        <references count="2">
          <reference field="4294967294" count="1" selected="0">
            <x v="0"/>
          </reference>
          <reference field="11" count="1" selected="0">
            <x v="22"/>
          </reference>
        </references>
      </pivotArea>
    </chartFormat>
    <chartFormat chart="17" format="25">
      <pivotArea type="data" outline="0" fieldPosition="0">
        <references count="2">
          <reference field="4294967294" count="1" selected="0">
            <x v="0"/>
          </reference>
          <reference field="11" count="1" selected="0">
            <x v="23"/>
          </reference>
        </references>
      </pivotArea>
    </chartFormat>
    <chartFormat chart="17" format="26">
      <pivotArea type="data" outline="0" fieldPosition="0">
        <references count="2">
          <reference field="4294967294" count="1" selected="0">
            <x v="0"/>
          </reference>
          <reference field="11"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C84D86-7166-44BA-BA27-F5E146BA6003}" name="PivotTable35"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Examinations">
  <location ref="AC4:AF7" firstHeaderRow="0" firstDataRow="1" firstDataCol="1"/>
  <pivotFields count="21">
    <pivotField showAll="0"/>
    <pivotField showAll="0"/>
    <pivotField showAll="0"/>
    <pivotField showAll="0"/>
    <pivotField showAll="0"/>
    <pivotField showAll="0"/>
    <pivotField showAll="0"/>
    <pivotField showAll="0"/>
    <pivotField showAll="0"/>
    <pivotField showAll="0"/>
    <pivotField axis="axisRow" showAll="0">
      <items count="7">
        <item m="1" x="5"/>
        <item m="1" x="3"/>
        <item m="1" x="4"/>
        <item x="0"/>
        <item x="1"/>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dataField="1" showAll="0"/>
    <pivotField showAll="0"/>
    <pivotField dataField="1" showAll="0"/>
    <pivotField showAll="0"/>
    <pivotField dataField="1" showAll="0"/>
    <pivotField showAll="0"/>
    <pivotField showAll="0"/>
  </pivotFields>
  <rowFields count="1">
    <field x="10"/>
  </rowFields>
  <rowItems count="3">
    <i>
      <x v="3"/>
    </i>
    <i>
      <x v="4"/>
    </i>
    <i>
      <x v="5"/>
    </i>
  </rowItems>
  <colFields count="1">
    <field x="-2"/>
  </colFields>
  <colItems count="3">
    <i>
      <x/>
    </i>
    <i i="1">
      <x v="1"/>
    </i>
    <i i="2">
      <x v="2"/>
    </i>
  </colItems>
  <dataFields count="3">
    <dataField name="Exam Fees (=N=)" fld="14" baseField="7" baseItem="0"/>
    <dataField name="Practicals (=N=)" fld="16" baseField="7" baseItem="0"/>
    <dataField name="Dissertation Fee (=N=)" fld="18" baseField="7" baseItem="0"/>
  </dataFields>
  <formats count="13">
    <format dxfId="156">
      <pivotArea dataOnly="0" labelOnly="1" outline="0" fieldPosition="0">
        <references count="1">
          <reference field="4294967294" count="3">
            <x v="0"/>
            <x v="1"/>
            <x v="2"/>
          </reference>
        </references>
      </pivotArea>
    </format>
    <format dxfId="155">
      <pivotArea dataOnly="0" labelOnly="1" outline="0" fieldPosition="0">
        <references count="1">
          <reference field="4294967294" count="3">
            <x v="0"/>
            <x v="1"/>
            <x v="2"/>
          </reference>
        </references>
      </pivotArea>
    </format>
    <format dxfId="154">
      <pivotArea dataOnly="0" labelOnly="1" outline="0" fieldPosition="0">
        <references count="1">
          <reference field="4294967294" count="3">
            <x v="0"/>
            <x v="1"/>
            <x v="2"/>
          </reference>
        </references>
      </pivotArea>
    </format>
    <format dxfId="153">
      <pivotArea field="11" type="button" dataOnly="0" labelOnly="1" outline="0"/>
    </format>
    <format dxfId="152">
      <pivotArea field="11" type="button" dataOnly="0" labelOnly="1" outline="0"/>
    </format>
    <format dxfId="151">
      <pivotArea field="10" type="button" dataOnly="0" labelOnly="1" outline="0" axis="axisRow" fieldPosition="0"/>
    </format>
    <format dxfId="150">
      <pivotArea field="10" type="button" dataOnly="0" labelOnly="1" outline="0" axis="axisRow" fieldPosition="0"/>
    </format>
    <format dxfId="149">
      <pivotArea outline="0" collapsedLevelsAreSubtotals="1" fieldPosition="0"/>
    </format>
    <format dxfId="45">
      <pivotArea type="all" dataOnly="0" outline="0" fieldPosition="0"/>
    </format>
    <format dxfId="44">
      <pivotArea outline="0" collapsedLevelsAreSubtotals="1" fieldPosition="0"/>
    </format>
    <format dxfId="43">
      <pivotArea field="10" type="button" dataOnly="0" labelOnly="1" outline="0" axis="axisRow" fieldPosition="0"/>
    </format>
    <format dxfId="42">
      <pivotArea dataOnly="0" labelOnly="1" fieldPosition="0">
        <references count="1">
          <reference field="10" count="0"/>
        </references>
      </pivotArea>
    </format>
    <format dxfId="41">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FB59FF-B2E4-4E24-837B-CB18FA36E98F}" name="PivotTable5"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Faculty">
  <location ref="N4:Q9" firstHeaderRow="0" firstDataRow="1" firstDataCol="1"/>
  <pivotFields count="21">
    <pivotField showAll="0"/>
    <pivotField showAll="0"/>
    <pivotField showAll="0"/>
    <pivotField showAll="0"/>
    <pivotField showAll="0"/>
    <pivotField showAll="0"/>
    <pivotField showAll="0"/>
    <pivotField axis="axisRow" showAll="0">
      <items count="7">
        <item x="0"/>
        <item x="2"/>
        <item x="4"/>
        <item m="1" x="5"/>
        <item x="1"/>
        <item x="3"/>
        <item t="default"/>
      </items>
    </pivotField>
    <pivotField showAll="0"/>
    <pivotField showAll="0"/>
    <pivotField showAll="0">
      <items count="7">
        <item x="0"/>
        <item m="1" x="5"/>
        <item x="1"/>
        <item m="1" x="3"/>
        <item m="1" x="4"/>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dataField="1" showAll="0"/>
    <pivotField showAll="0"/>
    <pivotField dataField="1" showAll="0"/>
    <pivotField showAll="0"/>
    <pivotField dataField="1" showAll="0"/>
    <pivotField showAll="0"/>
  </pivotFields>
  <rowFields count="1">
    <field x="7"/>
  </rowFields>
  <rowItems count="5">
    <i>
      <x/>
    </i>
    <i>
      <x v="1"/>
    </i>
    <i>
      <x v="2"/>
    </i>
    <i>
      <x v="4"/>
    </i>
    <i>
      <x v="5"/>
    </i>
  </rowItems>
  <colFields count="1">
    <field x="-2"/>
  </colFields>
  <colItems count="3">
    <i>
      <x/>
    </i>
    <i i="1">
      <x v="1"/>
    </i>
    <i i="2">
      <x v="2"/>
    </i>
  </colItems>
  <dataFields count="3">
    <dataField name="Exam Fees ($)" fld="15" baseField="11" baseItem="0" numFmtId="167"/>
    <dataField name="Sum of Practical ($)" fld="17" baseField="11" baseItem="0"/>
    <dataField name="Sum of Dissertation ($)" fld="19" baseField="11" baseItem="0"/>
  </dataFields>
  <formats count="12">
    <format dxfId="163">
      <pivotArea field="11" type="button" dataOnly="0" labelOnly="1" outline="0"/>
    </format>
    <format dxfId="162">
      <pivotArea field="11" type="button" dataOnly="0" labelOnly="1" outline="0"/>
    </format>
    <format dxfId="161">
      <pivotArea dataOnly="0" labelOnly="1" outline="0" fieldPosition="0">
        <references count="1">
          <reference field="4294967294" count="3">
            <x v="0"/>
            <x v="1"/>
            <x v="2"/>
          </reference>
        </references>
      </pivotArea>
    </format>
    <format dxfId="160">
      <pivotArea dataOnly="0" labelOnly="1" outline="0" fieldPosition="0">
        <references count="1">
          <reference field="4294967294" count="3">
            <x v="0"/>
            <x v="1"/>
            <x v="2"/>
          </reference>
        </references>
      </pivotArea>
    </format>
    <format dxfId="159">
      <pivotArea dataOnly="0" labelOnly="1" outline="0" fieldPosition="0">
        <references count="1">
          <reference field="4294967294" count="3">
            <x v="0"/>
            <x v="1"/>
            <x v="2"/>
          </reference>
        </references>
      </pivotArea>
    </format>
    <format dxfId="158">
      <pivotArea outline="0" collapsedLevelsAreSubtotals="1" fieldPosition="0"/>
    </format>
    <format dxfId="157">
      <pivotArea outline="0" collapsedLevelsAreSubtotals="1" fieldPosition="0">
        <references count="1">
          <reference field="4294967294" count="1" selected="0">
            <x v="0"/>
          </reference>
        </references>
      </pivotArea>
    </format>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93484F-9D67-4BF0-944A-F79733D1D491}" name="PivotTable3"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9" rowHeaderCaption="Gender">
  <location ref="BD4:BE7" firstHeaderRow="1" firstDataRow="1" firstDataCol="1"/>
  <pivotFields count="21">
    <pivotField showAll="0"/>
    <pivotField showAll="0"/>
    <pivotField showAll="0"/>
    <pivotField dataField="1" showAll="0"/>
    <pivotField showAll="0"/>
    <pivotField showAll="0">
      <items count="4">
        <item m="1" x="2"/>
        <item x="0"/>
        <item x="1"/>
        <item t="default"/>
      </items>
    </pivotField>
    <pivotField showAll="0"/>
    <pivotField showAll="0">
      <items count="7">
        <item x="0"/>
        <item x="2"/>
        <item x="4"/>
        <item m="1" x="5"/>
        <item x="1"/>
        <item x="3"/>
        <item t="default"/>
      </items>
    </pivotField>
    <pivotField showAll="0"/>
    <pivotField showAll="0"/>
    <pivotField axis="axisRow" showAll="0">
      <items count="7">
        <item m="1" x="5"/>
        <item m="1" x="3"/>
        <item m="1" x="4"/>
        <item x="0"/>
        <item x="1"/>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v="3"/>
    </i>
    <i>
      <x v="4"/>
    </i>
    <i>
      <x v="5"/>
    </i>
  </rowItems>
  <colItems count="1">
    <i/>
  </colItems>
  <dataFields count="1">
    <dataField name="Count Registration" fld="3" subtotal="count" baseField="0" baseItem="0"/>
  </dataFields>
  <formats count="16">
    <format dxfId="174">
      <pivotArea outline="0" collapsedLevelsAreSubtotals="1" fieldPosition="0"/>
    </format>
    <format dxfId="173">
      <pivotArea field="11" type="button" dataOnly="0" labelOnly="1" outline="0"/>
    </format>
    <format dxfId="172">
      <pivotArea field="11" type="button" dataOnly="0" labelOnly="1" outline="0"/>
    </format>
    <format dxfId="171">
      <pivotArea field="10" type="button" dataOnly="0" labelOnly="1" outline="0" axis="axisRow" fieldPosition="0"/>
    </format>
    <format dxfId="170">
      <pivotArea dataOnly="0" labelOnly="1" outline="0" axis="axisValues" fieldPosition="0"/>
    </format>
    <format dxfId="169">
      <pivotArea field="10" type="button" dataOnly="0" labelOnly="1" outline="0" axis="axisRow" fieldPosition="0"/>
    </format>
    <format dxfId="168">
      <pivotArea dataOnly="0" labelOnly="1" outline="0" axis="axisValues" fieldPosition="0"/>
    </format>
    <format dxfId="167">
      <pivotArea field="10" type="button" dataOnly="0" labelOnly="1" outline="0" axis="axisRow" fieldPosition="0"/>
    </format>
    <format dxfId="166">
      <pivotArea dataOnly="0" labelOnly="1" outline="0" axis="axisValues" fieldPosition="0"/>
    </format>
    <format dxfId="165">
      <pivotArea field="5" type="button" dataOnly="0" labelOnly="1" outline="0"/>
    </format>
    <format dxfId="164">
      <pivotArea field="5" type="button" dataOnly="0" labelOnly="1" outline="0"/>
    </format>
    <format dxfId="10">
      <pivotArea type="all" dataOnly="0" outline="0" fieldPosition="0"/>
    </format>
    <format dxfId="9">
      <pivotArea outline="0" collapsedLevelsAreSubtotals="1" fieldPosition="0"/>
    </format>
    <format dxfId="8">
      <pivotArea field="10" type="button" dataOnly="0" labelOnly="1" outline="0" axis="axisRow" fieldPosition="0"/>
    </format>
    <format dxfId="7">
      <pivotArea dataOnly="0" labelOnly="1" fieldPosition="0">
        <references count="1">
          <reference field="10" count="0"/>
        </references>
      </pivotArea>
    </format>
    <format dxfId="6">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 chart="18" format="31">
      <pivotArea type="data" outline="0" fieldPosition="0">
        <references count="2">
          <reference field="4294967294" count="1" selected="0">
            <x v="0"/>
          </reference>
          <reference field="10" count="1" selected="0">
            <x v="4"/>
          </reference>
        </references>
      </pivotArea>
    </chartFormat>
    <chartFormat chart="18" format="32">
      <pivotArea type="data" outline="0" fieldPosition="0">
        <references count="2">
          <reference field="4294967294" count="1" selected="0">
            <x v="0"/>
          </reference>
          <reference field="10" count="1" selected="0">
            <x v="3"/>
          </reference>
        </references>
      </pivotArea>
    </chartFormat>
    <chartFormat chart="18" format="33">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D813E6-DD9B-4176-AB9D-F53E92A264F6}" name="PivotTable4"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Faculty">
  <location ref="I4:L9" firstHeaderRow="0" firstDataRow="1" firstDataCol="1"/>
  <pivotFields count="21">
    <pivotField showAll="0"/>
    <pivotField showAll="0"/>
    <pivotField showAll="0"/>
    <pivotField showAll="0"/>
    <pivotField showAll="0"/>
    <pivotField showAll="0"/>
    <pivotField showAll="0"/>
    <pivotField axis="axisRow" showAll="0">
      <items count="7">
        <item x="0"/>
        <item x="2"/>
        <item x="4"/>
        <item m="1" x="5"/>
        <item x="1"/>
        <item x="3"/>
        <item t="default"/>
      </items>
    </pivotField>
    <pivotField showAll="0"/>
    <pivotField showAll="0"/>
    <pivotField showAll="0">
      <items count="7">
        <item x="0"/>
        <item m="1" x="5"/>
        <item x="1"/>
        <item m="1" x="3"/>
        <item m="1" x="4"/>
        <item x="2"/>
        <item t="default"/>
      </items>
    </pivotField>
    <pivotField showAll="0">
      <items count="26">
        <item m="1" x="7"/>
        <item m="1" x="10"/>
        <item m="1" x="8"/>
        <item m="1" x="12"/>
        <item m="1" x="14"/>
        <item m="1" x="13"/>
        <item m="1" x="15"/>
        <item m="1" x="19"/>
        <item m="1" x="16"/>
        <item m="1" x="23"/>
        <item m="1" x="21"/>
        <item m="1" x="5"/>
        <item m="1" x="17"/>
        <item m="1" x="11"/>
        <item m="1" x="22"/>
        <item m="1" x="18"/>
        <item m="1" x="6"/>
        <item m="1" x="20"/>
        <item m="1" x="24"/>
        <item m="1" x="9"/>
        <item x="0"/>
        <item x="1"/>
        <item x="2"/>
        <item x="3"/>
        <item x="4"/>
        <item t="default"/>
      </items>
    </pivotField>
    <pivotField showAll="0"/>
    <pivotField showAll="0"/>
    <pivotField dataField="1" showAll="0"/>
    <pivotField showAll="0"/>
    <pivotField dataField="1" showAll="0"/>
    <pivotField showAll="0"/>
    <pivotField dataField="1" showAll="0"/>
    <pivotField showAll="0"/>
    <pivotField showAll="0"/>
  </pivotFields>
  <rowFields count="1">
    <field x="7"/>
  </rowFields>
  <rowItems count="5">
    <i>
      <x/>
    </i>
    <i>
      <x v="1"/>
    </i>
    <i>
      <x v="2"/>
    </i>
    <i>
      <x v="4"/>
    </i>
    <i>
      <x v="5"/>
    </i>
  </rowItems>
  <colFields count="1">
    <field x="-2"/>
  </colFields>
  <colItems count="3">
    <i>
      <x/>
    </i>
    <i i="1">
      <x v="1"/>
    </i>
    <i i="2">
      <x v="2"/>
    </i>
  </colItems>
  <dataFields count="3">
    <dataField name="Exam Fees (=N=)" fld="14" baseField="7" baseItem="0" numFmtId="165"/>
    <dataField name="Practicals (=N=)" fld="16" baseField="7" baseItem="0" numFmtId="165"/>
    <dataField name="Dissertation Fee (=N=)" fld="18" baseField="7" baseItem="0" numFmtId="165"/>
  </dataFields>
  <formats count="13">
    <format dxfId="182">
      <pivotArea dataOnly="0" labelOnly="1" outline="0" fieldPosition="0">
        <references count="1">
          <reference field="4294967294" count="3">
            <x v="0"/>
            <x v="1"/>
            <x v="2"/>
          </reference>
        </references>
      </pivotArea>
    </format>
    <format dxfId="181">
      <pivotArea dataOnly="0" labelOnly="1" outline="0" fieldPosition="0">
        <references count="1">
          <reference field="4294967294" count="3">
            <x v="0"/>
            <x v="1"/>
            <x v="2"/>
          </reference>
        </references>
      </pivotArea>
    </format>
    <format dxfId="180">
      <pivotArea dataOnly="0" labelOnly="1" outline="0" fieldPosition="0">
        <references count="1">
          <reference field="4294967294" count="3">
            <x v="0"/>
            <x v="1"/>
            <x v="2"/>
          </reference>
        </references>
      </pivotArea>
    </format>
    <format dxfId="179">
      <pivotArea field="11" type="button" dataOnly="0" labelOnly="1" outline="0"/>
    </format>
    <format dxfId="178">
      <pivotArea field="11" type="button" dataOnly="0" labelOnly="1" outline="0"/>
    </format>
    <format dxfId="177">
      <pivotArea outline="0" collapsedLevelsAreSubtotals="1" fieldPosition="0">
        <references count="1">
          <reference field="4294967294" count="1" selected="0">
            <x v="0"/>
          </reference>
        </references>
      </pivotArea>
    </format>
    <format dxfId="176">
      <pivotArea outline="0" collapsedLevelsAreSubtotals="1" fieldPosition="0">
        <references count="1">
          <reference field="4294967294" count="2" selected="0">
            <x v="1"/>
            <x v="2"/>
          </reference>
        </references>
      </pivotArea>
    </format>
    <format dxfId="175">
      <pivotArea outline="0" collapsedLevelsAreSubtotals="1" fieldPosition="0"/>
    </format>
    <format dxfId="65">
      <pivotArea type="all" dataOnly="0" outline="0" fieldPosition="0"/>
    </format>
    <format dxfId="64">
      <pivotArea outline="0" collapsedLevelsAreSubtotals="1" fieldPosition="0"/>
    </format>
    <format dxfId="63">
      <pivotArea field="7" type="button" dataOnly="0" labelOnly="1" outline="0" axis="axisRow" fieldPosition="0"/>
    </format>
    <format dxfId="62">
      <pivotArea dataOnly="0" labelOnly="1" fieldPosition="0">
        <references count="1">
          <reference field="7" count="0"/>
        </references>
      </pivotArea>
    </format>
    <format dxfId="61">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131BCB-9B82-470B-8EC5-E29D7486DAC1}" name="PivotTable7" cacheId="4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Nationality">
  <location ref="BH4:BN9" firstHeaderRow="0" firstDataRow="1" firstDataCol="1"/>
  <pivotFields count="21">
    <pivotField showAll="0"/>
    <pivotField showAll="0"/>
    <pivotField showAll="0"/>
    <pivotField showAll="0"/>
    <pivotField showAll="0"/>
    <pivotField showAll="0"/>
    <pivotField showAll="0"/>
    <pivotField showAll="0">
      <items count="7">
        <item x="0"/>
        <item x="2"/>
        <item x="4"/>
        <item x="1"/>
        <item x="3"/>
        <item m="1" x="5"/>
        <item t="default"/>
      </items>
    </pivotField>
    <pivotField showAll="0"/>
    <pivotField showAll="0"/>
    <pivotField showAll="0">
      <items count="7">
        <item x="0"/>
        <item m="1" x="5"/>
        <item x="1"/>
        <item m="1" x="3"/>
        <item m="1" x="4"/>
        <item x="2"/>
        <item t="default"/>
      </items>
    </pivotField>
    <pivotField axis="axisRow" showAll="0">
      <items count="26">
        <item x="2"/>
        <item x="3"/>
        <item x="0"/>
        <item m="1" x="7"/>
        <item m="1" x="10"/>
        <item m="1" x="8"/>
        <item m="1" x="12"/>
        <item m="1" x="14"/>
        <item m="1" x="13"/>
        <item m="1" x="15"/>
        <item m="1" x="19"/>
        <item m="1" x="16"/>
        <item m="1" x="23"/>
        <item m="1" x="21"/>
        <item m="1" x="5"/>
        <item m="1" x="17"/>
        <item m="1" x="11"/>
        <item m="1" x="22"/>
        <item m="1" x="18"/>
        <item m="1" x="6"/>
        <item m="1" x="20"/>
        <item m="1" x="24"/>
        <item x="1"/>
        <item x="4"/>
        <item m="1" x="9"/>
        <item t="default"/>
      </items>
    </pivotField>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11"/>
  </rowFields>
  <rowItems count="5">
    <i>
      <x/>
    </i>
    <i>
      <x v="1"/>
    </i>
    <i>
      <x v="2"/>
    </i>
    <i>
      <x v="22"/>
    </i>
    <i>
      <x v="23"/>
    </i>
  </rowItems>
  <colFields count="1">
    <field x="-2"/>
  </colFields>
  <colItems count="6">
    <i>
      <x/>
    </i>
    <i i="1">
      <x v="1"/>
    </i>
    <i i="2">
      <x v="2"/>
    </i>
    <i i="3">
      <x v="3"/>
    </i>
    <i i="4">
      <x v="4"/>
    </i>
    <i i="5">
      <x v="5"/>
    </i>
  </colItems>
  <dataFields count="6">
    <dataField name="Exam Fees (=N=)" fld="14" baseField="7" baseItem="0"/>
    <dataField name="Exam Fees ($)" fld="15" baseField="7" baseItem="0"/>
    <dataField name="Practicals (=N=)" fld="16" baseField="7" baseItem="0" numFmtId="165"/>
    <dataField name="Practicals ($)" fld="17" baseField="7" baseItem="0" numFmtId="165"/>
    <dataField name="Dissertation Fee (=N=)" fld="18" baseField="7" baseItem="0" numFmtId="165"/>
    <dataField name="Dissertation Fee ($)" fld="19" baseField="7" baseItem="0" numFmtId="165"/>
  </dataFields>
  <formats count="16">
    <format dxfId="193">
      <pivotArea dataOnly="0" labelOnly="1" outline="0" fieldPosition="0">
        <references count="1">
          <reference field="4294967294" count="6">
            <x v="0"/>
            <x v="1"/>
            <x v="2"/>
            <x v="3"/>
            <x v="4"/>
            <x v="5"/>
          </reference>
        </references>
      </pivotArea>
    </format>
    <format dxfId="192">
      <pivotArea dataOnly="0" labelOnly="1" outline="0" fieldPosition="0">
        <references count="1">
          <reference field="4294967294" count="6">
            <x v="0"/>
            <x v="1"/>
            <x v="2"/>
            <x v="3"/>
            <x v="4"/>
            <x v="5"/>
          </reference>
        </references>
      </pivotArea>
    </format>
    <format dxfId="191">
      <pivotArea dataOnly="0" labelOnly="1" outline="0" fieldPosition="0">
        <references count="1">
          <reference field="4294967294" count="6">
            <x v="0"/>
            <x v="1"/>
            <x v="2"/>
            <x v="3"/>
            <x v="4"/>
            <x v="5"/>
          </reference>
        </references>
      </pivotArea>
    </format>
    <format dxfId="190">
      <pivotArea field="7" type="button" dataOnly="0" labelOnly="1" outline="0"/>
    </format>
    <format dxfId="189">
      <pivotArea field="7" type="button" dataOnly="0" labelOnly="1" outline="0"/>
    </format>
    <format dxfId="188">
      <pivotArea field="7" grandRow="1" outline="0" collapsedLevelsAreSubtotals="1">
        <references count="1">
          <reference field="4294967294" count="1" selected="0">
            <x v="1"/>
          </reference>
        </references>
      </pivotArea>
    </format>
    <format dxfId="187">
      <pivotArea field="7" grandRow="1" outline="0" collapsedLevelsAreSubtotals="1">
        <references count="1">
          <reference field="4294967294" count="1" selected="0">
            <x v="1"/>
          </reference>
        </references>
      </pivotArea>
    </format>
    <format dxfId="186">
      <pivotArea outline="0" collapsedLevelsAreSubtotals="1" fieldPosition="0">
        <references count="1">
          <reference field="4294967294" count="1" selected="0">
            <x v="2"/>
          </reference>
        </references>
      </pivotArea>
    </format>
    <format dxfId="185">
      <pivotArea outline="0" collapsedLevelsAreSubtotals="1" fieldPosition="0">
        <references count="1">
          <reference field="4294967294" count="3" selected="0">
            <x v="3"/>
            <x v="4"/>
            <x v="5"/>
          </reference>
        </references>
      </pivotArea>
    </format>
    <format dxfId="184">
      <pivotArea field="7" grandRow="1" outline="0" collapsedLevelsAreSubtotals="1">
        <references count="1">
          <reference field="4294967294" count="1" selected="0">
            <x v="0"/>
          </reference>
        </references>
      </pivotArea>
    </format>
    <format dxfId="183">
      <pivotArea outline="0" collapsedLevelsAreSubtotals="1" fieldPosition="0"/>
    </format>
    <format dxfId="4">
      <pivotArea type="all" dataOnly="0" outline="0" fieldPosition="0"/>
    </format>
    <format dxfId="3">
      <pivotArea outline="0" collapsedLevelsAreSubtotals="1" fieldPosition="0"/>
    </format>
    <format dxfId="2">
      <pivotArea field="11" type="button" dataOnly="0" labelOnly="1" outline="0" axis="axisRow" fieldPosition="0"/>
    </format>
    <format dxfId="1">
      <pivotArea dataOnly="0" labelOnly="1" fieldPosition="0">
        <references count="1">
          <reference field="11" count="0"/>
        </references>
      </pivotArea>
    </format>
    <format dxfId="0">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inations1" xr10:uid="{4BF1236E-8F2E-420D-8251-704B7FFCE55C}" sourceName="Examinations">
  <pivotTables>
    <pivotTable tabId="3" name="PivotTable31"/>
    <pivotTable tabId="3" name="PivotTable32"/>
    <pivotTable tabId="3" name="PivotTable33"/>
    <pivotTable tabId="3" name="PivotTable35"/>
    <pivotTable tabId="3" name="PivotTable36"/>
    <pivotTable tabId="3" name="PivotTable37"/>
    <pivotTable tabId="3" name="PivotTable40"/>
    <pivotTable tabId="3" name="PivotTable1"/>
    <pivotTable tabId="3" name="PivotTable2"/>
    <pivotTable tabId="3" name="PivotTable3"/>
    <pivotTable tabId="3" name="PivotTable4"/>
    <pivotTable tabId="3" name="PivotTable5"/>
    <pivotTable tabId="3" name="PivotTable7"/>
  </pivotTables>
  <data>
    <tabular pivotCacheId="209547806">
      <items count="6">
        <i x="0" s="1"/>
        <i x="1" s="1"/>
        <i x="2" s="1"/>
        <i x="5" s="1" nd="1"/>
        <i x="3"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2F173DCA-3B57-4553-81BD-234324BC8E39}" sourceName="Nationality">
  <pivotTables>
    <pivotTable tabId="3" name="PivotTable32"/>
    <pivotTable tabId="3" name="PivotTable1"/>
    <pivotTable tabId="3" name="PivotTable2"/>
    <pivotTable tabId="3" name="PivotTable3"/>
    <pivotTable tabId="3" name="PivotTable31"/>
    <pivotTable tabId="3" name="PivotTable33"/>
    <pivotTable tabId="3" name="PivotTable36"/>
    <pivotTable tabId="3" name="PivotTable37"/>
    <pivotTable tabId="3" name="PivotTable40"/>
    <pivotTable tabId="3" name="PivotTable4"/>
    <pivotTable tabId="3" name="PivotTable5"/>
    <pivotTable tabId="3" name="PivotTable7"/>
  </pivotTables>
  <data>
    <tabular pivotCacheId="209547806" customListSort="0">
      <items count="6">
        <i x="0" s="1"/>
        <i x="2" s="1"/>
        <i x="4" s="1"/>
        <i x="1"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aminations 2" xr10:uid="{34016B0A-F0CE-4AE6-9270-9171F84BB7BF}" cache="Slicer_Examinations1" caption="Exam" style="My Slicer" rowHeight="257175"/>
  <slicer name="Nationality 1" xr10:uid="{80EB04EA-ED3A-40CF-859A-97B8D8B0EB3B}" cache="Slicer_Nationality" caption="Nationality" style="My 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8DA27-4602-48CA-8A77-39F91B9213DA}" name="Table1" displayName="Table1" ref="A1:U1024" totalsRowShown="0" headerRowDxfId="202" dataDxfId="201" headerRowCellStyle="Comma" dataCellStyle="Comma">
  <autoFilter ref="A1:U1024" xr:uid="{A548DA27-4602-48CA-8A77-39F91B9213DA}"/>
  <tableColumns count="21">
    <tableColumn id="1" xr3:uid="{27068E23-BB00-4AFF-9001-BFADC9780C09}" name="Exams_ID"/>
    <tableColumn id="2" xr3:uid="{FF9308DA-7A62-4E22-9159-5670840AFCE5}" name="UserID"/>
    <tableColumn id="3" xr3:uid="{1D7A5E97-895B-4A96-B3FE-D0DA6C1368F7}" name="Email"/>
    <tableColumn id="4" xr3:uid="{786D1C75-4DEF-4348-8404-B1D7B8ABBFE8}" name="Full Name"/>
    <tableColumn id="5" xr3:uid="{67B093E1-05FF-4FC0-91D8-363AC00EC92E}" name="Address"/>
    <tableColumn id="6" xr3:uid="{E911209C-756E-45B3-95C3-36D6E4EE4D47}" name="Gender"/>
    <tableColumn id="7" xr3:uid="{3CF13D90-732D-4133-8556-DC5FD84432D0}" name="Institution"/>
    <tableColumn id="8" xr3:uid="{FA5263CB-DF56-4727-B284-DBD005466512}" name="Nationality"/>
    <tableColumn id="9" xr3:uid="{335CB659-4B88-46BC-8164-F889E5AE655D}" name="Telephone" dataDxfId="200"/>
    <tableColumn id="10" xr3:uid="{585278A6-FDCD-4E7D-9441-6743512B4010}" name="Viewform"/>
    <tableColumn id="11" xr3:uid="{1B8F41B2-49BE-4E09-8FDA-9B8B2534372C}" name="Examinations"/>
    <tableColumn id="12" xr3:uid="{DC55044D-51CD-49C5-BBC5-8DA6EABF7AD4}" name="Faculty"/>
    <tableColumn id="13" xr3:uid="{9B7AA383-708A-4EC1-B910-247794DE7242}" name="Exam Centre"/>
    <tableColumn id="14" xr3:uid="{ABF642AD-C416-47D4-956F-52154A584DD9}" name="Currency"/>
    <tableColumn id="16" xr3:uid="{60B78D6F-9B6F-47FC-A6D3-0C85CE6D4179}" name="Exam Fee (=N=)" dataDxfId="199" dataCellStyle="Comma"/>
    <tableColumn id="17" xr3:uid="{1CDDEC21-B70E-4D21-AA20-04ED0F454EE5}" name="Exam Fee ($)" dataDxfId="198" dataCellStyle="Comma"/>
    <tableColumn id="19" xr3:uid="{EEDAE9BD-9E36-4121-8A0C-5CE607281CAB}" name="Practical (=N=)" dataDxfId="197" dataCellStyle="Comma"/>
    <tableColumn id="20" xr3:uid="{3DB69E02-148F-4D64-BAC6-1DD86033EC11}" name="Practical ($)" dataDxfId="196" dataCellStyle="Comma"/>
    <tableColumn id="22" xr3:uid="{59E23652-6844-4829-9141-70F0623B5440}" name="Dissertation (=N=)" dataDxfId="195" dataCellStyle="Comma"/>
    <tableColumn id="23" xr3:uid="{40E4EB5C-5DE9-4153-8B49-B1917D9F6327}" name="Dissertation ($)" dataDxfId="194" dataCellStyle="Comma"/>
    <tableColumn id="24" xr3:uid="{64FF0FD1-24A6-488F-AC52-F5FC784E8F5D}" name="Referen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ellicosefine@gmail.com" TargetMode="External"/><Relationship Id="rId13" Type="http://schemas.openxmlformats.org/officeDocument/2006/relationships/hyperlink" Target="mailto:okunolatemitope14@gmail.com" TargetMode="External"/><Relationship Id="rId18" Type="http://schemas.openxmlformats.org/officeDocument/2006/relationships/hyperlink" Target="mailto:maryamtinuola2015@gmail.com" TargetMode="External"/><Relationship Id="rId3" Type="http://schemas.openxmlformats.org/officeDocument/2006/relationships/hyperlink" Target="mailto:ojaymcdon@gmail.com" TargetMode="External"/><Relationship Id="rId21" Type="http://schemas.openxmlformats.org/officeDocument/2006/relationships/hyperlink" Target="mailto:batuly273@gmail.com" TargetMode="External"/><Relationship Id="rId7" Type="http://schemas.openxmlformats.org/officeDocument/2006/relationships/hyperlink" Target="mailto:rabiisyaka@gmail.com" TargetMode="External"/><Relationship Id="rId12" Type="http://schemas.openxmlformats.org/officeDocument/2006/relationships/hyperlink" Target="mailto:kolason2010@gmail.com" TargetMode="External"/><Relationship Id="rId17" Type="http://schemas.openxmlformats.org/officeDocument/2006/relationships/hyperlink" Target="mailto:hamzamansaray12@gmail.com" TargetMode="External"/><Relationship Id="rId2" Type="http://schemas.openxmlformats.org/officeDocument/2006/relationships/hyperlink" Target="mailto:alfadaali@yahoo.co.uk" TargetMode="External"/><Relationship Id="rId16" Type="http://schemas.openxmlformats.org/officeDocument/2006/relationships/hyperlink" Target="mailto:rahimkamara137@gmail.com" TargetMode="External"/><Relationship Id="rId20" Type="http://schemas.openxmlformats.org/officeDocument/2006/relationships/hyperlink" Target="mailto:snipcee@gmail.com" TargetMode="External"/><Relationship Id="rId1" Type="http://schemas.openxmlformats.org/officeDocument/2006/relationships/hyperlink" Target="mailto:aishasuleiman1001@gmail.com" TargetMode="External"/><Relationship Id="rId6" Type="http://schemas.openxmlformats.org/officeDocument/2006/relationships/hyperlink" Target="mailto:angela.ackah@gmail.com" TargetMode="External"/><Relationship Id="rId11" Type="http://schemas.openxmlformats.org/officeDocument/2006/relationships/hyperlink" Target="mailto:brinzy55@gmail.com" TargetMode="External"/><Relationship Id="rId5" Type="http://schemas.openxmlformats.org/officeDocument/2006/relationships/hyperlink" Target="mailto:austineokwesa@gmail.com" TargetMode="External"/><Relationship Id="rId15" Type="http://schemas.openxmlformats.org/officeDocument/2006/relationships/hyperlink" Target="mailto:suleimanalhajiusman@gmail.com" TargetMode="External"/><Relationship Id="rId10" Type="http://schemas.openxmlformats.org/officeDocument/2006/relationships/hyperlink" Target="mailto:hauwaismail50@gmail.com" TargetMode="External"/><Relationship Id="rId19" Type="http://schemas.openxmlformats.org/officeDocument/2006/relationships/hyperlink" Target="mailto:fatimazara56@gmail.com" TargetMode="External"/><Relationship Id="rId4" Type="http://schemas.openxmlformats.org/officeDocument/2006/relationships/hyperlink" Target="mailto:fatimahamzajsm95@gmail.com" TargetMode="External"/><Relationship Id="rId9" Type="http://schemas.openxmlformats.org/officeDocument/2006/relationships/hyperlink" Target="mailto:petervictoria18@gmail.com" TargetMode="External"/><Relationship Id="rId14" Type="http://schemas.openxmlformats.org/officeDocument/2006/relationships/hyperlink" Target="mailto:danielkarimvandi@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ojaymcdon@gmail.com" TargetMode="External"/><Relationship Id="rId2" Type="http://schemas.openxmlformats.org/officeDocument/2006/relationships/hyperlink" Target="mailto:alfadaali@yahoo.co.uk" TargetMode="External"/><Relationship Id="rId1" Type="http://schemas.openxmlformats.org/officeDocument/2006/relationships/hyperlink" Target="mailto:aishasuleiman1001@gmail.com"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6CC7-D91C-41C2-834C-11CEE9259AC9}">
  <dimension ref="A1:W1024"/>
  <sheetViews>
    <sheetView topLeftCell="I1" workbookViewId="0">
      <selection activeCell="P7" sqref="P7"/>
    </sheetView>
  </sheetViews>
  <sheetFormatPr defaultRowHeight="15" x14ac:dyDescent="0.25"/>
  <cols>
    <col min="1" max="1" width="9.28515625" bestFit="1" customWidth="1"/>
    <col min="2" max="2" width="28" customWidth="1"/>
    <col min="3" max="3" width="24.5703125" customWidth="1"/>
    <col min="4" max="4" width="9.28515625" bestFit="1" customWidth="1"/>
    <col min="5" max="5" width="29.5703125" customWidth="1"/>
    <col min="6" max="6" width="19.42578125" customWidth="1"/>
    <col min="7" max="7" width="20.140625" customWidth="1"/>
    <col min="8" max="8" width="16.42578125" customWidth="1"/>
    <col min="9" max="9" width="19.7109375" customWidth="1"/>
    <col min="11" max="11" width="22.140625" customWidth="1"/>
    <col min="13" max="13" width="22.7109375" customWidth="1"/>
    <col min="14" max="14" width="9.140625" customWidth="1"/>
    <col min="15" max="15" width="12.85546875" customWidth="1"/>
    <col min="16" max="16" width="19.28515625" customWidth="1"/>
    <col min="20" max="20" width="10.140625" bestFit="1" customWidth="1"/>
    <col min="21" max="21" width="10.7109375" customWidth="1"/>
    <col min="22" max="22" width="10.140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19234</v>
      </c>
      <c r="B2" t="s">
        <v>23</v>
      </c>
      <c r="D2">
        <v>1</v>
      </c>
      <c r="E2" t="s">
        <v>24</v>
      </c>
      <c r="F2" t="s">
        <v>25</v>
      </c>
      <c r="G2" t="s">
        <v>26</v>
      </c>
      <c r="I2" t="s">
        <v>27</v>
      </c>
      <c r="J2" t="s">
        <v>28</v>
      </c>
      <c r="K2" t="s">
        <v>29</v>
      </c>
      <c r="L2" t="s">
        <v>30</v>
      </c>
      <c r="M2">
        <v>2202141199</v>
      </c>
      <c r="N2" t="s">
        <v>31</v>
      </c>
      <c r="O2" t="s">
        <v>7881</v>
      </c>
      <c r="P2" t="s">
        <v>7977</v>
      </c>
      <c r="Q2" t="s">
        <v>32</v>
      </c>
      <c r="R2" t="s">
        <v>33</v>
      </c>
      <c r="S2" t="s">
        <v>34</v>
      </c>
      <c r="T2" s="1">
        <v>552500</v>
      </c>
      <c r="U2" s="1">
        <v>110500</v>
      </c>
      <c r="V2">
        <v>0</v>
      </c>
      <c r="W2" t="s">
        <v>36</v>
      </c>
    </row>
    <row r="3" spans="1:23" x14ac:dyDescent="0.25">
      <c r="A3">
        <v>22613</v>
      </c>
      <c r="B3" t="s">
        <v>23</v>
      </c>
      <c r="D3">
        <v>2</v>
      </c>
      <c r="E3" t="s">
        <v>37</v>
      </c>
      <c r="F3" t="s">
        <v>38</v>
      </c>
      <c r="G3" t="s">
        <v>39</v>
      </c>
      <c r="H3" t="s">
        <v>40</v>
      </c>
      <c r="I3" t="s">
        <v>41</v>
      </c>
      <c r="J3" t="s">
        <v>28</v>
      </c>
      <c r="K3" t="s">
        <v>42</v>
      </c>
      <c r="L3" t="s">
        <v>43</v>
      </c>
      <c r="M3" s="2" t="s">
        <v>44</v>
      </c>
      <c r="N3" t="s">
        <v>45</v>
      </c>
      <c r="O3" t="s">
        <v>7879</v>
      </c>
      <c r="P3" t="s">
        <v>7981</v>
      </c>
      <c r="Q3" t="s">
        <v>46</v>
      </c>
      <c r="R3" t="s">
        <v>33</v>
      </c>
      <c r="S3" t="s">
        <v>34</v>
      </c>
      <c r="T3" s="1">
        <v>195000</v>
      </c>
      <c r="U3">
        <v>0</v>
      </c>
      <c r="V3">
        <v>0</v>
      </c>
      <c r="W3" t="s">
        <v>47</v>
      </c>
    </row>
    <row r="4" spans="1:23" x14ac:dyDescent="0.25">
      <c r="A4">
        <v>23966</v>
      </c>
      <c r="B4" t="s">
        <v>23</v>
      </c>
      <c r="D4">
        <v>3</v>
      </c>
      <c r="E4" t="s">
        <v>48</v>
      </c>
      <c r="F4" t="s">
        <v>49</v>
      </c>
      <c r="G4" t="s">
        <v>50</v>
      </c>
      <c r="H4" t="s">
        <v>51</v>
      </c>
      <c r="I4" t="s">
        <v>52</v>
      </c>
      <c r="J4" t="s">
        <v>53</v>
      </c>
      <c r="K4" t="s">
        <v>54</v>
      </c>
      <c r="L4" t="s">
        <v>43</v>
      </c>
      <c r="M4">
        <v>2348071267724</v>
      </c>
      <c r="N4" t="s">
        <v>31</v>
      </c>
      <c r="O4" t="s">
        <v>7879</v>
      </c>
      <c r="P4" t="s">
        <v>7888</v>
      </c>
      <c r="Q4" t="s">
        <v>46</v>
      </c>
      <c r="R4" t="s">
        <v>33</v>
      </c>
      <c r="S4" t="s">
        <v>34</v>
      </c>
      <c r="T4" s="1">
        <v>195000</v>
      </c>
      <c r="U4">
        <v>0</v>
      </c>
      <c r="V4">
        <v>0</v>
      </c>
      <c r="W4" t="s">
        <v>55</v>
      </c>
    </row>
    <row r="5" spans="1:23" x14ac:dyDescent="0.25">
      <c r="A5">
        <v>23989</v>
      </c>
      <c r="B5" t="s">
        <v>23</v>
      </c>
      <c r="D5">
        <v>4</v>
      </c>
      <c r="E5" t="s">
        <v>56</v>
      </c>
      <c r="F5" t="s">
        <v>57</v>
      </c>
      <c r="G5" t="s">
        <v>58</v>
      </c>
      <c r="H5" t="s">
        <v>59</v>
      </c>
      <c r="I5" t="s">
        <v>60</v>
      </c>
      <c r="J5" t="s">
        <v>53</v>
      </c>
      <c r="K5" t="s">
        <v>61</v>
      </c>
      <c r="L5" t="s">
        <v>43</v>
      </c>
      <c r="M5" s="2" t="s">
        <v>62</v>
      </c>
      <c r="N5" t="s">
        <v>31</v>
      </c>
      <c r="O5" t="s">
        <v>7879</v>
      </c>
      <c r="P5" t="s">
        <v>7893</v>
      </c>
      <c r="Q5" t="s">
        <v>63</v>
      </c>
      <c r="R5" t="s">
        <v>33</v>
      </c>
      <c r="S5" t="s">
        <v>34</v>
      </c>
      <c r="T5" s="1">
        <v>195000</v>
      </c>
      <c r="U5">
        <v>0</v>
      </c>
      <c r="V5">
        <v>0</v>
      </c>
      <c r="W5" t="s">
        <v>64</v>
      </c>
    </row>
    <row r="6" spans="1:23" x14ac:dyDescent="0.25">
      <c r="A6">
        <v>5042</v>
      </c>
      <c r="B6" t="s">
        <v>23</v>
      </c>
      <c r="D6">
        <v>5</v>
      </c>
      <c r="E6" t="s">
        <v>65</v>
      </c>
      <c r="F6" t="s">
        <v>66</v>
      </c>
      <c r="G6" t="s">
        <v>67</v>
      </c>
      <c r="H6" t="s">
        <v>68</v>
      </c>
      <c r="I6" t="s">
        <v>69</v>
      </c>
      <c r="J6" t="s">
        <v>28</v>
      </c>
      <c r="K6" t="s">
        <v>70</v>
      </c>
      <c r="L6" t="s">
        <v>43</v>
      </c>
      <c r="M6">
        <v>8030989439</v>
      </c>
      <c r="N6" t="s">
        <v>71</v>
      </c>
      <c r="O6" t="s">
        <v>7886</v>
      </c>
      <c r="P6" t="s">
        <v>7894</v>
      </c>
      <c r="Q6" t="s">
        <v>46</v>
      </c>
      <c r="R6" t="s">
        <v>33</v>
      </c>
      <c r="S6" t="s">
        <v>34</v>
      </c>
      <c r="T6" s="1">
        <v>812500</v>
      </c>
      <c r="U6">
        <v>0</v>
      </c>
      <c r="V6">
        <v>0</v>
      </c>
      <c r="W6" t="s">
        <v>72</v>
      </c>
    </row>
    <row r="7" spans="1:23" x14ac:dyDescent="0.25">
      <c r="A7">
        <v>23990</v>
      </c>
      <c r="B7" t="s">
        <v>23</v>
      </c>
      <c r="D7">
        <v>6</v>
      </c>
      <c r="E7" t="s">
        <v>73</v>
      </c>
      <c r="F7" t="s">
        <v>74</v>
      </c>
      <c r="G7" t="s">
        <v>75</v>
      </c>
      <c r="H7" t="s">
        <v>76</v>
      </c>
      <c r="I7" t="s">
        <v>77</v>
      </c>
      <c r="J7" t="s">
        <v>28</v>
      </c>
      <c r="K7" t="s">
        <v>78</v>
      </c>
      <c r="L7" t="s">
        <v>43</v>
      </c>
      <c r="M7" s="2" t="s">
        <v>79</v>
      </c>
      <c r="N7" t="s">
        <v>31</v>
      </c>
      <c r="O7" t="s">
        <v>7879</v>
      </c>
      <c r="P7" t="s">
        <v>8028</v>
      </c>
      <c r="Q7" t="s">
        <v>46</v>
      </c>
      <c r="R7" t="s">
        <v>33</v>
      </c>
      <c r="S7" t="s">
        <v>34</v>
      </c>
      <c r="T7" s="1">
        <v>195000</v>
      </c>
      <c r="U7">
        <v>0</v>
      </c>
      <c r="V7">
        <v>0</v>
      </c>
      <c r="W7" t="s">
        <v>80</v>
      </c>
    </row>
    <row r="8" spans="1:23" x14ac:dyDescent="0.25">
      <c r="A8">
        <v>23988</v>
      </c>
      <c r="B8" t="s">
        <v>23</v>
      </c>
      <c r="D8">
        <v>7</v>
      </c>
      <c r="E8" t="s">
        <v>81</v>
      </c>
      <c r="F8" t="s">
        <v>82</v>
      </c>
      <c r="G8" t="s">
        <v>83</v>
      </c>
      <c r="H8" t="s">
        <v>84</v>
      </c>
      <c r="I8" t="s">
        <v>85</v>
      </c>
      <c r="J8" t="s">
        <v>28</v>
      </c>
      <c r="K8" t="s">
        <v>85</v>
      </c>
      <c r="L8" t="s">
        <v>43</v>
      </c>
      <c r="M8" s="2" t="s">
        <v>86</v>
      </c>
      <c r="N8" t="s">
        <v>31</v>
      </c>
      <c r="O8" t="s">
        <v>7879</v>
      </c>
      <c r="P8" t="s">
        <v>7940</v>
      </c>
      <c r="Q8" t="s">
        <v>87</v>
      </c>
      <c r="R8" t="s">
        <v>33</v>
      </c>
      <c r="S8" t="s">
        <v>34</v>
      </c>
      <c r="T8" s="1">
        <v>195000</v>
      </c>
      <c r="U8">
        <v>0</v>
      </c>
      <c r="V8">
        <v>0</v>
      </c>
      <c r="W8" t="s">
        <v>88</v>
      </c>
    </row>
    <row r="9" spans="1:23" x14ac:dyDescent="0.25">
      <c r="A9">
        <v>19326</v>
      </c>
      <c r="B9" t="s">
        <v>23</v>
      </c>
      <c r="D9">
        <v>8</v>
      </c>
      <c r="E9" t="s">
        <v>89</v>
      </c>
      <c r="F9" t="s">
        <v>90</v>
      </c>
      <c r="G9" t="s">
        <v>91</v>
      </c>
      <c r="H9" t="s">
        <v>92</v>
      </c>
      <c r="I9" t="s">
        <v>7982</v>
      </c>
      <c r="J9" t="s">
        <v>28</v>
      </c>
      <c r="K9" t="s">
        <v>93</v>
      </c>
      <c r="L9" t="s">
        <v>43</v>
      </c>
      <c r="M9" s="2" t="s">
        <v>94</v>
      </c>
      <c r="N9" t="s">
        <v>45</v>
      </c>
      <c r="O9" t="s">
        <v>7879</v>
      </c>
      <c r="P9" t="s">
        <v>7981</v>
      </c>
      <c r="Q9" t="s">
        <v>46</v>
      </c>
      <c r="R9" t="s">
        <v>33</v>
      </c>
      <c r="S9" t="s">
        <v>34</v>
      </c>
      <c r="T9" s="1">
        <v>195000</v>
      </c>
      <c r="U9">
        <v>0</v>
      </c>
      <c r="V9">
        <v>0</v>
      </c>
      <c r="W9" t="s">
        <v>95</v>
      </c>
    </row>
    <row r="10" spans="1:23" x14ac:dyDescent="0.25">
      <c r="A10">
        <v>23825</v>
      </c>
      <c r="B10" t="s">
        <v>23</v>
      </c>
      <c r="D10">
        <v>9</v>
      </c>
      <c r="E10" t="s">
        <v>96</v>
      </c>
      <c r="F10" t="s">
        <v>97</v>
      </c>
      <c r="G10" t="s">
        <v>98</v>
      </c>
      <c r="H10" t="s">
        <v>99</v>
      </c>
      <c r="I10" t="s">
        <v>100</v>
      </c>
      <c r="J10" t="s">
        <v>53</v>
      </c>
      <c r="K10" t="s">
        <v>101</v>
      </c>
      <c r="L10" t="s">
        <v>43</v>
      </c>
      <c r="M10">
        <v>2348120518645</v>
      </c>
      <c r="N10" t="s">
        <v>31</v>
      </c>
      <c r="O10" t="s">
        <v>7879</v>
      </c>
      <c r="P10" t="s">
        <v>7940</v>
      </c>
      <c r="Q10" t="s">
        <v>63</v>
      </c>
      <c r="R10" t="s">
        <v>33</v>
      </c>
      <c r="S10" t="s">
        <v>34</v>
      </c>
      <c r="T10" s="1">
        <v>195000</v>
      </c>
      <c r="U10">
        <v>0</v>
      </c>
      <c r="V10">
        <v>0</v>
      </c>
      <c r="W10" t="s">
        <v>102</v>
      </c>
    </row>
    <row r="11" spans="1:23" x14ac:dyDescent="0.25">
      <c r="A11">
        <v>23977</v>
      </c>
      <c r="B11" t="s">
        <v>23</v>
      </c>
      <c r="D11">
        <v>10</v>
      </c>
      <c r="E11" t="s">
        <v>103</v>
      </c>
      <c r="F11" t="s">
        <v>104</v>
      </c>
      <c r="G11" t="s">
        <v>105</v>
      </c>
      <c r="I11" t="s">
        <v>106</v>
      </c>
      <c r="J11" t="s">
        <v>53</v>
      </c>
      <c r="K11" t="s">
        <v>107</v>
      </c>
      <c r="L11" t="s">
        <v>43</v>
      </c>
      <c r="M11" s="2" t="s">
        <v>108</v>
      </c>
      <c r="N11" t="s">
        <v>31</v>
      </c>
      <c r="O11" t="s">
        <v>7879</v>
      </c>
      <c r="P11" t="s">
        <v>7893</v>
      </c>
      <c r="Q11" t="s">
        <v>46</v>
      </c>
      <c r="R11" t="s">
        <v>33</v>
      </c>
      <c r="S11" t="s">
        <v>34</v>
      </c>
      <c r="T11" s="1">
        <v>195000</v>
      </c>
      <c r="U11">
        <v>0</v>
      </c>
      <c r="V11">
        <v>0</v>
      </c>
      <c r="W11" t="s">
        <v>109</v>
      </c>
    </row>
    <row r="12" spans="1:23" x14ac:dyDescent="0.25">
      <c r="A12">
        <v>958</v>
      </c>
      <c r="B12" t="s">
        <v>23</v>
      </c>
      <c r="D12">
        <v>11</v>
      </c>
      <c r="E12" t="s">
        <v>110</v>
      </c>
      <c r="F12" t="s">
        <v>111</v>
      </c>
      <c r="G12" t="s">
        <v>112</v>
      </c>
      <c r="H12" t="s">
        <v>113</v>
      </c>
      <c r="I12" t="s">
        <v>7895</v>
      </c>
      <c r="J12" t="s">
        <v>53</v>
      </c>
      <c r="K12" t="s">
        <v>114</v>
      </c>
      <c r="L12" t="s">
        <v>43</v>
      </c>
      <c r="M12">
        <v>8062995811</v>
      </c>
      <c r="N12" t="s">
        <v>45</v>
      </c>
      <c r="O12" t="s">
        <v>7881</v>
      </c>
      <c r="P12" t="s">
        <v>7893</v>
      </c>
      <c r="Q12" t="s">
        <v>87</v>
      </c>
      <c r="R12" t="s">
        <v>33</v>
      </c>
      <c r="S12" t="s">
        <v>34</v>
      </c>
      <c r="T12" s="1">
        <v>552500</v>
      </c>
      <c r="U12">
        <v>0</v>
      </c>
      <c r="V12">
        <v>0</v>
      </c>
      <c r="W12" t="s">
        <v>115</v>
      </c>
    </row>
    <row r="13" spans="1:23" x14ac:dyDescent="0.25">
      <c r="A13">
        <v>23359</v>
      </c>
      <c r="B13" t="s">
        <v>23</v>
      </c>
      <c r="D13">
        <v>12</v>
      </c>
      <c r="E13" t="s">
        <v>116</v>
      </c>
      <c r="F13" t="s">
        <v>117</v>
      </c>
      <c r="G13" t="s">
        <v>118</v>
      </c>
      <c r="H13" t="s">
        <v>83</v>
      </c>
      <c r="I13" t="s">
        <v>119</v>
      </c>
      <c r="J13" t="s">
        <v>28</v>
      </c>
      <c r="K13" t="s">
        <v>120</v>
      </c>
      <c r="L13" t="s">
        <v>43</v>
      </c>
      <c r="M13" s="2" t="s">
        <v>121</v>
      </c>
      <c r="N13" t="s">
        <v>45</v>
      </c>
      <c r="O13" t="s">
        <v>7879</v>
      </c>
      <c r="P13" t="s">
        <v>7893</v>
      </c>
      <c r="Q13" t="s">
        <v>87</v>
      </c>
      <c r="R13" t="s">
        <v>33</v>
      </c>
      <c r="S13" t="s">
        <v>34</v>
      </c>
      <c r="T13" s="1">
        <v>195000</v>
      </c>
      <c r="U13">
        <v>0</v>
      </c>
      <c r="V13">
        <v>0</v>
      </c>
      <c r="W13" t="s">
        <v>122</v>
      </c>
    </row>
    <row r="14" spans="1:23" x14ac:dyDescent="0.25">
      <c r="A14">
        <v>23978</v>
      </c>
      <c r="B14" t="s">
        <v>23</v>
      </c>
      <c r="D14">
        <v>13</v>
      </c>
      <c r="E14" t="s">
        <v>123</v>
      </c>
      <c r="F14" t="s">
        <v>124</v>
      </c>
      <c r="G14" t="s">
        <v>125</v>
      </c>
      <c r="H14" t="s">
        <v>126</v>
      </c>
      <c r="I14" t="s">
        <v>127</v>
      </c>
      <c r="J14" t="s">
        <v>28</v>
      </c>
      <c r="K14" t="s">
        <v>128</v>
      </c>
      <c r="L14" t="s">
        <v>43</v>
      </c>
      <c r="M14" s="2" t="s">
        <v>129</v>
      </c>
      <c r="N14" t="s">
        <v>31</v>
      </c>
      <c r="O14" t="s">
        <v>7879</v>
      </c>
      <c r="P14" t="s">
        <v>7940</v>
      </c>
      <c r="Q14" t="s">
        <v>46</v>
      </c>
      <c r="R14" t="s">
        <v>130</v>
      </c>
      <c r="S14" t="s">
        <v>131</v>
      </c>
      <c r="T14">
        <v>150</v>
      </c>
      <c r="U14">
        <v>0</v>
      </c>
      <c r="V14">
        <v>0</v>
      </c>
      <c r="W14" t="s">
        <v>132</v>
      </c>
    </row>
    <row r="15" spans="1:23" x14ac:dyDescent="0.25">
      <c r="A15">
        <v>488</v>
      </c>
      <c r="B15" t="s">
        <v>23</v>
      </c>
      <c r="D15">
        <v>14</v>
      </c>
      <c r="E15" t="s">
        <v>133</v>
      </c>
      <c r="F15" t="s">
        <v>134</v>
      </c>
      <c r="G15" t="s">
        <v>135</v>
      </c>
      <c r="H15" t="s">
        <v>136</v>
      </c>
      <c r="I15" t="s">
        <v>137</v>
      </c>
      <c r="J15" t="s">
        <v>53</v>
      </c>
      <c r="K15" t="s">
        <v>138</v>
      </c>
      <c r="L15" t="s">
        <v>43</v>
      </c>
      <c r="M15" s="2" t="s">
        <v>139</v>
      </c>
      <c r="N15" t="s">
        <v>45</v>
      </c>
      <c r="O15" t="s">
        <v>7881</v>
      </c>
      <c r="P15" t="s">
        <v>7940</v>
      </c>
      <c r="Q15" t="s">
        <v>63</v>
      </c>
      <c r="R15" t="s">
        <v>33</v>
      </c>
      <c r="S15" t="s">
        <v>34</v>
      </c>
      <c r="T15" s="1">
        <v>552500</v>
      </c>
      <c r="U15">
        <v>0</v>
      </c>
      <c r="V15">
        <v>0</v>
      </c>
      <c r="W15" t="s">
        <v>140</v>
      </c>
    </row>
    <row r="16" spans="1:23" x14ac:dyDescent="0.25">
      <c r="A16">
        <v>19036</v>
      </c>
      <c r="B16" t="s">
        <v>23</v>
      </c>
      <c r="D16">
        <v>15</v>
      </c>
      <c r="E16" t="s">
        <v>141</v>
      </c>
      <c r="F16" t="s">
        <v>142</v>
      </c>
      <c r="G16" t="s">
        <v>143</v>
      </c>
      <c r="H16" t="s">
        <v>144</v>
      </c>
      <c r="I16" t="s">
        <v>145</v>
      </c>
      <c r="J16" t="s">
        <v>53</v>
      </c>
      <c r="K16" t="s">
        <v>146</v>
      </c>
      <c r="L16" t="s">
        <v>43</v>
      </c>
      <c r="M16" s="2" t="s">
        <v>147</v>
      </c>
      <c r="N16" t="s">
        <v>31</v>
      </c>
      <c r="O16" t="s">
        <v>7879</v>
      </c>
      <c r="P16" t="s">
        <v>8028</v>
      </c>
      <c r="Q16" t="s">
        <v>63</v>
      </c>
      <c r="R16" t="s">
        <v>33</v>
      </c>
      <c r="S16" t="s">
        <v>34</v>
      </c>
      <c r="T16" s="1">
        <v>195000</v>
      </c>
      <c r="U16">
        <v>0</v>
      </c>
      <c r="V16">
        <v>0</v>
      </c>
      <c r="W16" t="s">
        <v>148</v>
      </c>
    </row>
    <row r="17" spans="1:23" x14ac:dyDescent="0.25">
      <c r="A17">
        <v>24036</v>
      </c>
      <c r="B17" t="s">
        <v>23</v>
      </c>
      <c r="D17">
        <v>16</v>
      </c>
      <c r="E17" t="s">
        <v>149</v>
      </c>
      <c r="F17" t="s">
        <v>150</v>
      </c>
      <c r="G17" t="s">
        <v>151</v>
      </c>
      <c r="H17" t="s">
        <v>152</v>
      </c>
      <c r="I17" t="s">
        <v>153</v>
      </c>
      <c r="J17" t="s">
        <v>53</v>
      </c>
      <c r="K17" t="s">
        <v>154</v>
      </c>
      <c r="L17" t="s">
        <v>43</v>
      </c>
      <c r="M17" s="2" t="s">
        <v>155</v>
      </c>
      <c r="N17" t="s">
        <v>31</v>
      </c>
      <c r="O17" t="s">
        <v>7879</v>
      </c>
      <c r="P17" t="s">
        <v>7940</v>
      </c>
      <c r="Q17" t="s">
        <v>63</v>
      </c>
      <c r="R17" t="s">
        <v>33</v>
      </c>
      <c r="S17" t="s">
        <v>34</v>
      </c>
      <c r="T17" s="1">
        <v>195000</v>
      </c>
      <c r="U17">
        <v>0</v>
      </c>
      <c r="V17">
        <v>0</v>
      </c>
      <c r="W17" t="s">
        <v>156</v>
      </c>
    </row>
    <row r="18" spans="1:23" x14ac:dyDescent="0.25">
      <c r="A18">
        <v>9413</v>
      </c>
      <c r="B18" t="s">
        <v>23</v>
      </c>
      <c r="D18">
        <v>17</v>
      </c>
      <c r="E18" t="s">
        <v>157</v>
      </c>
      <c r="F18" t="s">
        <v>158</v>
      </c>
      <c r="G18" t="s">
        <v>159</v>
      </c>
      <c r="H18" t="s">
        <v>160</v>
      </c>
      <c r="I18" t="s">
        <v>161</v>
      </c>
      <c r="J18" t="s">
        <v>28</v>
      </c>
      <c r="K18" t="s">
        <v>162</v>
      </c>
      <c r="L18" t="s">
        <v>43</v>
      </c>
      <c r="M18" s="2" t="s">
        <v>163</v>
      </c>
      <c r="N18" t="s">
        <v>45</v>
      </c>
      <c r="O18" t="s">
        <v>7879</v>
      </c>
      <c r="P18" t="s">
        <v>7981</v>
      </c>
      <c r="Q18" t="s">
        <v>63</v>
      </c>
      <c r="R18" t="s">
        <v>33</v>
      </c>
      <c r="S18" t="s">
        <v>34</v>
      </c>
      <c r="T18" s="1">
        <v>195000</v>
      </c>
      <c r="U18">
        <v>0</v>
      </c>
      <c r="V18">
        <v>0</v>
      </c>
      <c r="W18" t="s">
        <v>164</v>
      </c>
    </row>
    <row r="19" spans="1:23" x14ac:dyDescent="0.25">
      <c r="A19">
        <v>2369</v>
      </c>
      <c r="B19" t="s">
        <v>23</v>
      </c>
      <c r="D19">
        <v>18</v>
      </c>
      <c r="E19" t="s">
        <v>165</v>
      </c>
      <c r="F19" t="s">
        <v>166</v>
      </c>
      <c r="G19" t="s">
        <v>167</v>
      </c>
      <c r="I19" t="s">
        <v>168</v>
      </c>
      <c r="J19" t="s">
        <v>53</v>
      </c>
      <c r="K19" t="s">
        <v>169</v>
      </c>
      <c r="L19" t="s">
        <v>43</v>
      </c>
      <c r="M19" s="2" t="s">
        <v>170</v>
      </c>
      <c r="N19" t="s">
        <v>31</v>
      </c>
      <c r="O19" t="s">
        <v>7881</v>
      </c>
      <c r="P19" t="s">
        <v>8028</v>
      </c>
      <c r="Q19" t="s">
        <v>46</v>
      </c>
      <c r="R19" t="s">
        <v>33</v>
      </c>
      <c r="S19" t="s">
        <v>34</v>
      </c>
      <c r="T19" s="1">
        <v>552500</v>
      </c>
      <c r="U19">
        <v>0</v>
      </c>
      <c r="V19">
        <v>0</v>
      </c>
      <c r="W19" t="s">
        <v>171</v>
      </c>
    </row>
    <row r="20" spans="1:23" x14ac:dyDescent="0.25">
      <c r="A20">
        <v>7343</v>
      </c>
      <c r="B20" t="s">
        <v>23</v>
      </c>
      <c r="D20">
        <v>19</v>
      </c>
      <c r="E20" t="s">
        <v>172</v>
      </c>
      <c r="F20" t="s">
        <v>173</v>
      </c>
      <c r="G20" t="s">
        <v>174</v>
      </c>
      <c r="H20" t="s">
        <v>175</v>
      </c>
      <c r="I20" t="s">
        <v>176</v>
      </c>
      <c r="J20" t="s">
        <v>53</v>
      </c>
      <c r="K20" t="s">
        <v>176</v>
      </c>
      <c r="L20" t="s">
        <v>43</v>
      </c>
      <c r="M20" s="2" t="s">
        <v>177</v>
      </c>
      <c r="N20" t="s">
        <v>31</v>
      </c>
      <c r="O20" t="s">
        <v>7886</v>
      </c>
      <c r="P20" t="s">
        <v>8028</v>
      </c>
      <c r="Q20" t="s">
        <v>63</v>
      </c>
      <c r="R20" t="s">
        <v>33</v>
      </c>
      <c r="S20" t="s">
        <v>34</v>
      </c>
      <c r="T20" s="1">
        <v>812500</v>
      </c>
      <c r="U20">
        <v>0</v>
      </c>
      <c r="V20" s="1">
        <v>162500</v>
      </c>
      <c r="W20" t="s">
        <v>178</v>
      </c>
    </row>
    <row r="21" spans="1:23" x14ac:dyDescent="0.25">
      <c r="A21">
        <v>23981</v>
      </c>
      <c r="B21" t="s">
        <v>23</v>
      </c>
      <c r="D21">
        <v>20</v>
      </c>
      <c r="E21" t="s">
        <v>179</v>
      </c>
      <c r="F21" t="s">
        <v>180</v>
      </c>
      <c r="G21" t="s">
        <v>181</v>
      </c>
      <c r="H21" t="s">
        <v>182</v>
      </c>
      <c r="I21" t="s">
        <v>183</v>
      </c>
      <c r="J21" t="s">
        <v>53</v>
      </c>
      <c r="K21" t="s">
        <v>184</v>
      </c>
      <c r="L21" t="s">
        <v>43</v>
      </c>
      <c r="M21" s="2" t="s">
        <v>185</v>
      </c>
      <c r="N21" t="s">
        <v>31</v>
      </c>
      <c r="O21" t="s">
        <v>7879</v>
      </c>
      <c r="P21" t="s">
        <v>7893</v>
      </c>
      <c r="Q21" t="s">
        <v>46</v>
      </c>
      <c r="R21" t="s">
        <v>33</v>
      </c>
      <c r="S21" t="s">
        <v>34</v>
      </c>
      <c r="T21" s="1">
        <v>195000</v>
      </c>
      <c r="U21">
        <v>0</v>
      </c>
      <c r="V21">
        <v>0</v>
      </c>
      <c r="W21" t="s">
        <v>186</v>
      </c>
    </row>
    <row r="22" spans="1:23" x14ac:dyDescent="0.25">
      <c r="A22">
        <v>18872</v>
      </c>
      <c r="B22" t="s">
        <v>23</v>
      </c>
      <c r="D22">
        <v>21</v>
      </c>
      <c r="E22" t="s">
        <v>187</v>
      </c>
      <c r="F22" t="s">
        <v>188</v>
      </c>
      <c r="G22" t="s">
        <v>189</v>
      </c>
      <c r="H22" t="s">
        <v>190</v>
      </c>
      <c r="I22" t="s">
        <v>8029</v>
      </c>
      <c r="J22" t="s">
        <v>53</v>
      </c>
      <c r="K22" t="s">
        <v>191</v>
      </c>
      <c r="L22" t="s">
        <v>43</v>
      </c>
      <c r="M22">
        <v>23409077945775</v>
      </c>
      <c r="N22" t="s">
        <v>31</v>
      </c>
      <c r="O22" t="s">
        <v>7881</v>
      </c>
      <c r="P22" t="s">
        <v>8028</v>
      </c>
      <c r="Q22" t="s">
        <v>63</v>
      </c>
      <c r="R22" t="s">
        <v>33</v>
      </c>
      <c r="S22" t="s">
        <v>34</v>
      </c>
      <c r="T22" s="1">
        <v>552500</v>
      </c>
      <c r="U22">
        <v>0</v>
      </c>
      <c r="V22">
        <v>0</v>
      </c>
      <c r="W22" t="s">
        <v>192</v>
      </c>
    </row>
    <row r="23" spans="1:23" x14ac:dyDescent="0.25">
      <c r="A23">
        <v>3709</v>
      </c>
      <c r="B23" t="s">
        <v>23</v>
      </c>
      <c r="D23">
        <v>22</v>
      </c>
      <c r="E23" t="s">
        <v>193</v>
      </c>
      <c r="F23" t="s">
        <v>194</v>
      </c>
      <c r="G23" t="s">
        <v>195</v>
      </c>
      <c r="H23" t="s">
        <v>196</v>
      </c>
      <c r="I23" t="s">
        <v>7983</v>
      </c>
      <c r="J23" t="s">
        <v>53</v>
      </c>
      <c r="K23" t="s">
        <v>197</v>
      </c>
      <c r="L23" t="s">
        <v>43</v>
      </c>
      <c r="M23" s="2" t="s">
        <v>198</v>
      </c>
      <c r="N23" t="s">
        <v>45</v>
      </c>
      <c r="O23" t="s">
        <v>7886</v>
      </c>
      <c r="P23" t="s">
        <v>7981</v>
      </c>
      <c r="Q23" t="s">
        <v>46</v>
      </c>
      <c r="R23" t="s">
        <v>33</v>
      </c>
      <c r="S23" t="s">
        <v>34</v>
      </c>
      <c r="T23" s="1">
        <v>812500</v>
      </c>
      <c r="U23">
        <v>0</v>
      </c>
      <c r="V23" s="1">
        <v>162500</v>
      </c>
      <c r="W23" t="s">
        <v>199</v>
      </c>
    </row>
    <row r="24" spans="1:23" x14ac:dyDescent="0.25">
      <c r="A24">
        <v>24045</v>
      </c>
      <c r="B24" t="s">
        <v>23</v>
      </c>
      <c r="D24">
        <v>23</v>
      </c>
      <c r="E24" t="s">
        <v>200</v>
      </c>
      <c r="F24" t="s">
        <v>201</v>
      </c>
      <c r="G24" t="s">
        <v>202</v>
      </c>
      <c r="H24" t="s">
        <v>203</v>
      </c>
      <c r="I24" t="s">
        <v>204</v>
      </c>
      <c r="J24" t="s">
        <v>28</v>
      </c>
      <c r="K24" t="s">
        <v>205</v>
      </c>
      <c r="L24" t="s">
        <v>43</v>
      </c>
      <c r="M24" s="2" t="s">
        <v>206</v>
      </c>
      <c r="N24" t="s">
        <v>31</v>
      </c>
      <c r="O24" t="s">
        <v>7879</v>
      </c>
      <c r="P24" t="s">
        <v>7981</v>
      </c>
      <c r="Q24" t="s">
        <v>87</v>
      </c>
      <c r="R24" t="s">
        <v>33</v>
      </c>
      <c r="S24" t="s">
        <v>34</v>
      </c>
      <c r="T24" s="1">
        <v>195000</v>
      </c>
      <c r="U24">
        <v>0</v>
      </c>
      <c r="V24">
        <v>0</v>
      </c>
      <c r="W24" t="s">
        <v>207</v>
      </c>
    </row>
    <row r="25" spans="1:23" x14ac:dyDescent="0.25">
      <c r="A25">
        <v>24008</v>
      </c>
      <c r="B25" t="s">
        <v>23</v>
      </c>
      <c r="D25">
        <v>24</v>
      </c>
      <c r="E25" t="s">
        <v>208</v>
      </c>
      <c r="F25" t="s">
        <v>209</v>
      </c>
      <c r="G25" t="s">
        <v>210</v>
      </c>
      <c r="H25" t="s">
        <v>211</v>
      </c>
      <c r="I25" t="s">
        <v>212</v>
      </c>
      <c r="J25" t="s">
        <v>53</v>
      </c>
      <c r="K25" t="s">
        <v>213</v>
      </c>
      <c r="L25" t="s">
        <v>43</v>
      </c>
      <c r="M25" s="2" t="s">
        <v>214</v>
      </c>
      <c r="N25" t="s">
        <v>31</v>
      </c>
      <c r="O25" t="s">
        <v>7879</v>
      </c>
      <c r="P25" t="s">
        <v>7940</v>
      </c>
      <c r="Q25" t="s">
        <v>46</v>
      </c>
      <c r="R25" t="s">
        <v>33</v>
      </c>
      <c r="S25" t="s">
        <v>34</v>
      </c>
      <c r="T25" s="1">
        <v>195000</v>
      </c>
      <c r="U25">
        <v>0</v>
      </c>
      <c r="V25">
        <v>0</v>
      </c>
      <c r="W25" t="s">
        <v>215</v>
      </c>
    </row>
    <row r="26" spans="1:23" x14ac:dyDescent="0.25">
      <c r="A26">
        <v>20784</v>
      </c>
      <c r="B26" t="s">
        <v>23</v>
      </c>
      <c r="D26">
        <v>25</v>
      </c>
      <c r="E26" t="s">
        <v>216</v>
      </c>
      <c r="F26" t="s">
        <v>217</v>
      </c>
      <c r="G26" t="s">
        <v>218</v>
      </c>
      <c r="H26" t="s">
        <v>219</v>
      </c>
      <c r="I26" t="s">
        <v>220</v>
      </c>
      <c r="J26" t="s">
        <v>53</v>
      </c>
      <c r="K26" t="s">
        <v>221</v>
      </c>
      <c r="L26" t="s">
        <v>43</v>
      </c>
      <c r="M26" s="2" t="s">
        <v>222</v>
      </c>
      <c r="N26" t="s">
        <v>31</v>
      </c>
      <c r="O26" t="s">
        <v>7881</v>
      </c>
      <c r="P26" t="s">
        <v>7981</v>
      </c>
      <c r="Q26" t="s">
        <v>46</v>
      </c>
      <c r="R26" t="s">
        <v>33</v>
      </c>
      <c r="S26" t="s">
        <v>34</v>
      </c>
      <c r="T26" s="1">
        <v>552500</v>
      </c>
      <c r="U26">
        <v>0</v>
      </c>
      <c r="V26">
        <v>0</v>
      </c>
      <c r="W26" t="s">
        <v>223</v>
      </c>
    </row>
    <row r="27" spans="1:23" x14ac:dyDescent="0.25">
      <c r="A27">
        <v>24072</v>
      </c>
      <c r="B27" t="s">
        <v>23</v>
      </c>
      <c r="D27">
        <v>26</v>
      </c>
      <c r="E27" t="s">
        <v>224</v>
      </c>
      <c r="F27" t="s">
        <v>225</v>
      </c>
      <c r="G27" t="s">
        <v>226</v>
      </c>
      <c r="H27" t="s">
        <v>227</v>
      </c>
      <c r="I27" t="s">
        <v>228</v>
      </c>
      <c r="J27" t="s">
        <v>53</v>
      </c>
      <c r="K27" t="s">
        <v>229</v>
      </c>
      <c r="L27" t="s">
        <v>43</v>
      </c>
      <c r="M27" s="2" t="s">
        <v>230</v>
      </c>
      <c r="N27" t="s">
        <v>31</v>
      </c>
      <c r="O27" t="s">
        <v>7879</v>
      </c>
      <c r="P27" t="s">
        <v>7893</v>
      </c>
      <c r="Q27" t="s">
        <v>87</v>
      </c>
      <c r="R27" t="s">
        <v>33</v>
      </c>
      <c r="S27" t="s">
        <v>34</v>
      </c>
      <c r="T27" s="1">
        <v>195000</v>
      </c>
      <c r="U27">
        <v>0</v>
      </c>
      <c r="V27">
        <v>0</v>
      </c>
      <c r="W27" t="s">
        <v>231</v>
      </c>
    </row>
    <row r="28" spans="1:23" x14ac:dyDescent="0.25">
      <c r="A28">
        <v>23957</v>
      </c>
      <c r="B28" t="s">
        <v>23</v>
      </c>
      <c r="D28">
        <v>27</v>
      </c>
      <c r="E28" t="s">
        <v>232</v>
      </c>
      <c r="F28" t="s">
        <v>233</v>
      </c>
      <c r="G28" t="s">
        <v>234</v>
      </c>
      <c r="I28" t="s">
        <v>235</v>
      </c>
      <c r="J28" t="s">
        <v>28</v>
      </c>
      <c r="K28" t="s">
        <v>236</v>
      </c>
      <c r="L28" t="s">
        <v>43</v>
      </c>
      <c r="M28">
        <v>2347085014434</v>
      </c>
      <c r="N28" t="s">
        <v>31</v>
      </c>
      <c r="O28" t="s">
        <v>7879</v>
      </c>
      <c r="P28" t="s">
        <v>8028</v>
      </c>
      <c r="Q28" t="s">
        <v>46</v>
      </c>
      <c r="R28" t="s">
        <v>33</v>
      </c>
      <c r="S28" t="s">
        <v>34</v>
      </c>
      <c r="T28" s="1">
        <v>195000</v>
      </c>
      <c r="U28">
        <v>0</v>
      </c>
      <c r="V28">
        <v>0</v>
      </c>
      <c r="W28" t="s">
        <v>237</v>
      </c>
    </row>
    <row r="29" spans="1:23" x14ac:dyDescent="0.25">
      <c r="A29">
        <v>6263</v>
      </c>
      <c r="B29" t="s">
        <v>23</v>
      </c>
      <c r="D29">
        <v>28</v>
      </c>
      <c r="E29" t="s">
        <v>238</v>
      </c>
      <c r="F29" t="s">
        <v>239</v>
      </c>
      <c r="G29" t="s">
        <v>240</v>
      </c>
      <c r="H29" t="s">
        <v>241</v>
      </c>
      <c r="I29" t="s">
        <v>7896</v>
      </c>
      <c r="J29" t="s">
        <v>28</v>
      </c>
      <c r="K29" t="s">
        <v>242</v>
      </c>
      <c r="L29" t="s">
        <v>43</v>
      </c>
      <c r="M29" s="2" t="s">
        <v>243</v>
      </c>
      <c r="N29" t="s">
        <v>244</v>
      </c>
      <c r="O29" t="s">
        <v>7886</v>
      </c>
      <c r="P29" t="s">
        <v>7894</v>
      </c>
      <c r="Q29" t="s">
        <v>63</v>
      </c>
      <c r="R29" t="s">
        <v>33</v>
      </c>
      <c r="S29" t="s">
        <v>34</v>
      </c>
      <c r="T29" s="1">
        <v>812500</v>
      </c>
      <c r="U29">
        <v>0</v>
      </c>
      <c r="V29">
        <v>0</v>
      </c>
      <c r="W29" t="s">
        <v>245</v>
      </c>
    </row>
    <row r="30" spans="1:23" x14ac:dyDescent="0.25">
      <c r="A30">
        <v>22620</v>
      </c>
      <c r="B30" t="s">
        <v>23</v>
      </c>
      <c r="D30">
        <v>29</v>
      </c>
      <c r="E30" t="s">
        <v>246</v>
      </c>
      <c r="F30" t="s">
        <v>247</v>
      </c>
      <c r="G30" t="s">
        <v>248</v>
      </c>
      <c r="H30" t="s">
        <v>249</v>
      </c>
      <c r="I30" t="s">
        <v>250</v>
      </c>
      <c r="J30" t="s">
        <v>53</v>
      </c>
      <c r="K30" t="s">
        <v>251</v>
      </c>
      <c r="L30" t="s">
        <v>43</v>
      </c>
      <c r="M30" s="2" t="s">
        <v>252</v>
      </c>
      <c r="N30" t="s">
        <v>31</v>
      </c>
      <c r="O30" t="s">
        <v>7879</v>
      </c>
      <c r="P30" t="s">
        <v>7888</v>
      </c>
      <c r="Q30" t="s">
        <v>63</v>
      </c>
      <c r="R30" t="s">
        <v>33</v>
      </c>
      <c r="S30" t="s">
        <v>34</v>
      </c>
      <c r="T30" s="1">
        <v>195000</v>
      </c>
      <c r="U30">
        <v>0</v>
      </c>
      <c r="V30">
        <v>0</v>
      </c>
      <c r="W30" t="s">
        <v>253</v>
      </c>
    </row>
    <row r="31" spans="1:23" x14ac:dyDescent="0.25">
      <c r="A31">
        <v>24007</v>
      </c>
      <c r="B31" t="s">
        <v>23</v>
      </c>
      <c r="D31">
        <v>30</v>
      </c>
      <c r="E31" t="s">
        <v>254</v>
      </c>
      <c r="F31" t="s">
        <v>255</v>
      </c>
      <c r="G31" t="s">
        <v>83</v>
      </c>
      <c r="H31" t="s">
        <v>256</v>
      </c>
      <c r="I31" t="s">
        <v>257</v>
      </c>
      <c r="J31" t="s">
        <v>28</v>
      </c>
      <c r="K31" t="s">
        <v>258</v>
      </c>
      <c r="L31" t="s">
        <v>43</v>
      </c>
      <c r="M31" s="2" t="s">
        <v>259</v>
      </c>
      <c r="N31" t="s">
        <v>31</v>
      </c>
      <c r="O31" t="s">
        <v>7879</v>
      </c>
      <c r="P31" t="s">
        <v>7981</v>
      </c>
      <c r="Q31" t="s">
        <v>46</v>
      </c>
      <c r="R31" t="s">
        <v>33</v>
      </c>
      <c r="S31" t="s">
        <v>34</v>
      </c>
      <c r="T31" s="1">
        <v>195000</v>
      </c>
      <c r="U31">
        <v>0</v>
      </c>
      <c r="V31">
        <v>0</v>
      </c>
      <c r="W31" t="s">
        <v>260</v>
      </c>
    </row>
    <row r="32" spans="1:23" x14ac:dyDescent="0.25">
      <c r="A32">
        <v>24049</v>
      </c>
      <c r="B32" t="s">
        <v>23</v>
      </c>
      <c r="D32">
        <v>31</v>
      </c>
      <c r="E32" t="s">
        <v>261</v>
      </c>
      <c r="F32" t="s">
        <v>262</v>
      </c>
      <c r="G32" t="s">
        <v>263</v>
      </c>
      <c r="H32" t="s">
        <v>264</v>
      </c>
      <c r="I32" t="s">
        <v>265</v>
      </c>
      <c r="J32" t="s">
        <v>53</v>
      </c>
      <c r="K32" t="s">
        <v>266</v>
      </c>
      <c r="L32" t="s">
        <v>43</v>
      </c>
      <c r="M32" s="2" t="s">
        <v>267</v>
      </c>
      <c r="N32" t="s">
        <v>31</v>
      </c>
      <c r="O32" t="s">
        <v>7879</v>
      </c>
      <c r="P32" t="s">
        <v>7940</v>
      </c>
      <c r="Q32" t="s">
        <v>63</v>
      </c>
      <c r="R32" t="s">
        <v>33</v>
      </c>
      <c r="S32" t="s">
        <v>34</v>
      </c>
      <c r="T32" s="1">
        <v>195000</v>
      </c>
      <c r="U32">
        <v>0</v>
      </c>
      <c r="V32">
        <v>0</v>
      </c>
      <c r="W32" t="s">
        <v>268</v>
      </c>
    </row>
    <row r="33" spans="1:23" x14ac:dyDescent="0.25">
      <c r="A33">
        <v>24006</v>
      </c>
      <c r="B33" t="s">
        <v>23</v>
      </c>
      <c r="D33">
        <v>32</v>
      </c>
      <c r="E33" t="s">
        <v>269</v>
      </c>
      <c r="F33" t="s">
        <v>270</v>
      </c>
      <c r="G33" t="s">
        <v>271</v>
      </c>
      <c r="H33" t="s">
        <v>272</v>
      </c>
      <c r="I33" t="s">
        <v>273</v>
      </c>
      <c r="J33" t="s">
        <v>28</v>
      </c>
      <c r="K33" t="s">
        <v>274</v>
      </c>
      <c r="L33" t="s">
        <v>43</v>
      </c>
      <c r="M33" s="2" t="s">
        <v>275</v>
      </c>
      <c r="N33" t="s">
        <v>31</v>
      </c>
      <c r="O33" t="s">
        <v>7879</v>
      </c>
      <c r="P33" t="s">
        <v>8028</v>
      </c>
      <c r="Q33" t="s">
        <v>63</v>
      </c>
      <c r="R33" t="s">
        <v>33</v>
      </c>
      <c r="S33" t="s">
        <v>34</v>
      </c>
      <c r="T33" s="1">
        <v>195000</v>
      </c>
      <c r="U33">
        <v>0</v>
      </c>
      <c r="V33">
        <v>0</v>
      </c>
      <c r="W33" t="s">
        <v>276</v>
      </c>
    </row>
    <row r="34" spans="1:23" x14ac:dyDescent="0.25">
      <c r="A34">
        <v>24074</v>
      </c>
      <c r="B34" t="s">
        <v>23</v>
      </c>
      <c r="D34">
        <v>33</v>
      </c>
      <c r="E34" t="s">
        <v>277</v>
      </c>
      <c r="F34" t="s">
        <v>278</v>
      </c>
      <c r="G34" t="s">
        <v>279</v>
      </c>
      <c r="I34" t="s">
        <v>280</v>
      </c>
      <c r="J34" t="s">
        <v>28</v>
      </c>
      <c r="K34" t="s">
        <v>281</v>
      </c>
      <c r="L34" t="s">
        <v>43</v>
      </c>
      <c r="M34" s="2" t="s">
        <v>282</v>
      </c>
      <c r="N34" t="s">
        <v>31</v>
      </c>
      <c r="O34" t="s">
        <v>7879</v>
      </c>
      <c r="P34" t="s">
        <v>7888</v>
      </c>
      <c r="Q34" t="s">
        <v>63</v>
      </c>
      <c r="R34" t="s">
        <v>33</v>
      </c>
      <c r="S34" t="s">
        <v>34</v>
      </c>
      <c r="T34" s="1">
        <v>195000</v>
      </c>
      <c r="U34">
        <v>0</v>
      </c>
      <c r="V34">
        <v>0</v>
      </c>
      <c r="W34" t="s">
        <v>283</v>
      </c>
    </row>
    <row r="35" spans="1:23" x14ac:dyDescent="0.25">
      <c r="A35">
        <v>23979</v>
      </c>
      <c r="B35" t="s">
        <v>23</v>
      </c>
      <c r="D35">
        <v>34</v>
      </c>
      <c r="E35" t="s">
        <v>284</v>
      </c>
      <c r="F35" t="s">
        <v>285</v>
      </c>
      <c r="G35" t="s">
        <v>286</v>
      </c>
      <c r="H35" t="s">
        <v>287</v>
      </c>
      <c r="I35" t="s">
        <v>288</v>
      </c>
      <c r="J35" t="s">
        <v>28</v>
      </c>
      <c r="K35" t="s">
        <v>289</v>
      </c>
      <c r="L35" t="s">
        <v>43</v>
      </c>
      <c r="M35" s="2" t="s">
        <v>290</v>
      </c>
      <c r="N35" t="s">
        <v>31</v>
      </c>
      <c r="O35" t="s">
        <v>7879</v>
      </c>
      <c r="P35" t="s">
        <v>7893</v>
      </c>
      <c r="Q35" t="s">
        <v>63</v>
      </c>
      <c r="R35" t="s">
        <v>33</v>
      </c>
      <c r="S35" t="s">
        <v>34</v>
      </c>
      <c r="T35" s="1">
        <v>195000</v>
      </c>
      <c r="U35">
        <v>0</v>
      </c>
      <c r="V35">
        <v>0</v>
      </c>
      <c r="W35" t="s">
        <v>291</v>
      </c>
    </row>
    <row r="36" spans="1:23" x14ac:dyDescent="0.25">
      <c r="A36">
        <v>6616</v>
      </c>
      <c r="B36" t="s">
        <v>23</v>
      </c>
      <c r="D36">
        <v>35</v>
      </c>
      <c r="E36" t="s">
        <v>292</v>
      </c>
      <c r="F36" t="s">
        <v>293</v>
      </c>
      <c r="G36" t="s">
        <v>294</v>
      </c>
      <c r="H36" t="s">
        <v>295</v>
      </c>
      <c r="I36" t="s">
        <v>7897</v>
      </c>
      <c r="J36" t="s">
        <v>53</v>
      </c>
      <c r="K36" t="s">
        <v>296</v>
      </c>
      <c r="L36" t="s">
        <v>43</v>
      </c>
      <c r="M36">
        <v>8034274871</v>
      </c>
      <c r="N36" t="s">
        <v>244</v>
      </c>
      <c r="O36" t="s">
        <v>7886</v>
      </c>
      <c r="P36" t="s">
        <v>7894</v>
      </c>
      <c r="Q36" t="s">
        <v>63</v>
      </c>
      <c r="R36" t="s">
        <v>33</v>
      </c>
      <c r="S36" t="s">
        <v>34</v>
      </c>
      <c r="T36" s="1">
        <v>812500</v>
      </c>
      <c r="U36">
        <v>0</v>
      </c>
      <c r="V36">
        <v>0</v>
      </c>
      <c r="W36" t="s">
        <v>297</v>
      </c>
    </row>
    <row r="37" spans="1:23" x14ac:dyDescent="0.25">
      <c r="A37">
        <v>23974</v>
      </c>
      <c r="B37" t="s">
        <v>23</v>
      </c>
      <c r="D37">
        <v>37</v>
      </c>
      <c r="E37" t="s">
        <v>299</v>
      </c>
      <c r="F37" t="s">
        <v>300</v>
      </c>
      <c r="G37" t="s">
        <v>301</v>
      </c>
      <c r="H37" t="s">
        <v>302</v>
      </c>
      <c r="I37" t="s">
        <v>303</v>
      </c>
      <c r="J37" t="s">
        <v>53</v>
      </c>
      <c r="K37" t="s">
        <v>304</v>
      </c>
      <c r="L37" t="s">
        <v>43</v>
      </c>
      <c r="M37" s="2" t="s">
        <v>305</v>
      </c>
      <c r="N37" t="s">
        <v>31</v>
      </c>
      <c r="O37" t="s">
        <v>7879</v>
      </c>
      <c r="P37" t="s">
        <v>7940</v>
      </c>
      <c r="Q37" t="s">
        <v>63</v>
      </c>
      <c r="R37" t="s">
        <v>33</v>
      </c>
      <c r="S37" t="s">
        <v>34</v>
      </c>
      <c r="T37" s="1">
        <v>195000</v>
      </c>
      <c r="U37">
        <v>0</v>
      </c>
      <c r="V37">
        <v>0</v>
      </c>
      <c r="W37" t="s">
        <v>306</v>
      </c>
    </row>
    <row r="38" spans="1:23" x14ac:dyDescent="0.25">
      <c r="A38">
        <v>1785</v>
      </c>
      <c r="B38" t="s">
        <v>23</v>
      </c>
      <c r="D38">
        <v>39</v>
      </c>
      <c r="E38" t="s">
        <v>308</v>
      </c>
      <c r="F38" t="s">
        <v>309</v>
      </c>
      <c r="G38" t="s">
        <v>310</v>
      </c>
      <c r="H38" t="s">
        <v>248</v>
      </c>
      <c r="I38" t="s">
        <v>311</v>
      </c>
      <c r="J38" t="s">
        <v>53</v>
      </c>
      <c r="K38" t="s">
        <v>312</v>
      </c>
      <c r="L38" t="s">
        <v>43</v>
      </c>
      <c r="M38">
        <v>7030319335</v>
      </c>
      <c r="N38" t="s">
        <v>21</v>
      </c>
      <c r="O38" t="s">
        <v>7886</v>
      </c>
      <c r="P38" t="s">
        <v>7940</v>
      </c>
      <c r="Q38" t="s">
        <v>63</v>
      </c>
      <c r="R38" t="s">
        <v>33</v>
      </c>
      <c r="S38" t="s">
        <v>34</v>
      </c>
      <c r="T38" s="1">
        <v>812500</v>
      </c>
      <c r="U38">
        <v>0</v>
      </c>
      <c r="V38" s="1">
        <v>162500</v>
      </c>
      <c r="W38" t="s">
        <v>313</v>
      </c>
    </row>
    <row r="39" spans="1:23" x14ac:dyDescent="0.25">
      <c r="A39">
        <v>19228</v>
      </c>
      <c r="B39" t="s">
        <v>23</v>
      </c>
      <c r="D39">
        <v>40</v>
      </c>
      <c r="E39" t="s">
        <v>314</v>
      </c>
      <c r="F39" t="s">
        <v>315</v>
      </c>
      <c r="G39" t="s">
        <v>316</v>
      </c>
      <c r="H39" t="s">
        <v>317</v>
      </c>
      <c r="I39" t="s">
        <v>318</v>
      </c>
      <c r="J39" t="s">
        <v>53</v>
      </c>
      <c r="K39" t="s">
        <v>319</v>
      </c>
      <c r="L39" t="s">
        <v>43</v>
      </c>
      <c r="M39" s="2" t="s">
        <v>320</v>
      </c>
      <c r="N39" t="s">
        <v>31</v>
      </c>
      <c r="O39" t="s">
        <v>7881</v>
      </c>
      <c r="P39" t="s">
        <v>7893</v>
      </c>
      <c r="Q39" t="s">
        <v>87</v>
      </c>
      <c r="R39" t="s">
        <v>33</v>
      </c>
      <c r="S39" t="s">
        <v>34</v>
      </c>
      <c r="T39" s="1">
        <v>552500</v>
      </c>
      <c r="U39">
        <v>0</v>
      </c>
      <c r="V39">
        <v>0</v>
      </c>
      <c r="W39" t="s">
        <v>321</v>
      </c>
    </row>
    <row r="40" spans="1:23" x14ac:dyDescent="0.25">
      <c r="A40">
        <v>24030</v>
      </c>
      <c r="B40" t="s">
        <v>23</v>
      </c>
      <c r="D40">
        <v>41</v>
      </c>
      <c r="E40" t="s">
        <v>322</v>
      </c>
      <c r="F40" t="s">
        <v>323</v>
      </c>
      <c r="G40" t="s">
        <v>324</v>
      </c>
      <c r="H40" t="s">
        <v>325</v>
      </c>
      <c r="I40" t="s">
        <v>326</v>
      </c>
      <c r="J40" t="s">
        <v>28</v>
      </c>
      <c r="K40" t="s">
        <v>327</v>
      </c>
      <c r="L40" t="s">
        <v>30</v>
      </c>
      <c r="M40">
        <v>3187877</v>
      </c>
      <c r="N40" t="s">
        <v>31</v>
      </c>
      <c r="O40" t="s">
        <v>7879</v>
      </c>
      <c r="P40" t="s">
        <v>7940</v>
      </c>
      <c r="Q40" t="s">
        <v>32</v>
      </c>
      <c r="R40" t="s">
        <v>33</v>
      </c>
      <c r="S40" t="s">
        <v>34</v>
      </c>
      <c r="T40" s="1">
        <v>195000</v>
      </c>
      <c r="U40">
        <v>0</v>
      </c>
      <c r="V40">
        <v>0</v>
      </c>
      <c r="W40" t="s">
        <v>328</v>
      </c>
    </row>
    <row r="41" spans="1:23" x14ac:dyDescent="0.25">
      <c r="A41">
        <v>22577</v>
      </c>
      <c r="B41" t="s">
        <v>23</v>
      </c>
      <c r="D41">
        <v>42</v>
      </c>
      <c r="E41" t="s">
        <v>329</v>
      </c>
      <c r="F41" t="s">
        <v>330</v>
      </c>
      <c r="G41" t="s">
        <v>331</v>
      </c>
      <c r="H41" t="s">
        <v>332</v>
      </c>
      <c r="I41" t="s">
        <v>333</v>
      </c>
      <c r="J41" t="s">
        <v>28</v>
      </c>
      <c r="K41" t="s">
        <v>334</v>
      </c>
      <c r="L41" t="s">
        <v>43</v>
      </c>
      <c r="M41" s="2" t="s">
        <v>335</v>
      </c>
      <c r="N41" t="s">
        <v>45</v>
      </c>
      <c r="O41" t="s">
        <v>7879</v>
      </c>
      <c r="P41" t="s">
        <v>8028</v>
      </c>
      <c r="Q41" t="s">
        <v>46</v>
      </c>
      <c r="R41" t="s">
        <v>33</v>
      </c>
      <c r="S41" t="s">
        <v>34</v>
      </c>
      <c r="T41" s="1">
        <v>195000</v>
      </c>
      <c r="U41">
        <v>0</v>
      </c>
      <c r="V41">
        <v>0</v>
      </c>
      <c r="W41" t="s">
        <v>336</v>
      </c>
    </row>
    <row r="42" spans="1:23" x14ac:dyDescent="0.25">
      <c r="A42">
        <v>4163</v>
      </c>
      <c r="B42" t="s">
        <v>23</v>
      </c>
      <c r="D42">
        <v>43</v>
      </c>
      <c r="E42" t="s">
        <v>337</v>
      </c>
      <c r="F42" t="s">
        <v>338</v>
      </c>
      <c r="G42" t="s">
        <v>339</v>
      </c>
      <c r="H42" t="s">
        <v>340</v>
      </c>
      <c r="I42" t="s">
        <v>341</v>
      </c>
      <c r="J42" t="s">
        <v>53</v>
      </c>
      <c r="K42" t="s">
        <v>342</v>
      </c>
      <c r="L42" t="s">
        <v>43</v>
      </c>
      <c r="M42">
        <v>8038662941</v>
      </c>
      <c r="N42" t="s">
        <v>31</v>
      </c>
      <c r="O42" t="s">
        <v>7881</v>
      </c>
      <c r="P42" t="s">
        <v>7893</v>
      </c>
      <c r="Q42" t="s">
        <v>46</v>
      </c>
      <c r="R42" t="s">
        <v>33</v>
      </c>
      <c r="S42" t="s">
        <v>34</v>
      </c>
      <c r="T42" s="1">
        <v>552500</v>
      </c>
      <c r="U42">
        <v>0</v>
      </c>
      <c r="V42">
        <v>0</v>
      </c>
      <c r="W42" t="s">
        <v>343</v>
      </c>
    </row>
    <row r="43" spans="1:23" x14ac:dyDescent="0.25">
      <c r="A43">
        <v>24105</v>
      </c>
      <c r="B43" t="s">
        <v>23</v>
      </c>
      <c r="D43">
        <v>44</v>
      </c>
      <c r="E43" t="s">
        <v>344</v>
      </c>
      <c r="F43" t="s">
        <v>345</v>
      </c>
      <c r="G43" t="s">
        <v>346</v>
      </c>
      <c r="H43" t="s">
        <v>347</v>
      </c>
      <c r="I43" t="s">
        <v>348</v>
      </c>
      <c r="J43" t="s">
        <v>28</v>
      </c>
      <c r="K43" t="s">
        <v>349</v>
      </c>
      <c r="L43" t="s">
        <v>43</v>
      </c>
      <c r="M43" s="2" t="s">
        <v>350</v>
      </c>
      <c r="N43" t="s">
        <v>31</v>
      </c>
      <c r="O43" t="s">
        <v>7879</v>
      </c>
      <c r="P43" t="s">
        <v>7981</v>
      </c>
      <c r="Q43" t="s">
        <v>46</v>
      </c>
      <c r="R43" t="s">
        <v>33</v>
      </c>
      <c r="S43" t="s">
        <v>34</v>
      </c>
      <c r="T43" s="1">
        <v>195000</v>
      </c>
      <c r="U43">
        <v>0</v>
      </c>
      <c r="V43">
        <v>0</v>
      </c>
      <c r="W43" t="s">
        <v>351</v>
      </c>
    </row>
    <row r="44" spans="1:23" x14ac:dyDescent="0.25">
      <c r="A44">
        <v>24078</v>
      </c>
      <c r="B44" t="s">
        <v>23</v>
      </c>
      <c r="D44">
        <v>45</v>
      </c>
      <c r="E44" t="s">
        <v>352</v>
      </c>
      <c r="F44" t="s">
        <v>353</v>
      </c>
      <c r="G44" t="s">
        <v>354</v>
      </c>
      <c r="H44" t="s">
        <v>355</v>
      </c>
      <c r="I44" t="s">
        <v>356</v>
      </c>
      <c r="J44" t="s">
        <v>53</v>
      </c>
      <c r="K44" t="s">
        <v>356</v>
      </c>
      <c r="L44" t="s">
        <v>43</v>
      </c>
      <c r="M44" s="2" t="s">
        <v>357</v>
      </c>
      <c r="N44" t="s">
        <v>31</v>
      </c>
      <c r="O44" t="s">
        <v>7879</v>
      </c>
      <c r="P44" t="s">
        <v>7940</v>
      </c>
      <c r="Q44" t="s">
        <v>63</v>
      </c>
      <c r="R44" t="s">
        <v>33</v>
      </c>
      <c r="S44" t="s">
        <v>34</v>
      </c>
      <c r="T44" s="1">
        <v>195000</v>
      </c>
      <c r="U44">
        <v>0</v>
      </c>
      <c r="V44">
        <v>0</v>
      </c>
      <c r="W44" t="s">
        <v>358</v>
      </c>
    </row>
    <row r="45" spans="1:23" x14ac:dyDescent="0.25">
      <c r="A45">
        <v>24098</v>
      </c>
      <c r="B45" t="s">
        <v>23</v>
      </c>
      <c r="D45">
        <v>46</v>
      </c>
      <c r="E45" t="s">
        <v>359</v>
      </c>
      <c r="F45" t="s">
        <v>360</v>
      </c>
      <c r="G45" t="s">
        <v>361</v>
      </c>
      <c r="H45" t="s">
        <v>362</v>
      </c>
      <c r="I45" t="s">
        <v>363</v>
      </c>
      <c r="J45" t="s">
        <v>53</v>
      </c>
      <c r="K45" t="s">
        <v>364</v>
      </c>
      <c r="L45" t="s">
        <v>43</v>
      </c>
      <c r="M45" s="2" t="s">
        <v>365</v>
      </c>
      <c r="N45" t="s">
        <v>31</v>
      </c>
      <c r="O45" t="s">
        <v>7879</v>
      </c>
      <c r="P45" t="s">
        <v>7940</v>
      </c>
      <c r="Q45" t="s">
        <v>46</v>
      </c>
      <c r="R45" t="s">
        <v>33</v>
      </c>
      <c r="S45" t="s">
        <v>34</v>
      </c>
      <c r="T45" s="1">
        <v>195000</v>
      </c>
      <c r="U45">
        <v>0</v>
      </c>
      <c r="V45">
        <v>0</v>
      </c>
      <c r="W45" t="s">
        <v>366</v>
      </c>
    </row>
    <row r="46" spans="1:23" x14ac:dyDescent="0.25">
      <c r="A46">
        <v>24080</v>
      </c>
      <c r="B46" t="s">
        <v>23</v>
      </c>
      <c r="D46">
        <v>47</v>
      </c>
      <c r="E46" t="s">
        <v>367</v>
      </c>
      <c r="F46" t="s">
        <v>368</v>
      </c>
      <c r="G46" t="s">
        <v>91</v>
      </c>
      <c r="H46" t="s">
        <v>369</v>
      </c>
      <c r="I46" t="s">
        <v>370</v>
      </c>
      <c r="J46" t="s">
        <v>28</v>
      </c>
      <c r="K46" t="s">
        <v>371</v>
      </c>
      <c r="L46" t="s">
        <v>43</v>
      </c>
      <c r="M46">
        <v>2349036808868</v>
      </c>
      <c r="N46" t="s">
        <v>31</v>
      </c>
      <c r="O46" t="s">
        <v>7879</v>
      </c>
      <c r="P46" t="s">
        <v>7893</v>
      </c>
      <c r="Q46" t="s">
        <v>46</v>
      </c>
      <c r="R46" t="s">
        <v>33</v>
      </c>
      <c r="S46" t="s">
        <v>34</v>
      </c>
      <c r="T46" s="1">
        <v>195000</v>
      </c>
      <c r="U46">
        <v>0</v>
      </c>
      <c r="V46">
        <v>0</v>
      </c>
      <c r="W46" t="s">
        <v>372</v>
      </c>
    </row>
    <row r="47" spans="1:23" x14ac:dyDescent="0.25">
      <c r="A47">
        <v>23906</v>
      </c>
      <c r="B47" t="s">
        <v>23</v>
      </c>
      <c r="D47">
        <v>48</v>
      </c>
      <c r="E47" t="s">
        <v>373</v>
      </c>
      <c r="F47" t="s">
        <v>374</v>
      </c>
      <c r="G47" t="s">
        <v>375</v>
      </c>
      <c r="H47" t="s">
        <v>376</v>
      </c>
      <c r="I47" t="s">
        <v>377</v>
      </c>
      <c r="J47" t="s">
        <v>28</v>
      </c>
      <c r="K47" t="s">
        <v>378</v>
      </c>
      <c r="L47" t="s">
        <v>43</v>
      </c>
      <c r="M47" s="2" t="s">
        <v>379</v>
      </c>
      <c r="N47" t="s">
        <v>31</v>
      </c>
      <c r="O47" t="s">
        <v>7879</v>
      </c>
      <c r="P47" t="s">
        <v>7940</v>
      </c>
      <c r="Q47" t="s">
        <v>87</v>
      </c>
      <c r="R47" t="s">
        <v>33</v>
      </c>
      <c r="S47" t="s">
        <v>34</v>
      </c>
      <c r="T47" s="1">
        <v>195000</v>
      </c>
      <c r="U47">
        <v>0</v>
      </c>
      <c r="V47">
        <v>0</v>
      </c>
      <c r="W47" t="s">
        <v>380</v>
      </c>
    </row>
    <row r="48" spans="1:23" x14ac:dyDescent="0.25">
      <c r="A48">
        <v>24119</v>
      </c>
      <c r="B48" t="s">
        <v>23</v>
      </c>
      <c r="D48">
        <v>49</v>
      </c>
      <c r="E48" t="s">
        <v>381</v>
      </c>
      <c r="F48" t="s">
        <v>382</v>
      </c>
      <c r="G48" t="s">
        <v>383</v>
      </c>
      <c r="H48" t="s">
        <v>384</v>
      </c>
      <c r="I48" t="s">
        <v>385</v>
      </c>
      <c r="J48" t="s">
        <v>53</v>
      </c>
      <c r="K48" t="s">
        <v>386</v>
      </c>
      <c r="L48" t="s">
        <v>43</v>
      </c>
      <c r="M48">
        <v>2347068017522</v>
      </c>
      <c r="N48" t="s">
        <v>31</v>
      </c>
      <c r="O48" t="s">
        <v>7879</v>
      </c>
      <c r="P48" t="s">
        <v>7888</v>
      </c>
      <c r="Q48" t="s">
        <v>46</v>
      </c>
      <c r="R48" t="s">
        <v>33</v>
      </c>
      <c r="S48" t="s">
        <v>34</v>
      </c>
      <c r="T48" s="1">
        <v>195000</v>
      </c>
      <c r="U48">
        <v>0</v>
      </c>
      <c r="V48">
        <v>0</v>
      </c>
      <c r="W48" t="s">
        <v>387</v>
      </c>
    </row>
    <row r="49" spans="1:23" x14ac:dyDescent="0.25">
      <c r="A49">
        <v>24123</v>
      </c>
      <c r="B49" t="s">
        <v>23</v>
      </c>
      <c r="D49">
        <v>50</v>
      </c>
      <c r="E49" t="s">
        <v>388</v>
      </c>
      <c r="F49" t="s">
        <v>389</v>
      </c>
      <c r="G49" t="s">
        <v>390</v>
      </c>
      <c r="H49" t="s">
        <v>391</v>
      </c>
      <c r="I49" t="s">
        <v>392</v>
      </c>
      <c r="J49" t="s">
        <v>28</v>
      </c>
      <c r="K49" t="s">
        <v>393</v>
      </c>
      <c r="L49" t="s">
        <v>43</v>
      </c>
      <c r="M49" s="2" t="s">
        <v>394</v>
      </c>
      <c r="N49" t="s">
        <v>31</v>
      </c>
      <c r="O49" t="s">
        <v>7879</v>
      </c>
      <c r="P49" t="s">
        <v>7981</v>
      </c>
      <c r="Q49" t="s">
        <v>87</v>
      </c>
      <c r="R49" t="s">
        <v>33</v>
      </c>
      <c r="S49" t="s">
        <v>34</v>
      </c>
      <c r="T49" s="1">
        <v>195000</v>
      </c>
      <c r="U49">
        <v>0</v>
      </c>
      <c r="V49">
        <v>0</v>
      </c>
      <c r="W49" t="s">
        <v>395</v>
      </c>
    </row>
    <row r="50" spans="1:23" x14ac:dyDescent="0.25">
      <c r="A50">
        <v>24102</v>
      </c>
      <c r="B50" t="s">
        <v>23</v>
      </c>
      <c r="D50">
        <v>51</v>
      </c>
      <c r="E50" t="s">
        <v>396</v>
      </c>
      <c r="F50" t="s">
        <v>397</v>
      </c>
      <c r="G50" t="s">
        <v>398</v>
      </c>
      <c r="H50" t="s">
        <v>399</v>
      </c>
      <c r="I50" t="s">
        <v>400</v>
      </c>
      <c r="J50" t="s">
        <v>28</v>
      </c>
      <c r="K50" t="s">
        <v>401</v>
      </c>
      <c r="L50" t="s">
        <v>43</v>
      </c>
      <c r="M50" s="2" t="s">
        <v>402</v>
      </c>
      <c r="N50" t="s">
        <v>31</v>
      </c>
      <c r="O50" t="s">
        <v>7879</v>
      </c>
      <c r="P50" t="s">
        <v>7940</v>
      </c>
      <c r="Q50" t="s">
        <v>63</v>
      </c>
      <c r="R50" t="s">
        <v>33</v>
      </c>
      <c r="S50" t="s">
        <v>34</v>
      </c>
      <c r="T50" s="1">
        <v>195000</v>
      </c>
      <c r="U50">
        <v>0</v>
      </c>
      <c r="V50">
        <v>0</v>
      </c>
      <c r="W50" t="s">
        <v>403</v>
      </c>
    </row>
    <row r="51" spans="1:23" x14ac:dyDescent="0.25">
      <c r="A51">
        <v>24121</v>
      </c>
      <c r="B51" t="s">
        <v>23</v>
      </c>
      <c r="D51">
        <v>52</v>
      </c>
      <c r="E51" t="s">
        <v>404</v>
      </c>
      <c r="F51" t="s">
        <v>405</v>
      </c>
      <c r="G51" t="s">
        <v>406</v>
      </c>
      <c r="I51" t="s">
        <v>407</v>
      </c>
      <c r="J51" t="s">
        <v>53</v>
      </c>
      <c r="K51" t="s">
        <v>408</v>
      </c>
      <c r="L51" t="s">
        <v>43</v>
      </c>
      <c r="M51" s="2" t="s">
        <v>409</v>
      </c>
      <c r="N51" t="s">
        <v>31</v>
      </c>
      <c r="O51" t="s">
        <v>7879</v>
      </c>
      <c r="P51" t="s">
        <v>7940</v>
      </c>
      <c r="Q51" t="s">
        <v>63</v>
      </c>
      <c r="R51" t="s">
        <v>33</v>
      </c>
      <c r="S51" t="s">
        <v>34</v>
      </c>
      <c r="T51" s="1">
        <v>195000</v>
      </c>
      <c r="U51">
        <v>0</v>
      </c>
      <c r="V51">
        <v>0</v>
      </c>
      <c r="W51" t="s">
        <v>410</v>
      </c>
    </row>
    <row r="52" spans="1:23" x14ac:dyDescent="0.25">
      <c r="A52">
        <v>5174</v>
      </c>
      <c r="B52" t="s">
        <v>23</v>
      </c>
      <c r="D52">
        <v>53</v>
      </c>
      <c r="E52" t="s">
        <v>411</v>
      </c>
      <c r="F52" t="s">
        <v>412</v>
      </c>
      <c r="G52" t="s">
        <v>83</v>
      </c>
      <c r="H52" t="s">
        <v>196</v>
      </c>
      <c r="I52" t="s">
        <v>413</v>
      </c>
      <c r="J52" t="s">
        <v>28</v>
      </c>
      <c r="K52" t="s">
        <v>414</v>
      </c>
      <c r="L52" t="s">
        <v>43</v>
      </c>
      <c r="M52">
        <v>8156028527</v>
      </c>
      <c r="N52" t="s">
        <v>45</v>
      </c>
      <c r="O52" t="s">
        <v>7881</v>
      </c>
      <c r="P52" t="s">
        <v>7893</v>
      </c>
      <c r="Q52" t="s">
        <v>63</v>
      </c>
      <c r="R52" t="s">
        <v>33</v>
      </c>
      <c r="S52" t="s">
        <v>34</v>
      </c>
      <c r="T52" s="1">
        <v>552500</v>
      </c>
      <c r="U52">
        <v>0</v>
      </c>
      <c r="V52">
        <v>0</v>
      </c>
      <c r="W52" t="s">
        <v>415</v>
      </c>
    </row>
    <row r="53" spans="1:23" x14ac:dyDescent="0.25">
      <c r="A53">
        <v>19459</v>
      </c>
      <c r="B53" t="s">
        <v>23</v>
      </c>
      <c r="D53">
        <v>54</v>
      </c>
      <c r="E53" t="s">
        <v>416</v>
      </c>
      <c r="F53" t="s">
        <v>417</v>
      </c>
      <c r="G53" t="s">
        <v>418</v>
      </c>
      <c r="H53" t="s">
        <v>419</v>
      </c>
      <c r="I53" t="s">
        <v>420</v>
      </c>
      <c r="J53" t="s">
        <v>28</v>
      </c>
      <c r="K53" t="s">
        <v>421</v>
      </c>
      <c r="L53" t="s">
        <v>43</v>
      </c>
      <c r="M53" s="2" t="s">
        <v>422</v>
      </c>
      <c r="N53" t="s">
        <v>31</v>
      </c>
      <c r="O53" t="s">
        <v>7879</v>
      </c>
      <c r="P53" t="s">
        <v>7940</v>
      </c>
      <c r="Q53" t="s">
        <v>63</v>
      </c>
      <c r="R53" t="s">
        <v>33</v>
      </c>
      <c r="S53" t="s">
        <v>34</v>
      </c>
      <c r="T53" s="1">
        <v>195000</v>
      </c>
      <c r="U53">
        <v>0</v>
      </c>
      <c r="V53">
        <v>0</v>
      </c>
      <c r="W53" t="s">
        <v>423</v>
      </c>
    </row>
    <row r="54" spans="1:23" x14ac:dyDescent="0.25">
      <c r="A54">
        <v>1878</v>
      </c>
      <c r="B54" t="s">
        <v>23</v>
      </c>
      <c r="D54">
        <v>55</v>
      </c>
      <c r="E54" t="s">
        <v>424</v>
      </c>
      <c r="F54" t="s">
        <v>425</v>
      </c>
      <c r="G54" t="s">
        <v>426</v>
      </c>
      <c r="H54" t="s">
        <v>427</v>
      </c>
      <c r="I54" t="s">
        <v>428</v>
      </c>
      <c r="J54" t="s">
        <v>53</v>
      </c>
      <c r="K54" t="s">
        <v>429</v>
      </c>
      <c r="L54" t="s">
        <v>43</v>
      </c>
      <c r="M54" s="2" t="s">
        <v>430</v>
      </c>
      <c r="N54" t="s">
        <v>45</v>
      </c>
      <c r="O54" t="s">
        <v>7886</v>
      </c>
      <c r="P54" t="s">
        <v>7898</v>
      </c>
      <c r="Q54" t="s">
        <v>46</v>
      </c>
      <c r="R54" t="s">
        <v>33</v>
      </c>
      <c r="S54" t="s">
        <v>34</v>
      </c>
      <c r="T54" s="1">
        <v>812500</v>
      </c>
      <c r="U54">
        <v>0</v>
      </c>
      <c r="V54" s="1">
        <v>162500</v>
      </c>
      <c r="W54" t="s">
        <v>431</v>
      </c>
    </row>
    <row r="55" spans="1:23" x14ac:dyDescent="0.25">
      <c r="A55">
        <v>7556</v>
      </c>
      <c r="B55" t="s">
        <v>23</v>
      </c>
      <c r="D55">
        <v>56</v>
      </c>
      <c r="E55" t="s">
        <v>432</v>
      </c>
      <c r="F55" t="s">
        <v>433</v>
      </c>
      <c r="G55" t="s">
        <v>434</v>
      </c>
      <c r="H55" t="s">
        <v>435</v>
      </c>
      <c r="I55" t="s">
        <v>436</v>
      </c>
      <c r="J55" t="s">
        <v>28</v>
      </c>
      <c r="K55" t="s">
        <v>437</v>
      </c>
      <c r="L55" t="s">
        <v>43</v>
      </c>
      <c r="M55">
        <v>8034057470</v>
      </c>
      <c r="N55" t="s">
        <v>31</v>
      </c>
      <c r="O55" t="s">
        <v>7886</v>
      </c>
      <c r="P55" t="s">
        <v>7981</v>
      </c>
      <c r="Q55" t="s">
        <v>46</v>
      </c>
      <c r="R55" t="s">
        <v>33</v>
      </c>
      <c r="S55" t="s">
        <v>34</v>
      </c>
      <c r="T55" s="1">
        <v>812500</v>
      </c>
      <c r="U55">
        <v>0</v>
      </c>
      <c r="V55" s="1">
        <v>162500</v>
      </c>
      <c r="W55" t="s">
        <v>438</v>
      </c>
    </row>
    <row r="56" spans="1:23" x14ac:dyDescent="0.25">
      <c r="A56">
        <v>24114</v>
      </c>
      <c r="B56" t="s">
        <v>23</v>
      </c>
      <c r="D56">
        <v>57</v>
      </c>
      <c r="E56" t="s">
        <v>439</v>
      </c>
      <c r="F56" t="s">
        <v>440</v>
      </c>
      <c r="G56" t="s">
        <v>441</v>
      </c>
      <c r="H56" t="s">
        <v>442</v>
      </c>
      <c r="I56" t="s">
        <v>443</v>
      </c>
      <c r="J56" t="s">
        <v>28</v>
      </c>
      <c r="K56" t="s">
        <v>444</v>
      </c>
      <c r="L56" t="s">
        <v>43</v>
      </c>
      <c r="M56" s="2" t="s">
        <v>445</v>
      </c>
      <c r="N56" t="s">
        <v>31</v>
      </c>
      <c r="O56" t="s">
        <v>7879</v>
      </c>
      <c r="P56" t="s">
        <v>7981</v>
      </c>
      <c r="Q56" t="s">
        <v>63</v>
      </c>
      <c r="R56" t="s">
        <v>33</v>
      </c>
      <c r="S56" t="s">
        <v>34</v>
      </c>
      <c r="T56" s="1">
        <v>195000</v>
      </c>
      <c r="U56">
        <v>0</v>
      </c>
      <c r="V56">
        <v>0</v>
      </c>
      <c r="W56" t="s">
        <v>446</v>
      </c>
    </row>
    <row r="57" spans="1:23" x14ac:dyDescent="0.25">
      <c r="A57">
        <v>24117</v>
      </c>
      <c r="B57" t="s">
        <v>23</v>
      </c>
      <c r="D57">
        <v>58</v>
      </c>
      <c r="E57" t="s">
        <v>447</v>
      </c>
      <c r="F57" t="s">
        <v>448</v>
      </c>
      <c r="G57" t="s">
        <v>449</v>
      </c>
      <c r="H57" t="s">
        <v>450</v>
      </c>
      <c r="I57" t="s">
        <v>451</v>
      </c>
      <c r="J57" t="s">
        <v>53</v>
      </c>
      <c r="K57" t="s">
        <v>452</v>
      </c>
      <c r="L57" t="s">
        <v>453</v>
      </c>
      <c r="M57" s="2" t="s">
        <v>454</v>
      </c>
      <c r="N57" t="s">
        <v>31</v>
      </c>
      <c r="O57" t="s">
        <v>7879</v>
      </c>
      <c r="P57" t="s">
        <v>7940</v>
      </c>
      <c r="Q57" t="s">
        <v>455</v>
      </c>
      <c r="R57" t="s">
        <v>130</v>
      </c>
      <c r="S57" t="s">
        <v>131</v>
      </c>
      <c r="T57">
        <v>150</v>
      </c>
      <c r="U57">
        <v>0</v>
      </c>
      <c r="V57">
        <v>0</v>
      </c>
      <c r="W57" t="s">
        <v>456</v>
      </c>
    </row>
    <row r="58" spans="1:23" x14ac:dyDescent="0.25">
      <c r="A58">
        <v>3930</v>
      </c>
      <c r="B58" t="s">
        <v>23</v>
      </c>
      <c r="D58">
        <v>59</v>
      </c>
      <c r="E58" t="s">
        <v>457</v>
      </c>
      <c r="F58" t="s">
        <v>209</v>
      </c>
      <c r="G58" t="s">
        <v>458</v>
      </c>
      <c r="H58" t="s">
        <v>459</v>
      </c>
      <c r="I58" t="s">
        <v>460</v>
      </c>
      <c r="J58" t="s">
        <v>53</v>
      </c>
      <c r="K58" t="s">
        <v>461</v>
      </c>
      <c r="L58" t="s">
        <v>43</v>
      </c>
      <c r="M58">
        <v>7036646178</v>
      </c>
      <c r="N58" t="s">
        <v>71</v>
      </c>
      <c r="O58" t="s">
        <v>7886</v>
      </c>
      <c r="P58" t="s">
        <v>7894</v>
      </c>
      <c r="Q58" t="s">
        <v>63</v>
      </c>
      <c r="R58" t="s">
        <v>33</v>
      </c>
      <c r="S58" t="s">
        <v>34</v>
      </c>
      <c r="T58" s="1">
        <v>812500</v>
      </c>
      <c r="U58">
        <v>0</v>
      </c>
      <c r="V58">
        <v>0</v>
      </c>
      <c r="W58" t="s">
        <v>462</v>
      </c>
    </row>
    <row r="59" spans="1:23" x14ac:dyDescent="0.25">
      <c r="A59">
        <v>6463</v>
      </c>
      <c r="B59" t="s">
        <v>23</v>
      </c>
      <c r="D59">
        <v>60</v>
      </c>
      <c r="E59" t="s">
        <v>463</v>
      </c>
      <c r="F59" t="s">
        <v>464</v>
      </c>
      <c r="G59" t="s">
        <v>465</v>
      </c>
      <c r="H59" t="s">
        <v>466</v>
      </c>
      <c r="I59" t="s">
        <v>467</v>
      </c>
      <c r="J59" t="s">
        <v>53</v>
      </c>
      <c r="K59" t="s">
        <v>468</v>
      </c>
      <c r="L59" t="s">
        <v>43</v>
      </c>
      <c r="M59">
        <v>8038015322</v>
      </c>
      <c r="N59" t="s">
        <v>45</v>
      </c>
      <c r="O59" t="s">
        <v>7879</v>
      </c>
      <c r="P59" t="s">
        <v>7888</v>
      </c>
      <c r="Q59" t="s">
        <v>46</v>
      </c>
      <c r="R59" t="s">
        <v>33</v>
      </c>
      <c r="S59" t="s">
        <v>34</v>
      </c>
      <c r="T59" s="1">
        <v>195000</v>
      </c>
      <c r="U59">
        <v>0</v>
      </c>
      <c r="V59">
        <v>0</v>
      </c>
      <c r="W59" t="s">
        <v>469</v>
      </c>
    </row>
    <row r="60" spans="1:23" x14ac:dyDescent="0.25">
      <c r="A60">
        <v>24058</v>
      </c>
      <c r="B60" t="s">
        <v>23</v>
      </c>
      <c r="D60">
        <v>61</v>
      </c>
      <c r="E60" t="s">
        <v>470</v>
      </c>
      <c r="F60" t="s">
        <v>471</v>
      </c>
      <c r="G60" t="s">
        <v>472</v>
      </c>
      <c r="H60" t="s">
        <v>473</v>
      </c>
      <c r="I60" t="s">
        <v>474</v>
      </c>
      <c r="J60" t="s">
        <v>53</v>
      </c>
      <c r="K60" t="s">
        <v>474</v>
      </c>
      <c r="L60" t="s">
        <v>453</v>
      </c>
      <c r="M60">
        <v>233540902071</v>
      </c>
      <c r="N60" t="s">
        <v>31</v>
      </c>
      <c r="O60" t="s">
        <v>7879</v>
      </c>
      <c r="P60" t="s">
        <v>7893</v>
      </c>
      <c r="Q60" t="s">
        <v>455</v>
      </c>
      <c r="R60" t="s">
        <v>130</v>
      </c>
      <c r="S60" t="s">
        <v>131</v>
      </c>
      <c r="T60">
        <v>150</v>
      </c>
      <c r="U60">
        <v>0</v>
      </c>
      <c r="V60">
        <v>0</v>
      </c>
      <c r="W60" t="s">
        <v>475</v>
      </c>
    </row>
    <row r="61" spans="1:23" x14ac:dyDescent="0.25">
      <c r="A61">
        <v>10685</v>
      </c>
      <c r="B61" t="s">
        <v>23</v>
      </c>
      <c r="D61">
        <v>62</v>
      </c>
      <c r="E61" t="s">
        <v>476</v>
      </c>
      <c r="F61" t="s">
        <v>477</v>
      </c>
      <c r="G61" t="s">
        <v>478</v>
      </c>
      <c r="H61" t="s">
        <v>479</v>
      </c>
      <c r="I61" t="s">
        <v>7984</v>
      </c>
      <c r="J61" t="s">
        <v>28</v>
      </c>
      <c r="K61" t="s">
        <v>480</v>
      </c>
      <c r="L61" t="s">
        <v>453</v>
      </c>
      <c r="M61" s="2" t="s">
        <v>481</v>
      </c>
      <c r="N61" t="s">
        <v>45</v>
      </c>
      <c r="O61" t="s">
        <v>7881</v>
      </c>
      <c r="P61" t="s">
        <v>7981</v>
      </c>
      <c r="Q61" t="s">
        <v>455</v>
      </c>
      <c r="R61" t="s">
        <v>130</v>
      </c>
      <c r="S61" t="s">
        <v>131</v>
      </c>
      <c r="T61">
        <v>425</v>
      </c>
      <c r="U61">
        <v>0</v>
      </c>
      <c r="V61">
        <v>0</v>
      </c>
      <c r="W61" t="s">
        <v>482</v>
      </c>
    </row>
    <row r="62" spans="1:23" x14ac:dyDescent="0.25">
      <c r="A62">
        <v>23980</v>
      </c>
      <c r="B62" t="s">
        <v>23</v>
      </c>
      <c r="D62">
        <v>63</v>
      </c>
      <c r="E62" t="s">
        <v>483</v>
      </c>
      <c r="F62" t="s">
        <v>484</v>
      </c>
      <c r="G62" t="s">
        <v>485</v>
      </c>
      <c r="H62" t="s">
        <v>486</v>
      </c>
      <c r="I62" t="s">
        <v>487</v>
      </c>
      <c r="J62" t="s">
        <v>28</v>
      </c>
      <c r="K62" t="s">
        <v>488</v>
      </c>
      <c r="L62" t="s">
        <v>43</v>
      </c>
      <c r="M62" s="2" t="s">
        <v>489</v>
      </c>
      <c r="N62" t="s">
        <v>31</v>
      </c>
      <c r="O62" t="s">
        <v>7879</v>
      </c>
      <c r="P62" t="s">
        <v>8028</v>
      </c>
      <c r="Q62" t="s">
        <v>46</v>
      </c>
      <c r="R62" t="s">
        <v>33</v>
      </c>
      <c r="S62" t="s">
        <v>34</v>
      </c>
      <c r="T62" s="1">
        <v>195000</v>
      </c>
      <c r="U62">
        <v>0</v>
      </c>
      <c r="V62">
        <v>0</v>
      </c>
      <c r="W62" t="s">
        <v>490</v>
      </c>
    </row>
    <row r="63" spans="1:23" x14ac:dyDescent="0.25">
      <c r="A63">
        <v>24051</v>
      </c>
      <c r="B63" t="s">
        <v>23</v>
      </c>
      <c r="D63">
        <v>64</v>
      </c>
      <c r="E63" t="s">
        <v>491</v>
      </c>
      <c r="F63" t="s">
        <v>492</v>
      </c>
      <c r="G63" t="s">
        <v>493</v>
      </c>
      <c r="H63" t="s">
        <v>494</v>
      </c>
      <c r="I63" t="s">
        <v>495</v>
      </c>
      <c r="J63" t="s">
        <v>28</v>
      </c>
      <c r="K63" t="s">
        <v>496</v>
      </c>
      <c r="L63" t="s">
        <v>43</v>
      </c>
      <c r="M63" s="2" t="s">
        <v>497</v>
      </c>
      <c r="N63" t="s">
        <v>31</v>
      </c>
      <c r="O63" t="s">
        <v>7879</v>
      </c>
      <c r="P63" t="s">
        <v>7893</v>
      </c>
      <c r="Q63" t="s">
        <v>63</v>
      </c>
      <c r="R63" t="s">
        <v>33</v>
      </c>
      <c r="S63" t="s">
        <v>34</v>
      </c>
      <c r="T63" s="1">
        <v>195000</v>
      </c>
      <c r="U63">
        <v>0</v>
      </c>
      <c r="V63">
        <v>0</v>
      </c>
      <c r="W63" t="s">
        <v>498</v>
      </c>
    </row>
    <row r="64" spans="1:23" x14ac:dyDescent="0.25">
      <c r="A64">
        <v>22289</v>
      </c>
      <c r="B64" t="s">
        <v>23</v>
      </c>
      <c r="D64">
        <v>65</v>
      </c>
      <c r="E64" t="s">
        <v>499</v>
      </c>
      <c r="F64" t="s">
        <v>500</v>
      </c>
      <c r="G64" t="s">
        <v>264</v>
      </c>
      <c r="I64" t="s">
        <v>501</v>
      </c>
      <c r="J64" t="s">
        <v>53</v>
      </c>
      <c r="K64" t="s">
        <v>502</v>
      </c>
      <c r="L64" t="s">
        <v>453</v>
      </c>
      <c r="M64" s="2" t="s">
        <v>503</v>
      </c>
      <c r="N64" t="s">
        <v>31</v>
      </c>
      <c r="O64" t="s">
        <v>7879</v>
      </c>
      <c r="P64" t="s">
        <v>7940</v>
      </c>
      <c r="Q64" t="s">
        <v>455</v>
      </c>
      <c r="R64" t="s">
        <v>130</v>
      </c>
      <c r="S64" t="s">
        <v>131</v>
      </c>
      <c r="T64">
        <v>150</v>
      </c>
      <c r="U64">
        <v>0</v>
      </c>
      <c r="V64">
        <v>0</v>
      </c>
      <c r="W64" t="s">
        <v>504</v>
      </c>
    </row>
    <row r="65" spans="1:23" x14ac:dyDescent="0.25">
      <c r="A65">
        <v>23786</v>
      </c>
      <c r="B65" t="s">
        <v>23</v>
      </c>
      <c r="D65">
        <v>66</v>
      </c>
      <c r="E65" t="s">
        <v>505</v>
      </c>
      <c r="F65" t="s">
        <v>506</v>
      </c>
      <c r="G65" t="s">
        <v>507</v>
      </c>
      <c r="I65" t="s">
        <v>508</v>
      </c>
      <c r="J65" t="s">
        <v>28</v>
      </c>
      <c r="K65" t="s">
        <v>509</v>
      </c>
      <c r="L65" t="s">
        <v>43</v>
      </c>
      <c r="M65" s="2" t="s">
        <v>510</v>
      </c>
      <c r="N65" t="s">
        <v>31</v>
      </c>
      <c r="O65" t="s">
        <v>7879</v>
      </c>
      <c r="P65" t="s">
        <v>7940</v>
      </c>
      <c r="Q65" t="s">
        <v>46</v>
      </c>
      <c r="R65" t="s">
        <v>33</v>
      </c>
      <c r="S65" t="s">
        <v>34</v>
      </c>
      <c r="T65" s="1">
        <v>195000</v>
      </c>
      <c r="U65">
        <v>0</v>
      </c>
      <c r="V65">
        <v>0</v>
      </c>
      <c r="W65" t="s">
        <v>511</v>
      </c>
    </row>
    <row r="66" spans="1:23" x14ac:dyDescent="0.25">
      <c r="A66">
        <v>24154</v>
      </c>
      <c r="B66" t="s">
        <v>23</v>
      </c>
      <c r="D66">
        <v>67</v>
      </c>
      <c r="E66" t="s">
        <v>512</v>
      </c>
      <c r="F66" t="s">
        <v>513</v>
      </c>
      <c r="G66" t="s">
        <v>514</v>
      </c>
      <c r="H66" t="s">
        <v>515</v>
      </c>
      <c r="I66" t="s">
        <v>516</v>
      </c>
      <c r="J66" t="s">
        <v>28</v>
      </c>
      <c r="K66" t="s">
        <v>517</v>
      </c>
      <c r="L66" t="s">
        <v>43</v>
      </c>
      <c r="M66" s="2" t="s">
        <v>518</v>
      </c>
      <c r="N66" t="s">
        <v>31</v>
      </c>
      <c r="O66" t="s">
        <v>7879</v>
      </c>
      <c r="P66" t="s">
        <v>7888</v>
      </c>
      <c r="Q66" t="s">
        <v>87</v>
      </c>
      <c r="R66" t="s">
        <v>33</v>
      </c>
      <c r="S66" t="s">
        <v>34</v>
      </c>
      <c r="T66" s="1">
        <v>195000</v>
      </c>
      <c r="U66">
        <v>0</v>
      </c>
      <c r="V66">
        <v>0</v>
      </c>
      <c r="W66" t="s">
        <v>519</v>
      </c>
    </row>
    <row r="67" spans="1:23" x14ac:dyDescent="0.25">
      <c r="A67">
        <v>24152</v>
      </c>
      <c r="B67" t="s">
        <v>23</v>
      </c>
      <c r="D67">
        <v>68</v>
      </c>
      <c r="E67" t="s">
        <v>520</v>
      </c>
      <c r="F67" t="s">
        <v>521</v>
      </c>
      <c r="G67" t="s">
        <v>522</v>
      </c>
      <c r="I67" t="s">
        <v>523</v>
      </c>
      <c r="J67" t="s">
        <v>28</v>
      </c>
      <c r="K67" t="s">
        <v>524</v>
      </c>
      <c r="L67" t="s">
        <v>43</v>
      </c>
      <c r="M67">
        <v>2347070738644</v>
      </c>
      <c r="N67" t="s">
        <v>31</v>
      </c>
      <c r="O67" t="s">
        <v>7879</v>
      </c>
      <c r="P67" t="s">
        <v>7940</v>
      </c>
      <c r="Q67" t="s">
        <v>46</v>
      </c>
      <c r="R67" t="s">
        <v>33</v>
      </c>
      <c r="S67" t="s">
        <v>34</v>
      </c>
      <c r="T67" s="1">
        <v>195000</v>
      </c>
      <c r="U67">
        <v>0</v>
      </c>
      <c r="V67">
        <v>0</v>
      </c>
      <c r="W67" t="s">
        <v>525</v>
      </c>
    </row>
    <row r="68" spans="1:23" x14ac:dyDescent="0.25">
      <c r="A68">
        <v>24156</v>
      </c>
      <c r="B68" t="s">
        <v>23</v>
      </c>
      <c r="D68">
        <v>69</v>
      </c>
      <c r="E68" t="s">
        <v>526</v>
      </c>
      <c r="F68" t="s">
        <v>527</v>
      </c>
      <c r="G68" t="s">
        <v>528</v>
      </c>
      <c r="H68" t="s">
        <v>529</v>
      </c>
      <c r="I68" t="s">
        <v>530</v>
      </c>
      <c r="J68" t="s">
        <v>53</v>
      </c>
      <c r="K68" t="s">
        <v>531</v>
      </c>
      <c r="L68" t="s">
        <v>43</v>
      </c>
      <c r="M68" s="2" t="s">
        <v>532</v>
      </c>
      <c r="N68" t="s">
        <v>31</v>
      </c>
      <c r="O68" t="s">
        <v>7879</v>
      </c>
      <c r="P68" t="s">
        <v>7981</v>
      </c>
      <c r="Q68" t="s">
        <v>63</v>
      </c>
      <c r="R68" t="s">
        <v>33</v>
      </c>
      <c r="S68" t="s">
        <v>34</v>
      </c>
      <c r="T68" s="1">
        <v>195000</v>
      </c>
      <c r="U68">
        <v>0</v>
      </c>
      <c r="V68">
        <v>0</v>
      </c>
      <c r="W68" t="s">
        <v>533</v>
      </c>
    </row>
    <row r="69" spans="1:23" x14ac:dyDescent="0.25">
      <c r="A69">
        <v>6428</v>
      </c>
      <c r="B69" t="s">
        <v>23</v>
      </c>
      <c r="D69">
        <v>70</v>
      </c>
      <c r="E69" t="s">
        <v>534</v>
      </c>
      <c r="F69" t="s">
        <v>535</v>
      </c>
      <c r="G69" t="s">
        <v>536</v>
      </c>
      <c r="H69" t="s">
        <v>537</v>
      </c>
      <c r="I69" t="s">
        <v>538</v>
      </c>
      <c r="J69" t="s">
        <v>28</v>
      </c>
      <c r="K69" t="s">
        <v>539</v>
      </c>
      <c r="L69" t="s">
        <v>43</v>
      </c>
      <c r="M69" s="2" t="s">
        <v>540</v>
      </c>
      <c r="N69" t="s">
        <v>45</v>
      </c>
      <c r="O69" t="s">
        <v>7881</v>
      </c>
      <c r="P69" t="s">
        <v>7981</v>
      </c>
      <c r="Q69" t="s">
        <v>46</v>
      </c>
      <c r="R69" t="s">
        <v>33</v>
      </c>
      <c r="S69" t="s">
        <v>34</v>
      </c>
      <c r="T69" s="1">
        <v>552500</v>
      </c>
      <c r="U69">
        <v>0</v>
      </c>
      <c r="V69">
        <v>0</v>
      </c>
      <c r="W69" t="s">
        <v>541</v>
      </c>
    </row>
    <row r="70" spans="1:23" x14ac:dyDescent="0.25">
      <c r="A70">
        <v>20451</v>
      </c>
      <c r="B70" t="s">
        <v>23</v>
      </c>
      <c r="D70">
        <v>71</v>
      </c>
      <c r="E70" t="s">
        <v>542</v>
      </c>
      <c r="F70" t="s">
        <v>543</v>
      </c>
      <c r="G70" t="s">
        <v>544</v>
      </c>
      <c r="I70" t="s">
        <v>545</v>
      </c>
      <c r="J70" t="s">
        <v>28</v>
      </c>
      <c r="K70" t="s">
        <v>480</v>
      </c>
      <c r="L70" t="s">
        <v>453</v>
      </c>
      <c r="M70" s="2" t="s">
        <v>546</v>
      </c>
      <c r="N70" t="s">
        <v>45</v>
      </c>
      <c r="O70" t="s">
        <v>7881</v>
      </c>
      <c r="P70" t="s">
        <v>7893</v>
      </c>
      <c r="Q70" t="s">
        <v>455</v>
      </c>
      <c r="R70" t="s">
        <v>130</v>
      </c>
      <c r="S70" t="s">
        <v>131</v>
      </c>
      <c r="T70">
        <v>425</v>
      </c>
      <c r="U70">
        <v>0</v>
      </c>
      <c r="V70">
        <v>0</v>
      </c>
      <c r="W70" t="s">
        <v>547</v>
      </c>
    </row>
    <row r="71" spans="1:23" x14ac:dyDescent="0.25">
      <c r="A71">
        <v>23961</v>
      </c>
      <c r="B71" t="s">
        <v>23</v>
      </c>
      <c r="D71">
        <v>72</v>
      </c>
      <c r="E71" t="s">
        <v>548</v>
      </c>
      <c r="F71" t="s">
        <v>549</v>
      </c>
      <c r="G71" t="s">
        <v>550</v>
      </c>
      <c r="H71" t="s">
        <v>551</v>
      </c>
      <c r="I71" t="s">
        <v>552</v>
      </c>
      <c r="J71" t="s">
        <v>28</v>
      </c>
      <c r="K71" t="s">
        <v>553</v>
      </c>
      <c r="L71" t="s">
        <v>43</v>
      </c>
      <c r="M71">
        <v>2347089899395</v>
      </c>
      <c r="N71" t="s">
        <v>31</v>
      </c>
      <c r="O71" t="s">
        <v>7879</v>
      </c>
      <c r="P71" t="s">
        <v>7981</v>
      </c>
      <c r="Q71" t="s">
        <v>63</v>
      </c>
      <c r="R71" t="s">
        <v>33</v>
      </c>
      <c r="S71" t="s">
        <v>34</v>
      </c>
      <c r="T71" s="1">
        <v>195000</v>
      </c>
      <c r="U71">
        <v>0</v>
      </c>
      <c r="V71">
        <v>0</v>
      </c>
      <c r="W71" t="s">
        <v>554</v>
      </c>
    </row>
    <row r="72" spans="1:23" x14ac:dyDescent="0.25">
      <c r="A72">
        <v>21864</v>
      </c>
      <c r="B72" t="s">
        <v>23</v>
      </c>
      <c r="D72">
        <v>73</v>
      </c>
      <c r="E72" t="s">
        <v>555</v>
      </c>
      <c r="F72" t="s">
        <v>556</v>
      </c>
      <c r="G72" t="s">
        <v>557</v>
      </c>
      <c r="I72" t="s">
        <v>558</v>
      </c>
      <c r="J72" t="s">
        <v>28</v>
      </c>
      <c r="K72" t="s">
        <v>559</v>
      </c>
      <c r="L72" t="s">
        <v>453</v>
      </c>
      <c r="M72" s="2" t="s">
        <v>560</v>
      </c>
      <c r="N72" t="s">
        <v>31</v>
      </c>
      <c r="O72" t="s">
        <v>7879</v>
      </c>
      <c r="P72" t="s">
        <v>7888</v>
      </c>
      <c r="Q72" t="s">
        <v>455</v>
      </c>
      <c r="R72" t="s">
        <v>130</v>
      </c>
      <c r="S72" t="s">
        <v>131</v>
      </c>
      <c r="T72">
        <v>150</v>
      </c>
      <c r="U72">
        <v>0</v>
      </c>
      <c r="V72">
        <v>0</v>
      </c>
      <c r="W72" t="s">
        <v>561</v>
      </c>
    </row>
    <row r="73" spans="1:23" x14ac:dyDescent="0.25">
      <c r="A73">
        <v>23933</v>
      </c>
      <c r="B73" t="s">
        <v>23</v>
      </c>
      <c r="D73">
        <v>74</v>
      </c>
      <c r="E73" t="s">
        <v>562</v>
      </c>
      <c r="F73" t="s">
        <v>563</v>
      </c>
      <c r="G73" t="s">
        <v>264</v>
      </c>
      <c r="H73" t="s">
        <v>564</v>
      </c>
      <c r="I73" t="s">
        <v>565</v>
      </c>
      <c r="J73" t="s">
        <v>53</v>
      </c>
      <c r="K73" t="s">
        <v>566</v>
      </c>
      <c r="L73" t="s">
        <v>43</v>
      </c>
      <c r="M73" s="2" t="s">
        <v>567</v>
      </c>
      <c r="N73" t="s">
        <v>31</v>
      </c>
      <c r="O73" t="s">
        <v>7879</v>
      </c>
      <c r="P73" t="s">
        <v>8028</v>
      </c>
      <c r="Q73" t="s">
        <v>63</v>
      </c>
      <c r="R73" t="s">
        <v>33</v>
      </c>
      <c r="S73" t="s">
        <v>34</v>
      </c>
      <c r="T73" s="1">
        <v>195000</v>
      </c>
      <c r="U73">
        <v>0</v>
      </c>
      <c r="V73">
        <v>0</v>
      </c>
      <c r="W73" t="s">
        <v>568</v>
      </c>
    </row>
    <row r="74" spans="1:23" x14ac:dyDescent="0.25">
      <c r="A74">
        <v>23953</v>
      </c>
      <c r="B74" t="s">
        <v>23</v>
      </c>
      <c r="D74">
        <v>75</v>
      </c>
      <c r="E74" t="s">
        <v>569</v>
      </c>
      <c r="F74" t="s">
        <v>570</v>
      </c>
      <c r="G74" t="s">
        <v>571</v>
      </c>
      <c r="H74" t="s">
        <v>572</v>
      </c>
      <c r="I74" t="s">
        <v>573</v>
      </c>
      <c r="J74" t="s">
        <v>53</v>
      </c>
      <c r="K74" t="s">
        <v>574</v>
      </c>
      <c r="L74" t="s">
        <v>43</v>
      </c>
      <c r="M74" s="2" t="s">
        <v>575</v>
      </c>
      <c r="N74" t="s">
        <v>31</v>
      </c>
      <c r="O74" t="s">
        <v>7879</v>
      </c>
      <c r="P74" t="s">
        <v>7940</v>
      </c>
      <c r="Q74" t="s">
        <v>46</v>
      </c>
      <c r="R74" t="s">
        <v>33</v>
      </c>
      <c r="S74" t="s">
        <v>34</v>
      </c>
      <c r="T74" s="1">
        <v>195000</v>
      </c>
      <c r="U74">
        <v>0</v>
      </c>
      <c r="V74">
        <v>0</v>
      </c>
      <c r="W74" t="s">
        <v>576</v>
      </c>
    </row>
    <row r="75" spans="1:23" x14ac:dyDescent="0.25">
      <c r="A75">
        <v>8361</v>
      </c>
      <c r="B75" t="s">
        <v>23</v>
      </c>
      <c r="D75">
        <v>76</v>
      </c>
      <c r="E75" t="s">
        <v>577</v>
      </c>
      <c r="F75" t="s">
        <v>578</v>
      </c>
      <c r="G75" t="s">
        <v>579</v>
      </c>
      <c r="H75" t="s">
        <v>580</v>
      </c>
      <c r="I75" t="s">
        <v>581</v>
      </c>
      <c r="J75" t="s">
        <v>28</v>
      </c>
      <c r="K75" t="s">
        <v>582</v>
      </c>
      <c r="L75" t="s">
        <v>43</v>
      </c>
      <c r="M75">
        <v>8036728058</v>
      </c>
      <c r="N75" t="s">
        <v>21</v>
      </c>
      <c r="O75" t="s">
        <v>7886</v>
      </c>
      <c r="P75" t="s">
        <v>7940</v>
      </c>
      <c r="Q75" t="s">
        <v>46</v>
      </c>
      <c r="R75" t="s">
        <v>33</v>
      </c>
      <c r="S75" t="s">
        <v>34</v>
      </c>
      <c r="T75" s="1">
        <v>812500</v>
      </c>
      <c r="U75">
        <v>0</v>
      </c>
      <c r="V75" s="1">
        <v>162500</v>
      </c>
      <c r="W75" t="s">
        <v>583</v>
      </c>
    </row>
    <row r="76" spans="1:23" x14ac:dyDescent="0.25">
      <c r="A76">
        <v>23098</v>
      </c>
      <c r="B76" t="s">
        <v>23</v>
      </c>
      <c r="D76">
        <v>77</v>
      </c>
      <c r="E76" t="s">
        <v>584</v>
      </c>
      <c r="F76" t="s">
        <v>585</v>
      </c>
      <c r="G76" t="s">
        <v>586</v>
      </c>
      <c r="I76" t="s">
        <v>7880</v>
      </c>
      <c r="J76" t="s">
        <v>53</v>
      </c>
      <c r="K76" t="s">
        <v>587</v>
      </c>
      <c r="L76" t="s">
        <v>43</v>
      </c>
      <c r="M76" s="2" t="s">
        <v>588</v>
      </c>
      <c r="N76" t="s">
        <v>31</v>
      </c>
      <c r="O76" t="s">
        <v>7879</v>
      </c>
      <c r="P76" t="s">
        <v>7981</v>
      </c>
      <c r="Q76" t="s">
        <v>46</v>
      </c>
      <c r="R76" t="s">
        <v>33</v>
      </c>
      <c r="S76" t="s">
        <v>34</v>
      </c>
      <c r="T76" s="1">
        <v>195000</v>
      </c>
      <c r="U76">
        <v>0</v>
      </c>
      <c r="V76">
        <v>0</v>
      </c>
      <c r="W76" t="s">
        <v>589</v>
      </c>
    </row>
    <row r="77" spans="1:23" x14ac:dyDescent="0.25">
      <c r="A77">
        <v>22989</v>
      </c>
      <c r="B77" t="s">
        <v>23</v>
      </c>
      <c r="D77">
        <v>78</v>
      </c>
      <c r="E77" t="s">
        <v>590</v>
      </c>
      <c r="F77" t="s">
        <v>591</v>
      </c>
      <c r="G77" t="s">
        <v>592</v>
      </c>
      <c r="H77" t="s">
        <v>593</v>
      </c>
      <c r="I77" t="s">
        <v>594</v>
      </c>
      <c r="J77" t="s">
        <v>28</v>
      </c>
      <c r="K77" t="s">
        <v>93</v>
      </c>
      <c r="L77" t="s">
        <v>43</v>
      </c>
      <c r="M77" s="2" t="s">
        <v>595</v>
      </c>
      <c r="N77" t="s">
        <v>45</v>
      </c>
      <c r="O77" t="s">
        <v>7879</v>
      </c>
      <c r="P77" t="s">
        <v>7888</v>
      </c>
      <c r="Q77" t="s">
        <v>46</v>
      </c>
      <c r="R77" t="s">
        <v>33</v>
      </c>
      <c r="S77" t="s">
        <v>34</v>
      </c>
      <c r="T77" s="1">
        <v>195000</v>
      </c>
      <c r="U77">
        <v>0</v>
      </c>
      <c r="V77">
        <v>0</v>
      </c>
      <c r="W77" t="s">
        <v>596</v>
      </c>
    </row>
    <row r="78" spans="1:23" x14ac:dyDescent="0.25">
      <c r="A78">
        <v>23994</v>
      </c>
      <c r="B78" t="s">
        <v>23</v>
      </c>
      <c r="D78">
        <v>79</v>
      </c>
      <c r="E78" t="s">
        <v>597</v>
      </c>
      <c r="F78" t="s">
        <v>598</v>
      </c>
      <c r="G78" t="s">
        <v>599</v>
      </c>
      <c r="H78" t="s">
        <v>600</v>
      </c>
      <c r="I78" t="s">
        <v>601</v>
      </c>
      <c r="J78" t="s">
        <v>28</v>
      </c>
      <c r="K78" t="s">
        <v>602</v>
      </c>
      <c r="L78" t="s">
        <v>43</v>
      </c>
      <c r="M78" s="2" t="s">
        <v>603</v>
      </c>
      <c r="N78" t="s">
        <v>31</v>
      </c>
      <c r="O78" t="s">
        <v>7879</v>
      </c>
      <c r="P78" t="s">
        <v>7888</v>
      </c>
      <c r="Q78" t="s">
        <v>46</v>
      </c>
      <c r="R78" t="s">
        <v>33</v>
      </c>
      <c r="S78" t="s">
        <v>34</v>
      </c>
      <c r="T78" s="1">
        <v>195000</v>
      </c>
      <c r="U78">
        <v>0</v>
      </c>
      <c r="V78">
        <v>0</v>
      </c>
      <c r="W78" t="s">
        <v>604</v>
      </c>
    </row>
    <row r="79" spans="1:23" x14ac:dyDescent="0.25">
      <c r="A79">
        <v>22519</v>
      </c>
      <c r="B79" t="s">
        <v>23</v>
      </c>
      <c r="D79">
        <v>80</v>
      </c>
      <c r="E79" t="s">
        <v>605</v>
      </c>
      <c r="F79" t="s">
        <v>606</v>
      </c>
      <c r="G79" t="s">
        <v>607</v>
      </c>
      <c r="H79" t="s">
        <v>608</v>
      </c>
      <c r="I79" t="s">
        <v>609</v>
      </c>
      <c r="J79" t="s">
        <v>28</v>
      </c>
      <c r="K79" t="s">
        <v>610</v>
      </c>
      <c r="L79" t="s">
        <v>43</v>
      </c>
      <c r="M79" s="2" t="s">
        <v>611</v>
      </c>
      <c r="N79" t="s">
        <v>45</v>
      </c>
      <c r="O79" t="s">
        <v>7881</v>
      </c>
      <c r="P79" t="s">
        <v>7893</v>
      </c>
      <c r="Q79" t="s">
        <v>46</v>
      </c>
      <c r="R79" t="s">
        <v>33</v>
      </c>
      <c r="S79" t="s">
        <v>34</v>
      </c>
      <c r="T79" s="1">
        <v>552500</v>
      </c>
      <c r="U79">
        <v>0</v>
      </c>
      <c r="V79">
        <v>0</v>
      </c>
      <c r="W79" t="s">
        <v>612</v>
      </c>
    </row>
    <row r="80" spans="1:23" x14ac:dyDescent="0.25">
      <c r="A80">
        <v>24172</v>
      </c>
      <c r="B80" t="s">
        <v>23</v>
      </c>
      <c r="D80">
        <v>81</v>
      </c>
      <c r="E80" t="s">
        <v>613</v>
      </c>
      <c r="F80" t="s">
        <v>614</v>
      </c>
      <c r="G80" t="s">
        <v>615</v>
      </c>
      <c r="H80" t="s">
        <v>616</v>
      </c>
      <c r="I80" t="s">
        <v>617</v>
      </c>
      <c r="J80" t="s">
        <v>28</v>
      </c>
      <c r="K80" t="s">
        <v>618</v>
      </c>
      <c r="L80" t="s">
        <v>43</v>
      </c>
      <c r="M80" s="2" t="s">
        <v>619</v>
      </c>
      <c r="N80" t="s">
        <v>31</v>
      </c>
      <c r="O80" t="s">
        <v>7879</v>
      </c>
      <c r="P80" t="s">
        <v>7893</v>
      </c>
      <c r="Q80" t="s">
        <v>46</v>
      </c>
      <c r="R80" t="s">
        <v>33</v>
      </c>
      <c r="S80" t="s">
        <v>34</v>
      </c>
      <c r="T80" s="1">
        <v>195000</v>
      </c>
      <c r="U80">
        <v>0</v>
      </c>
      <c r="V80">
        <v>0</v>
      </c>
      <c r="W80" t="s">
        <v>620</v>
      </c>
    </row>
    <row r="81" spans="1:23" x14ac:dyDescent="0.25">
      <c r="A81">
        <v>24173</v>
      </c>
      <c r="B81" t="s">
        <v>23</v>
      </c>
      <c r="D81">
        <v>82</v>
      </c>
      <c r="E81" t="s">
        <v>621</v>
      </c>
      <c r="F81" t="s">
        <v>622</v>
      </c>
      <c r="G81" t="s">
        <v>623</v>
      </c>
      <c r="H81" t="s">
        <v>624</v>
      </c>
      <c r="I81" t="s">
        <v>625</v>
      </c>
      <c r="J81" t="s">
        <v>53</v>
      </c>
      <c r="K81" t="s">
        <v>626</v>
      </c>
      <c r="L81" t="s">
        <v>43</v>
      </c>
      <c r="M81" s="2" t="s">
        <v>627</v>
      </c>
      <c r="N81" t="s">
        <v>31</v>
      </c>
      <c r="O81" t="s">
        <v>7879</v>
      </c>
      <c r="P81" t="s">
        <v>7981</v>
      </c>
      <c r="Q81" t="s">
        <v>46</v>
      </c>
      <c r="R81" t="s">
        <v>33</v>
      </c>
      <c r="S81" t="s">
        <v>34</v>
      </c>
      <c r="T81" s="1">
        <v>195000</v>
      </c>
      <c r="U81">
        <v>0</v>
      </c>
      <c r="V81">
        <v>0</v>
      </c>
      <c r="W81" t="s">
        <v>628</v>
      </c>
    </row>
    <row r="82" spans="1:23" x14ac:dyDescent="0.25">
      <c r="A82">
        <v>24127</v>
      </c>
      <c r="B82" t="s">
        <v>23</v>
      </c>
      <c r="D82">
        <v>83</v>
      </c>
      <c r="E82" t="s">
        <v>629</v>
      </c>
      <c r="F82" t="s">
        <v>630</v>
      </c>
      <c r="G82" t="s">
        <v>135</v>
      </c>
      <c r="H82" t="s">
        <v>631</v>
      </c>
      <c r="I82" t="s">
        <v>632</v>
      </c>
      <c r="J82" t="s">
        <v>53</v>
      </c>
      <c r="K82" t="s">
        <v>633</v>
      </c>
      <c r="L82" t="s">
        <v>43</v>
      </c>
      <c r="M82">
        <v>2348032560279</v>
      </c>
      <c r="N82" t="s">
        <v>31</v>
      </c>
      <c r="O82" t="s">
        <v>7879</v>
      </c>
      <c r="P82" t="s">
        <v>8028</v>
      </c>
      <c r="Q82" t="s">
        <v>63</v>
      </c>
      <c r="R82" t="s">
        <v>33</v>
      </c>
      <c r="S82" t="s">
        <v>34</v>
      </c>
      <c r="T82" s="1">
        <v>195000</v>
      </c>
      <c r="U82">
        <v>0</v>
      </c>
      <c r="V82">
        <v>0</v>
      </c>
      <c r="W82" t="s">
        <v>634</v>
      </c>
    </row>
    <row r="83" spans="1:23" x14ac:dyDescent="0.25">
      <c r="A83">
        <v>24151</v>
      </c>
      <c r="B83" t="s">
        <v>23</v>
      </c>
      <c r="D83">
        <v>84</v>
      </c>
      <c r="E83" t="s">
        <v>635</v>
      </c>
      <c r="F83" t="s">
        <v>636</v>
      </c>
      <c r="G83" t="s">
        <v>637</v>
      </c>
      <c r="I83" t="s">
        <v>638</v>
      </c>
      <c r="J83" t="s">
        <v>53</v>
      </c>
      <c r="K83" t="s">
        <v>639</v>
      </c>
      <c r="L83" t="s">
        <v>43</v>
      </c>
      <c r="M83" s="2" t="s">
        <v>640</v>
      </c>
      <c r="N83" t="s">
        <v>45</v>
      </c>
      <c r="O83" t="s">
        <v>7879</v>
      </c>
      <c r="P83" t="s">
        <v>7893</v>
      </c>
      <c r="Q83" t="s">
        <v>46</v>
      </c>
      <c r="R83" t="s">
        <v>33</v>
      </c>
      <c r="S83" t="s">
        <v>34</v>
      </c>
      <c r="T83" s="1">
        <v>195000</v>
      </c>
      <c r="U83">
        <v>0</v>
      </c>
      <c r="V83">
        <v>0</v>
      </c>
      <c r="W83" t="s">
        <v>641</v>
      </c>
    </row>
    <row r="84" spans="1:23" x14ac:dyDescent="0.25">
      <c r="A84">
        <v>2907</v>
      </c>
      <c r="B84" t="s">
        <v>23</v>
      </c>
      <c r="D84">
        <v>85</v>
      </c>
      <c r="E84" t="s">
        <v>642</v>
      </c>
      <c r="F84" t="s">
        <v>643</v>
      </c>
      <c r="G84" t="s">
        <v>234</v>
      </c>
      <c r="H84" t="s">
        <v>644</v>
      </c>
      <c r="I84" t="s">
        <v>7899</v>
      </c>
      <c r="J84" t="s">
        <v>28</v>
      </c>
      <c r="K84" t="s">
        <v>645</v>
      </c>
      <c r="L84" t="s">
        <v>43</v>
      </c>
      <c r="M84">
        <v>2348167968389</v>
      </c>
      <c r="N84" t="s">
        <v>31</v>
      </c>
      <c r="O84" t="s">
        <v>7886</v>
      </c>
      <c r="P84" t="s">
        <v>7900</v>
      </c>
      <c r="Q84" t="s">
        <v>63</v>
      </c>
      <c r="R84" t="s">
        <v>33</v>
      </c>
      <c r="S84" t="s">
        <v>34</v>
      </c>
      <c r="T84" s="1">
        <v>812500</v>
      </c>
      <c r="U84">
        <v>0</v>
      </c>
      <c r="V84" s="1">
        <v>162500</v>
      </c>
      <c r="W84" t="s">
        <v>646</v>
      </c>
    </row>
    <row r="85" spans="1:23" x14ac:dyDescent="0.25">
      <c r="A85">
        <v>20793</v>
      </c>
      <c r="B85" t="s">
        <v>23</v>
      </c>
      <c r="D85">
        <v>86</v>
      </c>
      <c r="E85" t="s">
        <v>647</v>
      </c>
      <c r="F85" t="s">
        <v>648</v>
      </c>
      <c r="G85" t="s">
        <v>649</v>
      </c>
      <c r="H85" t="s">
        <v>650</v>
      </c>
      <c r="I85" t="s">
        <v>651</v>
      </c>
      <c r="J85" t="s">
        <v>53</v>
      </c>
      <c r="K85" t="s">
        <v>652</v>
      </c>
      <c r="L85" t="s">
        <v>43</v>
      </c>
      <c r="M85" s="2" t="s">
        <v>653</v>
      </c>
      <c r="N85" t="s">
        <v>45</v>
      </c>
      <c r="O85" t="s">
        <v>7881</v>
      </c>
      <c r="P85" t="s">
        <v>7893</v>
      </c>
      <c r="Q85" t="s">
        <v>46</v>
      </c>
      <c r="R85" t="s">
        <v>130</v>
      </c>
      <c r="S85" t="s">
        <v>131</v>
      </c>
      <c r="T85">
        <v>425</v>
      </c>
      <c r="U85">
        <v>0</v>
      </c>
      <c r="V85">
        <v>0</v>
      </c>
      <c r="W85" t="s">
        <v>654</v>
      </c>
    </row>
    <row r="86" spans="1:23" x14ac:dyDescent="0.25">
      <c r="A86">
        <v>24021</v>
      </c>
      <c r="B86" t="s">
        <v>23</v>
      </c>
      <c r="D86">
        <v>87</v>
      </c>
      <c r="E86" t="s">
        <v>655</v>
      </c>
      <c r="F86" t="s">
        <v>656</v>
      </c>
      <c r="G86" t="s">
        <v>657</v>
      </c>
      <c r="H86" t="s">
        <v>658</v>
      </c>
      <c r="I86" t="s">
        <v>659</v>
      </c>
      <c r="J86" t="s">
        <v>28</v>
      </c>
      <c r="K86" t="s">
        <v>660</v>
      </c>
      <c r="L86" t="s">
        <v>43</v>
      </c>
      <c r="M86" s="2" t="s">
        <v>661</v>
      </c>
      <c r="N86" t="s">
        <v>31</v>
      </c>
      <c r="O86" t="s">
        <v>7879</v>
      </c>
      <c r="P86" t="s">
        <v>7981</v>
      </c>
      <c r="Q86" t="s">
        <v>46</v>
      </c>
      <c r="R86" t="s">
        <v>33</v>
      </c>
      <c r="S86" t="s">
        <v>34</v>
      </c>
      <c r="T86" s="1">
        <v>195000</v>
      </c>
      <c r="U86">
        <v>0</v>
      </c>
      <c r="V86">
        <v>0</v>
      </c>
      <c r="W86" t="s">
        <v>662</v>
      </c>
    </row>
    <row r="87" spans="1:23" x14ac:dyDescent="0.25">
      <c r="A87">
        <v>24164</v>
      </c>
      <c r="B87" t="s">
        <v>23</v>
      </c>
      <c r="D87">
        <v>88</v>
      </c>
      <c r="E87" t="s">
        <v>663</v>
      </c>
      <c r="F87" t="s">
        <v>664</v>
      </c>
      <c r="G87" t="s">
        <v>665</v>
      </c>
      <c r="H87" t="s">
        <v>361</v>
      </c>
      <c r="I87" t="s">
        <v>666</v>
      </c>
      <c r="J87" t="s">
        <v>53</v>
      </c>
      <c r="K87" t="s">
        <v>667</v>
      </c>
      <c r="L87" t="s">
        <v>43</v>
      </c>
      <c r="M87">
        <v>2348109098679</v>
      </c>
      <c r="N87" t="s">
        <v>31</v>
      </c>
      <c r="O87" t="s">
        <v>7879</v>
      </c>
      <c r="P87" t="s">
        <v>7893</v>
      </c>
      <c r="Q87" t="s">
        <v>46</v>
      </c>
      <c r="R87" t="s">
        <v>33</v>
      </c>
      <c r="S87" t="s">
        <v>34</v>
      </c>
      <c r="T87" s="1">
        <v>195000</v>
      </c>
      <c r="U87">
        <v>0</v>
      </c>
      <c r="V87">
        <v>0</v>
      </c>
      <c r="W87" t="s">
        <v>668</v>
      </c>
    </row>
    <row r="88" spans="1:23" x14ac:dyDescent="0.25">
      <c r="A88">
        <v>18493</v>
      </c>
      <c r="B88" t="s">
        <v>23</v>
      </c>
      <c r="D88">
        <v>89</v>
      </c>
      <c r="E88" t="s">
        <v>669</v>
      </c>
      <c r="F88" t="s">
        <v>670</v>
      </c>
      <c r="G88" t="s">
        <v>671</v>
      </c>
      <c r="H88" t="s">
        <v>672</v>
      </c>
      <c r="I88" t="s">
        <v>673</v>
      </c>
      <c r="J88" t="s">
        <v>53</v>
      </c>
      <c r="K88" t="s">
        <v>674</v>
      </c>
      <c r="L88" t="s">
        <v>43</v>
      </c>
      <c r="M88" s="2" t="s">
        <v>675</v>
      </c>
      <c r="N88" t="s">
        <v>45</v>
      </c>
      <c r="O88" t="s">
        <v>7881</v>
      </c>
      <c r="P88" t="s">
        <v>7981</v>
      </c>
      <c r="Q88" t="s">
        <v>46</v>
      </c>
      <c r="R88" t="s">
        <v>33</v>
      </c>
      <c r="S88" t="s">
        <v>34</v>
      </c>
      <c r="T88" s="1">
        <v>552500</v>
      </c>
      <c r="U88">
        <v>0</v>
      </c>
      <c r="V88">
        <v>0</v>
      </c>
      <c r="W88" t="s">
        <v>676</v>
      </c>
    </row>
    <row r="89" spans="1:23" x14ac:dyDescent="0.25">
      <c r="A89">
        <v>6991</v>
      </c>
      <c r="B89" t="s">
        <v>23</v>
      </c>
      <c r="D89">
        <v>90</v>
      </c>
      <c r="E89" t="s">
        <v>677</v>
      </c>
      <c r="F89" t="s">
        <v>678</v>
      </c>
      <c r="G89" t="s">
        <v>679</v>
      </c>
      <c r="H89" t="s">
        <v>680</v>
      </c>
      <c r="I89" t="s">
        <v>681</v>
      </c>
      <c r="J89" t="s">
        <v>53</v>
      </c>
      <c r="K89" t="s">
        <v>682</v>
      </c>
      <c r="L89" t="s">
        <v>453</v>
      </c>
      <c r="M89" t="s">
        <v>683</v>
      </c>
      <c r="N89" t="s">
        <v>31</v>
      </c>
      <c r="O89" t="s">
        <v>7886</v>
      </c>
      <c r="P89" t="s">
        <v>7901</v>
      </c>
      <c r="Q89" t="s">
        <v>63</v>
      </c>
      <c r="R89" t="s">
        <v>130</v>
      </c>
      <c r="S89" t="s">
        <v>131</v>
      </c>
      <c r="T89">
        <v>625</v>
      </c>
      <c r="U89">
        <v>0</v>
      </c>
      <c r="V89">
        <v>125</v>
      </c>
      <c r="W89" t="s">
        <v>684</v>
      </c>
    </row>
    <row r="90" spans="1:23" x14ac:dyDescent="0.25">
      <c r="A90">
        <v>24136</v>
      </c>
      <c r="B90" t="s">
        <v>23</v>
      </c>
      <c r="D90">
        <v>91</v>
      </c>
      <c r="E90" t="s">
        <v>685</v>
      </c>
      <c r="F90" t="s">
        <v>686</v>
      </c>
      <c r="G90" t="s">
        <v>91</v>
      </c>
      <c r="H90" t="s">
        <v>687</v>
      </c>
      <c r="I90" t="s">
        <v>688</v>
      </c>
      <c r="J90" t="s">
        <v>28</v>
      </c>
      <c r="K90" t="s">
        <v>689</v>
      </c>
      <c r="L90" t="s">
        <v>43</v>
      </c>
      <c r="M90" s="2" t="s">
        <v>690</v>
      </c>
      <c r="N90" t="s">
        <v>31</v>
      </c>
      <c r="O90" t="s">
        <v>7879</v>
      </c>
      <c r="P90" t="s">
        <v>7893</v>
      </c>
      <c r="Q90" t="s">
        <v>46</v>
      </c>
      <c r="R90" t="s">
        <v>33</v>
      </c>
      <c r="S90" t="s">
        <v>34</v>
      </c>
      <c r="T90" s="1">
        <v>195000</v>
      </c>
      <c r="U90">
        <v>0</v>
      </c>
      <c r="V90">
        <v>0</v>
      </c>
      <c r="W90" t="s">
        <v>691</v>
      </c>
    </row>
    <row r="91" spans="1:23" x14ac:dyDescent="0.25">
      <c r="A91">
        <v>24095</v>
      </c>
      <c r="B91" t="s">
        <v>23</v>
      </c>
      <c r="D91">
        <v>92</v>
      </c>
      <c r="E91" t="s">
        <v>692</v>
      </c>
      <c r="F91" t="s">
        <v>693</v>
      </c>
      <c r="G91" t="s">
        <v>694</v>
      </c>
      <c r="H91" t="s">
        <v>695</v>
      </c>
      <c r="I91" t="s">
        <v>696</v>
      </c>
      <c r="J91" t="s">
        <v>28</v>
      </c>
      <c r="K91" t="s">
        <v>697</v>
      </c>
      <c r="L91" t="s">
        <v>43</v>
      </c>
      <c r="M91" s="2" t="s">
        <v>698</v>
      </c>
      <c r="N91" t="s">
        <v>31</v>
      </c>
      <c r="O91" t="s">
        <v>7879</v>
      </c>
      <c r="P91" t="s">
        <v>7940</v>
      </c>
      <c r="Q91" t="s">
        <v>63</v>
      </c>
      <c r="R91" t="s">
        <v>33</v>
      </c>
      <c r="S91" t="s">
        <v>34</v>
      </c>
      <c r="T91" s="1">
        <v>195000</v>
      </c>
      <c r="U91">
        <v>0</v>
      </c>
      <c r="V91">
        <v>0</v>
      </c>
      <c r="W91" t="s">
        <v>699</v>
      </c>
    </row>
    <row r="92" spans="1:23" x14ac:dyDescent="0.25">
      <c r="A92">
        <v>371</v>
      </c>
      <c r="B92" t="s">
        <v>23</v>
      </c>
      <c r="D92">
        <v>93</v>
      </c>
      <c r="E92" t="s">
        <v>700</v>
      </c>
      <c r="F92" t="s">
        <v>701</v>
      </c>
      <c r="G92" t="s">
        <v>702</v>
      </c>
      <c r="H92" t="s">
        <v>703</v>
      </c>
      <c r="I92" t="s">
        <v>7985</v>
      </c>
      <c r="J92" t="s">
        <v>53</v>
      </c>
      <c r="K92" t="s">
        <v>517</v>
      </c>
      <c r="L92" t="s">
        <v>43</v>
      </c>
      <c r="M92" s="2" t="s">
        <v>704</v>
      </c>
      <c r="N92" t="s">
        <v>244</v>
      </c>
      <c r="O92" t="s">
        <v>7886</v>
      </c>
      <c r="P92" t="s">
        <v>7981</v>
      </c>
      <c r="Q92" t="s">
        <v>63</v>
      </c>
      <c r="R92" t="s">
        <v>33</v>
      </c>
      <c r="S92" t="s">
        <v>34</v>
      </c>
      <c r="T92" s="1">
        <v>812500</v>
      </c>
      <c r="U92">
        <v>0</v>
      </c>
      <c r="V92">
        <v>0</v>
      </c>
      <c r="W92" t="s">
        <v>705</v>
      </c>
    </row>
    <row r="93" spans="1:23" x14ac:dyDescent="0.25">
      <c r="A93">
        <v>24186</v>
      </c>
      <c r="B93" t="s">
        <v>23</v>
      </c>
      <c r="D93">
        <v>94</v>
      </c>
      <c r="E93" t="s">
        <v>706</v>
      </c>
      <c r="F93" t="s">
        <v>707</v>
      </c>
      <c r="G93" t="s">
        <v>708</v>
      </c>
      <c r="H93" t="s">
        <v>709</v>
      </c>
      <c r="I93" t="s">
        <v>710</v>
      </c>
      <c r="J93" t="s">
        <v>28</v>
      </c>
      <c r="K93" t="s">
        <v>711</v>
      </c>
      <c r="L93" t="s">
        <v>453</v>
      </c>
      <c r="M93">
        <v>233506389588</v>
      </c>
      <c r="N93" t="s">
        <v>31</v>
      </c>
      <c r="O93" t="s">
        <v>7879</v>
      </c>
      <c r="P93" t="s">
        <v>7893</v>
      </c>
      <c r="Q93" t="s">
        <v>455</v>
      </c>
      <c r="R93" t="s">
        <v>130</v>
      </c>
      <c r="S93" t="s">
        <v>131</v>
      </c>
      <c r="T93">
        <v>150</v>
      </c>
      <c r="U93">
        <v>0</v>
      </c>
      <c r="V93">
        <v>0</v>
      </c>
      <c r="W93" t="s">
        <v>712</v>
      </c>
    </row>
    <row r="94" spans="1:23" x14ac:dyDescent="0.25">
      <c r="A94">
        <v>18109</v>
      </c>
      <c r="B94" t="s">
        <v>23</v>
      </c>
      <c r="D94">
        <v>95</v>
      </c>
      <c r="E94" t="s">
        <v>713</v>
      </c>
      <c r="F94" t="s">
        <v>714</v>
      </c>
      <c r="G94" t="s">
        <v>715</v>
      </c>
      <c r="H94" t="s">
        <v>716</v>
      </c>
      <c r="I94" t="s">
        <v>7902</v>
      </c>
      <c r="J94" t="s">
        <v>53</v>
      </c>
      <c r="K94" t="s">
        <v>717</v>
      </c>
      <c r="L94" t="s">
        <v>43</v>
      </c>
      <c r="M94" s="2" t="s">
        <v>718</v>
      </c>
      <c r="N94" t="s">
        <v>45</v>
      </c>
      <c r="O94" t="s">
        <v>7881</v>
      </c>
      <c r="P94" t="s">
        <v>7893</v>
      </c>
      <c r="Q94" t="s">
        <v>46</v>
      </c>
      <c r="R94" t="s">
        <v>33</v>
      </c>
      <c r="S94" t="s">
        <v>34</v>
      </c>
      <c r="T94" s="1">
        <v>552500</v>
      </c>
      <c r="U94">
        <v>0</v>
      </c>
      <c r="V94">
        <v>0</v>
      </c>
      <c r="W94" t="s">
        <v>719</v>
      </c>
    </row>
    <row r="95" spans="1:23" x14ac:dyDescent="0.25">
      <c r="A95">
        <v>24073</v>
      </c>
      <c r="B95" t="s">
        <v>23</v>
      </c>
      <c r="D95">
        <v>96</v>
      </c>
      <c r="E95" t="s">
        <v>720</v>
      </c>
      <c r="F95" t="s">
        <v>721</v>
      </c>
      <c r="G95" t="s">
        <v>722</v>
      </c>
      <c r="H95" t="s">
        <v>723</v>
      </c>
      <c r="I95" t="s">
        <v>7986</v>
      </c>
      <c r="J95" t="s">
        <v>53</v>
      </c>
      <c r="K95" t="s">
        <v>724</v>
      </c>
      <c r="L95" t="s">
        <v>43</v>
      </c>
      <c r="M95" s="2" t="s">
        <v>725</v>
      </c>
      <c r="N95" t="s">
        <v>31</v>
      </c>
      <c r="O95" t="s">
        <v>7879</v>
      </c>
      <c r="P95" t="s">
        <v>7888</v>
      </c>
      <c r="Q95" t="s">
        <v>46</v>
      </c>
      <c r="R95" t="s">
        <v>33</v>
      </c>
      <c r="S95" t="s">
        <v>34</v>
      </c>
      <c r="T95" s="1">
        <v>195000</v>
      </c>
      <c r="U95">
        <v>0</v>
      </c>
      <c r="V95">
        <v>0</v>
      </c>
      <c r="W95" t="s">
        <v>726</v>
      </c>
    </row>
    <row r="96" spans="1:23" x14ac:dyDescent="0.25">
      <c r="A96">
        <v>7574</v>
      </c>
      <c r="B96" t="s">
        <v>23</v>
      </c>
      <c r="D96">
        <v>97</v>
      </c>
      <c r="E96" t="s">
        <v>727</v>
      </c>
      <c r="F96" t="s">
        <v>728</v>
      </c>
      <c r="G96" t="s">
        <v>729</v>
      </c>
      <c r="H96" t="s">
        <v>730</v>
      </c>
      <c r="I96" t="s">
        <v>731</v>
      </c>
      <c r="J96" t="s">
        <v>53</v>
      </c>
      <c r="K96" t="s">
        <v>732</v>
      </c>
      <c r="L96" t="s">
        <v>43</v>
      </c>
      <c r="M96" s="2" t="s">
        <v>733</v>
      </c>
      <c r="N96" t="s">
        <v>31</v>
      </c>
      <c r="O96" t="s">
        <v>7886</v>
      </c>
      <c r="P96" t="s">
        <v>7903</v>
      </c>
      <c r="Q96" t="s">
        <v>46</v>
      </c>
      <c r="R96" t="s">
        <v>33</v>
      </c>
      <c r="S96" t="s">
        <v>34</v>
      </c>
      <c r="T96" s="1">
        <v>812500</v>
      </c>
      <c r="U96">
        <v>0</v>
      </c>
      <c r="V96" s="1">
        <v>162500</v>
      </c>
      <c r="W96" t="s">
        <v>734</v>
      </c>
    </row>
    <row r="97" spans="1:23" x14ac:dyDescent="0.25">
      <c r="A97">
        <v>1854</v>
      </c>
      <c r="B97" t="s">
        <v>23</v>
      </c>
      <c r="D97">
        <v>98</v>
      </c>
      <c r="E97" t="s">
        <v>735</v>
      </c>
      <c r="F97" t="s">
        <v>664</v>
      </c>
      <c r="G97" t="s">
        <v>736</v>
      </c>
      <c r="H97" t="s">
        <v>737</v>
      </c>
      <c r="I97" t="s">
        <v>738</v>
      </c>
      <c r="J97" t="s">
        <v>28</v>
      </c>
      <c r="K97" t="s">
        <v>739</v>
      </c>
      <c r="L97" t="s">
        <v>43</v>
      </c>
      <c r="M97" s="2" t="s">
        <v>740</v>
      </c>
      <c r="N97" t="s">
        <v>45</v>
      </c>
      <c r="O97" t="s">
        <v>7881</v>
      </c>
      <c r="P97" t="s">
        <v>7893</v>
      </c>
      <c r="Q97" t="s">
        <v>46</v>
      </c>
      <c r="R97" t="s">
        <v>33</v>
      </c>
      <c r="S97" t="s">
        <v>34</v>
      </c>
      <c r="T97" s="1">
        <v>552500</v>
      </c>
      <c r="U97">
        <v>0</v>
      </c>
      <c r="V97">
        <v>0</v>
      </c>
      <c r="W97" t="s">
        <v>741</v>
      </c>
    </row>
    <row r="98" spans="1:23" x14ac:dyDescent="0.25">
      <c r="A98">
        <v>19009</v>
      </c>
      <c r="B98" t="s">
        <v>23</v>
      </c>
      <c r="D98">
        <v>100</v>
      </c>
      <c r="E98" t="s">
        <v>744</v>
      </c>
      <c r="F98" t="s">
        <v>745</v>
      </c>
      <c r="G98" t="s">
        <v>746</v>
      </c>
      <c r="H98" t="s">
        <v>196</v>
      </c>
      <c r="I98" t="s">
        <v>747</v>
      </c>
      <c r="J98" t="s">
        <v>53</v>
      </c>
      <c r="K98" t="s">
        <v>748</v>
      </c>
      <c r="L98" t="s">
        <v>43</v>
      </c>
      <c r="M98" s="2" t="s">
        <v>749</v>
      </c>
      <c r="N98" t="s">
        <v>31</v>
      </c>
      <c r="O98" t="s">
        <v>7881</v>
      </c>
      <c r="P98" t="s">
        <v>7981</v>
      </c>
      <c r="Q98" t="s">
        <v>63</v>
      </c>
      <c r="R98" t="s">
        <v>33</v>
      </c>
      <c r="S98" t="s">
        <v>34</v>
      </c>
      <c r="T98" s="1">
        <v>552500</v>
      </c>
      <c r="U98">
        <v>0</v>
      </c>
      <c r="V98">
        <v>0</v>
      </c>
      <c r="W98" t="s">
        <v>750</v>
      </c>
    </row>
    <row r="99" spans="1:23" x14ac:dyDescent="0.25">
      <c r="A99">
        <v>24148</v>
      </c>
      <c r="B99" t="s">
        <v>23</v>
      </c>
      <c r="D99">
        <v>101</v>
      </c>
      <c r="E99" t="s">
        <v>751</v>
      </c>
      <c r="F99" t="s">
        <v>752</v>
      </c>
      <c r="G99" t="s">
        <v>753</v>
      </c>
      <c r="H99" t="s">
        <v>754</v>
      </c>
      <c r="I99" t="s">
        <v>755</v>
      </c>
      <c r="J99" t="s">
        <v>53</v>
      </c>
      <c r="K99" t="s">
        <v>756</v>
      </c>
      <c r="L99" t="s">
        <v>43</v>
      </c>
      <c r="M99" s="2" t="s">
        <v>757</v>
      </c>
      <c r="N99" t="s">
        <v>31</v>
      </c>
      <c r="O99" t="s">
        <v>7879</v>
      </c>
      <c r="P99" t="s">
        <v>8028</v>
      </c>
      <c r="Q99" t="s">
        <v>87</v>
      </c>
      <c r="R99" t="s">
        <v>33</v>
      </c>
      <c r="S99" t="s">
        <v>34</v>
      </c>
      <c r="T99" s="1">
        <v>195000</v>
      </c>
      <c r="U99">
        <v>0</v>
      </c>
      <c r="V99">
        <v>0</v>
      </c>
      <c r="W99" t="s">
        <v>758</v>
      </c>
    </row>
    <row r="100" spans="1:23" x14ac:dyDescent="0.25">
      <c r="A100">
        <v>11657</v>
      </c>
      <c r="B100" t="s">
        <v>23</v>
      </c>
      <c r="D100">
        <v>102</v>
      </c>
      <c r="E100" t="s">
        <v>759</v>
      </c>
      <c r="F100" t="s">
        <v>760</v>
      </c>
      <c r="G100" t="s">
        <v>761</v>
      </c>
      <c r="H100" t="s">
        <v>762</v>
      </c>
      <c r="I100" t="s">
        <v>763</v>
      </c>
      <c r="J100" t="s">
        <v>53</v>
      </c>
      <c r="K100" t="s">
        <v>764</v>
      </c>
      <c r="L100" t="s">
        <v>765</v>
      </c>
      <c r="M100">
        <v>23278340386</v>
      </c>
      <c r="N100" t="s">
        <v>45</v>
      </c>
      <c r="O100" t="s">
        <v>7881</v>
      </c>
      <c r="P100" t="s">
        <v>7893</v>
      </c>
      <c r="Q100" t="s">
        <v>46</v>
      </c>
      <c r="R100" t="s">
        <v>33</v>
      </c>
      <c r="S100" t="s">
        <v>34</v>
      </c>
      <c r="T100" s="1">
        <v>552500</v>
      </c>
      <c r="U100">
        <v>0</v>
      </c>
      <c r="V100">
        <v>0</v>
      </c>
      <c r="W100" t="s">
        <v>766</v>
      </c>
    </row>
    <row r="101" spans="1:23" x14ac:dyDescent="0.25">
      <c r="A101">
        <v>717</v>
      </c>
      <c r="B101" t="s">
        <v>23</v>
      </c>
      <c r="D101">
        <v>103</v>
      </c>
      <c r="E101" t="s">
        <v>767</v>
      </c>
      <c r="F101" t="s">
        <v>768</v>
      </c>
      <c r="G101" t="s">
        <v>769</v>
      </c>
      <c r="H101" t="s">
        <v>770</v>
      </c>
      <c r="I101" t="s">
        <v>771</v>
      </c>
      <c r="J101" t="s">
        <v>53</v>
      </c>
      <c r="K101" t="s">
        <v>772</v>
      </c>
      <c r="L101" t="s">
        <v>43</v>
      </c>
      <c r="M101">
        <v>8036413865</v>
      </c>
      <c r="N101" t="s">
        <v>31</v>
      </c>
      <c r="O101" t="s">
        <v>7881</v>
      </c>
      <c r="P101" t="s">
        <v>7940</v>
      </c>
      <c r="Q101" t="s">
        <v>46</v>
      </c>
      <c r="R101" t="s">
        <v>33</v>
      </c>
      <c r="S101" t="s">
        <v>34</v>
      </c>
      <c r="T101" s="1">
        <v>552500</v>
      </c>
      <c r="U101">
        <v>0</v>
      </c>
      <c r="V101">
        <v>0</v>
      </c>
      <c r="W101" t="s">
        <v>773</v>
      </c>
    </row>
    <row r="102" spans="1:23" x14ac:dyDescent="0.25">
      <c r="A102">
        <v>2684</v>
      </c>
      <c r="B102" t="s">
        <v>23</v>
      </c>
      <c r="D102">
        <v>104</v>
      </c>
      <c r="E102" t="s">
        <v>774</v>
      </c>
      <c r="F102" t="s">
        <v>775</v>
      </c>
      <c r="G102" t="s">
        <v>776</v>
      </c>
      <c r="H102" t="s">
        <v>529</v>
      </c>
      <c r="I102" t="s">
        <v>777</v>
      </c>
      <c r="J102" t="s">
        <v>53</v>
      </c>
      <c r="K102" t="s">
        <v>778</v>
      </c>
      <c r="L102" t="s">
        <v>43</v>
      </c>
      <c r="M102" s="2" t="s">
        <v>779</v>
      </c>
      <c r="N102" t="s">
        <v>244</v>
      </c>
      <c r="O102" t="s">
        <v>7886</v>
      </c>
      <c r="P102" t="s">
        <v>7894</v>
      </c>
      <c r="Q102" t="s">
        <v>46</v>
      </c>
      <c r="R102" t="s">
        <v>33</v>
      </c>
      <c r="S102" t="s">
        <v>34</v>
      </c>
      <c r="T102" s="1">
        <v>812500</v>
      </c>
      <c r="U102">
        <v>0</v>
      </c>
      <c r="V102">
        <v>0</v>
      </c>
      <c r="W102" t="s">
        <v>780</v>
      </c>
    </row>
    <row r="103" spans="1:23" x14ac:dyDescent="0.25">
      <c r="A103">
        <v>23964</v>
      </c>
      <c r="B103" t="s">
        <v>23</v>
      </c>
      <c r="D103">
        <v>105</v>
      </c>
      <c r="E103" t="s">
        <v>781</v>
      </c>
      <c r="F103" t="s">
        <v>782</v>
      </c>
      <c r="G103" t="s">
        <v>783</v>
      </c>
      <c r="H103" t="s">
        <v>784</v>
      </c>
      <c r="I103" t="s">
        <v>785</v>
      </c>
      <c r="J103" t="s">
        <v>28</v>
      </c>
      <c r="K103" t="s">
        <v>785</v>
      </c>
      <c r="L103" t="s">
        <v>43</v>
      </c>
      <c r="M103">
        <v>2348063369279</v>
      </c>
      <c r="N103" t="s">
        <v>31</v>
      </c>
      <c r="O103" t="s">
        <v>7879</v>
      </c>
      <c r="P103" t="s">
        <v>7940</v>
      </c>
      <c r="Q103" t="s">
        <v>87</v>
      </c>
      <c r="R103" t="s">
        <v>33</v>
      </c>
      <c r="S103" t="s">
        <v>34</v>
      </c>
      <c r="T103" s="1">
        <v>195000</v>
      </c>
      <c r="U103">
        <v>0</v>
      </c>
      <c r="V103">
        <v>0</v>
      </c>
      <c r="W103" t="s">
        <v>786</v>
      </c>
    </row>
    <row r="104" spans="1:23" x14ac:dyDescent="0.25">
      <c r="A104">
        <v>24201</v>
      </c>
      <c r="B104" t="s">
        <v>23</v>
      </c>
      <c r="D104">
        <v>106</v>
      </c>
      <c r="E104" t="s">
        <v>787</v>
      </c>
      <c r="F104" t="s">
        <v>788</v>
      </c>
      <c r="G104" t="s">
        <v>789</v>
      </c>
      <c r="H104" t="s">
        <v>790</v>
      </c>
      <c r="I104" t="s">
        <v>791</v>
      </c>
      <c r="J104" t="s">
        <v>28</v>
      </c>
      <c r="K104" t="s">
        <v>792</v>
      </c>
      <c r="L104" t="s">
        <v>43</v>
      </c>
      <c r="M104" s="2" t="s">
        <v>793</v>
      </c>
      <c r="N104" t="s">
        <v>31</v>
      </c>
      <c r="O104" t="s">
        <v>7879</v>
      </c>
      <c r="P104" t="s">
        <v>8028</v>
      </c>
      <c r="Q104" t="s">
        <v>46</v>
      </c>
      <c r="R104" t="s">
        <v>33</v>
      </c>
      <c r="S104" t="s">
        <v>34</v>
      </c>
      <c r="T104" s="1">
        <v>195000</v>
      </c>
      <c r="U104">
        <v>0</v>
      </c>
      <c r="V104">
        <v>0</v>
      </c>
      <c r="W104" t="s">
        <v>794</v>
      </c>
    </row>
    <row r="105" spans="1:23" x14ac:dyDescent="0.25">
      <c r="A105">
        <v>24108</v>
      </c>
      <c r="B105" t="s">
        <v>23</v>
      </c>
      <c r="D105">
        <v>107</v>
      </c>
      <c r="E105" t="s">
        <v>795</v>
      </c>
      <c r="F105" t="s">
        <v>796</v>
      </c>
      <c r="G105" t="s">
        <v>797</v>
      </c>
      <c r="H105" t="s">
        <v>798</v>
      </c>
      <c r="I105" t="s">
        <v>799</v>
      </c>
      <c r="J105" t="s">
        <v>53</v>
      </c>
      <c r="K105" t="s">
        <v>800</v>
      </c>
      <c r="L105" t="s">
        <v>43</v>
      </c>
      <c r="M105" s="2" t="s">
        <v>801</v>
      </c>
      <c r="N105" t="s">
        <v>31</v>
      </c>
      <c r="O105" t="s">
        <v>7879</v>
      </c>
      <c r="P105" t="s">
        <v>7981</v>
      </c>
      <c r="Q105" t="s">
        <v>46</v>
      </c>
      <c r="R105" t="s">
        <v>33</v>
      </c>
      <c r="S105" t="s">
        <v>34</v>
      </c>
      <c r="T105" s="1">
        <v>195000</v>
      </c>
      <c r="U105">
        <v>0</v>
      </c>
      <c r="V105">
        <v>0</v>
      </c>
      <c r="W105" t="s">
        <v>802</v>
      </c>
    </row>
    <row r="106" spans="1:23" x14ac:dyDescent="0.25">
      <c r="A106">
        <v>20673</v>
      </c>
      <c r="B106" t="s">
        <v>23</v>
      </c>
      <c r="D106">
        <v>108</v>
      </c>
      <c r="E106" t="s">
        <v>803</v>
      </c>
      <c r="F106" t="s">
        <v>804</v>
      </c>
      <c r="G106" t="s">
        <v>805</v>
      </c>
      <c r="H106" t="s">
        <v>806</v>
      </c>
      <c r="I106" t="s">
        <v>807</v>
      </c>
      <c r="J106" t="s">
        <v>28</v>
      </c>
      <c r="K106" t="s">
        <v>808</v>
      </c>
      <c r="L106" t="s">
        <v>43</v>
      </c>
      <c r="M106" s="2" t="s">
        <v>809</v>
      </c>
      <c r="N106" t="s">
        <v>45</v>
      </c>
      <c r="O106" t="s">
        <v>7881</v>
      </c>
      <c r="P106" t="s">
        <v>7978</v>
      </c>
      <c r="Q106" t="s">
        <v>63</v>
      </c>
      <c r="R106" t="s">
        <v>33</v>
      </c>
      <c r="S106" t="s">
        <v>34</v>
      </c>
      <c r="T106" s="1">
        <v>552500</v>
      </c>
      <c r="U106" s="1">
        <v>110500</v>
      </c>
      <c r="V106">
        <v>0</v>
      </c>
      <c r="W106" t="s">
        <v>810</v>
      </c>
    </row>
    <row r="107" spans="1:23" x14ac:dyDescent="0.25">
      <c r="A107">
        <v>24170</v>
      </c>
      <c r="B107" t="s">
        <v>23</v>
      </c>
      <c r="D107">
        <v>109</v>
      </c>
      <c r="E107" t="s">
        <v>811</v>
      </c>
      <c r="F107" t="s">
        <v>812</v>
      </c>
      <c r="G107" t="s">
        <v>406</v>
      </c>
      <c r="I107" t="s">
        <v>813</v>
      </c>
      <c r="J107" t="s">
        <v>28</v>
      </c>
      <c r="K107" t="s">
        <v>814</v>
      </c>
      <c r="L107" t="s">
        <v>43</v>
      </c>
      <c r="M107" s="2" t="s">
        <v>815</v>
      </c>
      <c r="N107" t="s">
        <v>31</v>
      </c>
      <c r="O107" t="s">
        <v>7879</v>
      </c>
      <c r="P107" t="s">
        <v>7940</v>
      </c>
      <c r="Q107" t="s">
        <v>63</v>
      </c>
      <c r="R107" t="s">
        <v>33</v>
      </c>
      <c r="S107" t="s">
        <v>34</v>
      </c>
      <c r="T107" s="1">
        <v>195000</v>
      </c>
      <c r="U107">
        <v>0</v>
      </c>
      <c r="V107">
        <v>0</v>
      </c>
      <c r="W107" t="s">
        <v>816</v>
      </c>
    </row>
    <row r="108" spans="1:23" x14ac:dyDescent="0.25">
      <c r="A108">
        <v>7798</v>
      </c>
      <c r="B108" t="s">
        <v>23</v>
      </c>
      <c r="D108">
        <v>110</v>
      </c>
      <c r="E108" t="s">
        <v>817</v>
      </c>
      <c r="F108" t="s">
        <v>818</v>
      </c>
      <c r="G108" t="s">
        <v>819</v>
      </c>
      <c r="H108" t="s">
        <v>820</v>
      </c>
      <c r="I108" t="s">
        <v>821</v>
      </c>
      <c r="J108" t="s">
        <v>28</v>
      </c>
      <c r="K108" t="s">
        <v>822</v>
      </c>
      <c r="L108" t="s">
        <v>43</v>
      </c>
      <c r="M108" s="2" t="s">
        <v>823</v>
      </c>
      <c r="N108" t="s">
        <v>244</v>
      </c>
      <c r="O108" t="s">
        <v>7886</v>
      </c>
      <c r="P108" t="s">
        <v>7981</v>
      </c>
      <c r="Q108" t="s">
        <v>46</v>
      </c>
      <c r="R108" t="s">
        <v>33</v>
      </c>
      <c r="S108" t="s">
        <v>34</v>
      </c>
      <c r="T108" s="1">
        <v>812500</v>
      </c>
      <c r="U108">
        <v>0</v>
      </c>
      <c r="V108">
        <v>0</v>
      </c>
      <c r="W108" t="s">
        <v>824</v>
      </c>
    </row>
    <row r="109" spans="1:23" x14ac:dyDescent="0.25">
      <c r="A109">
        <v>24096</v>
      </c>
      <c r="B109" t="s">
        <v>23</v>
      </c>
      <c r="D109">
        <v>111</v>
      </c>
      <c r="E109" t="s">
        <v>825</v>
      </c>
      <c r="F109" t="s">
        <v>826</v>
      </c>
      <c r="G109" t="s">
        <v>118</v>
      </c>
      <c r="H109" t="s">
        <v>827</v>
      </c>
      <c r="I109" t="s">
        <v>828</v>
      </c>
      <c r="J109" t="s">
        <v>28</v>
      </c>
      <c r="K109" t="s">
        <v>829</v>
      </c>
      <c r="L109" t="s">
        <v>43</v>
      </c>
      <c r="M109">
        <v>2348100565872</v>
      </c>
      <c r="N109" t="s">
        <v>31</v>
      </c>
      <c r="O109" t="s">
        <v>7879</v>
      </c>
      <c r="P109" t="s">
        <v>7981</v>
      </c>
      <c r="Q109" t="s">
        <v>46</v>
      </c>
      <c r="R109" t="s">
        <v>33</v>
      </c>
      <c r="S109" t="s">
        <v>34</v>
      </c>
      <c r="T109" s="1">
        <v>195000</v>
      </c>
      <c r="U109">
        <v>0</v>
      </c>
      <c r="V109">
        <v>0</v>
      </c>
      <c r="W109" t="s">
        <v>830</v>
      </c>
    </row>
    <row r="110" spans="1:23" x14ac:dyDescent="0.25">
      <c r="A110">
        <v>24183</v>
      </c>
      <c r="B110" t="s">
        <v>23</v>
      </c>
      <c r="D110">
        <v>112</v>
      </c>
      <c r="E110" t="s">
        <v>831</v>
      </c>
      <c r="F110" t="s">
        <v>832</v>
      </c>
      <c r="G110" t="s">
        <v>833</v>
      </c>
      <c r="I110" t="s">
        <v>834</v>
      </c>
      <c r="J110" t="s">
        <v>53</v>
      </c>
      <c r="K110" t="s">
        <v>835</v>
      </c>
      <c r="L110" t="s">
        <v>43</v>
      </c>
      <c r="M110" s="2" t="s">
        <v>836</v>
      </c>
      <c r="N110" t="s">
        <v>31</v>
      </c>
      <c r="O110" t="s">
        <v>7879</v>
      </c>
      <c r="P110" t="s">
        <v>7940</v>
      </c>
      <c r="Q110" t="s">
        <v>63</v>
      </c>
      <c r="R110" t="s">
        <v>33</v>
      </c>
      <c r="S110" t="s">
        <v>34</v>
      </c>
      <c r="T110" s="1">
        <v>195000</v>
      </c>
      <c r="U110">
        <v>0</v>
      </c>
      <c r="V110">
        <v>0</v>
      </c>
      <c r="W110" t="s">
        <v>837</v>
      </c>
    </row>
    <row r="111" spans="1:23" x14ac:dyDescent="0.25">
      <c r="A111">
        <v>8540</v>
      </c>
      <c r="B111" t="s">
        <v>23</v>
      </c>
      <c r="D111">
        <v>113</v>
      </c>
      <c r="E111" t="s">
        <v>838</v>
      </c>
      <c r="F111" t="s">
        <v>839</v>
      </c>
      <c r="G111" t="s">
        <v>840</v>
      </c>
      <c r="H111" t="s">
        <v>841</v>
      </c>
      <c r="I111" t="s">
        <v>842</v>
      </c>
      <c r="J111" t="s">
        <v>53</v>
      </c>
      <c r="K111" t="s">
        <v>843</v>
      </c>
      <c r="L111" t="s">
        <v>43</v>
      </c>
      <c r="M111">
        <v>8039183131</v>
      </c>
      <c r="N111" t="s">
        <v>244</v>
      </c>
      <c r="O111" t="s">
        <v>7886</v>
      </c>
      <c r="P111" t="s">
        <v>7981</v>
      </c>
      <c r="Q111" t="s">
        <v>63</v>
      </c>
      <c r="R111" t="s">
        <v>33</v>
      </c>
      <c r="S111" t="s">
        <v>34</v>
      </c>
      <c r="T111" s="1">
        <v>812500</v>
      </c>
      <c r="U111">
        <v>0</v>
      </c>
      <c r="V111">
        <v>0</v>
      </c>
      <c r="W111" t="s">
        <v>844</v>
      </c>
    </row>
    <row r="112" spans="1:23" x14ac:dyDescent="0.25">
      <c r="A112">
        <v>24182</v>
      </c>
      <c r="B112" t="s">
        <v>23</v>
      </c>
      <c r="D112">
        <v>114</v>
      </c>
      <c r="E112" t="s">
        <v>845</v>
      </c>
      <c r="F112" t="s">
        <v>846</v>
      </c>
      <c r="G112" t="s">
        <v>847</v>
      </c>
      <c r="H112" t="s">
        <v>848</v>
      </c>
      <c r="I112" t="s">
        <v>849</v>
      </c>
      <c r="J112" t="s">
        <v>28</v>
      </c>
      <c r="K112" t="s">
        <v>850</v>
      </c>
      <c r="L112" t="s">
        <v>43</v>
      </c>
      <c r="M112">
        <v>2347015867853</v>
      </c>
      <c r="N112" t="s">
        <v>31</v>
      </c>
      <c r="O112" t="s">
        <v>7879</v>
      </c>
      <c r="P112" t="s">
        <v>7888</v>
      </c>
      <c r="Q112" t="s">
        <v>63</v>
      </c>
      <c r="R112" t="s">
        <v>33</v>
      </c>
      <c r="S112" t="s">
        <v>34</v>
      </c>
      <c r="T112" s="1">
        <v>195000</v>
      </c>
      <c r="U112">
        <v>0</v>
      </c>
      <c r="V112">
        <v>0</v>
      </c>
      <c r="W112" t="s">
        <v>851</v>
      </c>
    </row>
    <row r="113" spans="1:23" x14ac:dyDescent="0.25">
      <c r="A113">
        <v>24187</v>
      </c>
      <c r="B113" t="s">
        <v>23</v>
      </c>
      <c r="D113">
        <v>115</v>
      </c>
      <c r="E113" t="s">
        <v>852</v>
      </c>
      <c r="F113" t="s">
        <v>853</v>
      </c>
      <c r="G113" t="s">
        <v>854</v>
      </c>
      <c r="I113" t="s">
        <v>855</v>
      </c>
      <c r="J113" t="s">
        <v>53</v>
      </c>
      <c r="K113" t="s">
        <v>682</v>
      </c>
      <c r="L113" t="s">
        <v>453</v>
      </c>
      <c r="M113" s="2" t="s">
        <v>856</v>
      </c>
      <c r="N113" t="s">
        <v>31</v>
      </c>
      <c r="O113" t="s">
        <v>7879</v>
      </c>
      <c r="P113" t="s">
        <v>7893</v>
      </c>
      <c r="Q113" t="s">
        <v>455</v>
      </c>
      <c r="R113" t="s">
        <v>130</v>
      </c>
      <c r="S113" t="s">
        <v>131</v>
      </c>
      <c r="T113">
        <v>150</v>
      </c>
      <c r="U113">
        <v>0</v>
      </c>
      <c r="V113">
        <v>0</v>
      </c>
      <c r="W113" t="s">
        <v>857</v>
      </c>
    </row>
    <row r="114" spans="1:23" x14ac:dyDescent="0.25">
      <c r="A114">
        <v>5908</v>
      </c>
      <c r="B114" t="s">
        <v>23</v>
      </c>
      <c r="D114">
        <v>116</v>
      </c>
      <c r="E114" t="s">
        <v>858</v>
      </c>
      <c r="F114" t="s">
        <v>859</v>
      </c>
      <c r="G114" t="s">
        <v>860</v>
      </c>
      <c r="H114" t="s">
        <v>861</v>
      </c>
      <c r="I114" t="s">
        <v>862</v>
      </c>
      <c r="J114" t="s">
        <v>28</v>
      </c>
      <c r="K114" t="s">
        <v>863</v>
      </c>
      <c r="L114" t="s">
        <v>43</v>
      </c>
      <c r="M114">
        <v>8064750946</v>
      </c>
      <c r="N114" t="s">
        <v>21</v>
      </c>
      <c r="O114" t="s">
        <v>7886</v>
      </c>
      <c r="P114" t="s">
        <v>7940</v>
      </c>
      <c r="Q114" t="s">
        <v>63</v>
      </c>
      <c r="R114" t="s">
        <v>33</v>
      </c>
      <c r="S114" t="s">
        <v>34</v>
      </c>
      <c r="T114" s="1">
        <v>812500</v>
      </c>
      <c r="U114">
        <v>0</v>
      </c>
      <c r="V114" s="1">
        <v>162500</v>
      </c>
      <c r="W114" t="s">
        <v>864</v>
      </c>
    </row>
    <row r="115" spans="1:23" x14ac:dyDescent="0.25">
      <c r="A115">
        <v>24196</v>
      </c>
      <c r="B115" t="s">
        <v>23</v>
      </c>
      <c r="D115">
        <v>117</v>
      </c>
      <c r="E115" t="s">
        <v>865</v>
      </c>
      <c r="F115" t="s">
        <v>866</v>
      </c>
      <c r="G115" t="s">
        <v>867</v>
      </c>
      <c r="I115" t="s">
        <v>868</v>
      </c>
      <c r="J115" t="s">
        <v>53</v>
      </c>
      <c r="K115" t="s">
        <v>869</v>
      </c>
      <c r="L115" t="s">
        <v>43</v>
      </c>
      <c r="M115" s="2" t="s">
        <v>870</v>
      </c>
      <c r="N115" t="s">
        <v>31</v>
      </c>
      <c r="O115" t="s">
        <v>7879</v>
      </c>
      <c r="P115" t="s">
        <v>7893</v>
      </c>
      <c r="Q115" t="s">
        <v>46</v>
      </c>
      <c r="R115" t="s">
        <v>33</v>
      </c>
      <c r="S115" t="s">
        <v>34</v>
      </c>
      <c r="T115" s="1">
        <v>195000</v>
      </c>
      <c r="U115">
        <v>0</v>
      </c>
      <c r="V115">
        <v>0</v>
      </c>
      <c r="W115" t="s">
        <v>871</v>
      </c>
    </row>
    <row r="116" spans="1:23" x14ac:dyDescent="0.25">
      <c r="A116">
        <v>23524</v>
      </c>
      <c r="B116" t="s">
        <v>23</v>
      </c>
      <c r="D116">
        <v>118</v>
      </c>
      <c r="E116" t="s">
        <v>872</v>
      </c>
      <c r="F116" t="s">
        <v>873</v>
      </c>
      <c r="G116" t="s">
        <v>874</v>
      </c>
      <c r="H116" t="s">
        <v>875</v>
      </c>
      <c r="I116" t="s">
        <v>876</v>
      </c>
      <c r="J116" t="s">
        <v>28</v>
      </c>
      <c r="K116" t="s">
        <v>877</v>
      </c>
      <c r="L116" t="s">
        <v>43</v>
      </c>
      <c r="M116" s="2" t="s">
        <v>878</v>
      </c>
      <c r="N116" t="s">
        <v>45</v>
      </c>
      <c r="O116" t="s">
        <v>7879</v>
      </c>
      <c r="P116" t="s">
        <v>7893</v>
      </c>
      <c r="Q116" t="s">
        <v>87</v>
      </c>
      <c r="R116" t="s">
        <v>33</v>
      </c>
      <c r="S116" t="s">
        <v>34</v>
      </c>
      <c r="T116" s="1">
        <v>195000</v>
      </c>
      <c r="U116">
        <v>0</v>
      </c>
      <c r="V116">
        <v>0</v>
      </c>
      <c r="W116" t="s">
        <v>879</v>
      </c>
    </row>
    <row r="117" spans="1:23" x14ac:dyDescent="0.25">
      <c r="A117">
        <v>18909</v>
      </c>
      <c r="B117" t="s">
        <v>23</v>
      </c>
      <c r="D117">
        <v>119</v>
      </c>
      <c r="E117" t="s">
        <v>880</v>
      </c>
      <c r="F117" t="s">
        <v>881</v>
      </c>
      <c r="G117" t="s">
        <v>882</v>
      </c>
      <c r="H117" t="s">
        <v>883</v>
      </c>
      <c r="I117">
        <v>233207672994</v>
      </c>
      <c r="J117" t="s">
        <v>53</v>
      </c>
      <c r="K117" t="s">
        <v>884</v>
      </c>
      <c r="L117" t="s">
        <v>453</v>
      </c>
      <c r="M117">
        <v>233246510024</v>
      </c>
      <c r="N117" t="s">
        <v>45</v>
      </c>
      <c r="O117" t="s">
        <v>7881</v>
      </c>
      <c r="P117" t="s">
        <v>7893</v>
      </c>
      <c r="Q117" t="s">
        <v>455</v>
      </c>
      <c r="R117" t="s">
        <v>130</v>
      </c>
      <c r="S117" t="s">
        <v>131</v>
      </c>
      <c r="T117">
        <v>425</v>
      </c>
      <c r="U117">
        <v>0</v>
      </c>
      <c r="V117">
        <v>0</v>
      </c>
      <c r="W117" t="s">
        <v>885</v>
      </c>
    </row>
    <row r="118" spans="1:23" x14ac:dyDescent="0.25">
      <c r="A118">
        <v>23995</v>
      </c>
      <c r="B118" t="s">
        <v>23</v>
      </c>
      <c r="D118">
        <v>120</v>
      </c>
      <c r="E118" t="s">
        <v>886</v>
      </c>
      <c r="F118" t="s">
        <v>887</v>
      </c>
      <c r="G118" t="s">
        <v>888</v>
      </c>
      <c r="H118" t="s">
        <v>514</v>
      </c>
      <c r="I118" t="s">
        <v>889</v>
      </c>
      <c r="J118" t="s">
        <v>28</v>
      </c>
      <c r="K118" t="s">
        <v>889</v>
      </c>
      <c r="L118" t="s">
        <v>43</v>
      </c>
      <c r="M118" s="2" t="s">
        <v>890</v>
      </c>
      <c r="N118" t="s">
        <v>31</v>
      </c>
      <c r="O118" t="s">
        <v>7879</v>
      </c>
      <c r="P118" t="s">
        <v>7981</v>
      </c>
      <c r="Q118" t="s">
        <v>87</v>
      </c>
      <c r="R118" t="s">
        <v>33</v>
      </c>
      <c r="S118" t="s">
        <v>34</v>
      </c>
      <c r="T118" s="1">
        <v>195000</v>
      </c>
      <c r="U118">
        <v>0</v>
      </c>
      <c r="V118">
        <v>0</v>
      </c>
      <c r="W118" t="s">
        <v>891</v>
      </c>
    </row>
    <row r="119" spans="1:23" x14ac:dyDescent="0.25">
      <c r="A119">
        <v>20258</v>
      </c>
      <c r="B119" t="s">
        <v>23</v>
      </c>
      <c r="D119">
        <v>121</v>
      </c>
      <c r="E119" t="s">
        <v>892</v>
      </c>
      <c r="F119" t="s">
        <v>893</v>
      </c>
      <c r="G119" t="s">
        <v>894</v>
      </c>
      <c r="H119" t="s">
        <v>39</v>
      </c>
      <c r="I119" t="s">
        <v>895</v>
      </c>
      <c r="J119" t="s">
        <v>28</v>
      </c>
      <c r="K119" t="s">
        <v>896</v>
      </c>
      <c r="L119" t="s">
        <v>43</v>
      </c>
      <c r="M119" s="2" t="s">
        <v>897</v>
      </c>
      <c r="N119" t="s">
        <v>31</v>
      </c>
      <c r="O119" t="s">
        <v>7881</v>
      </c>
      <c r="P119" t="s">
        <v>7888</v>
      </c>
      <c r="Q119" t="s">
        <v>87</v>
      </c>
      <c r="R119" t="s">
        <v>33</v>
      </c>
      <c r="S119" t="s">
        <v>34</v>
      </c>
      <c r="T119" s="1">
        <v>552500</v>
      </c>
      <c r="U119" s="1">
        <v>110500</v>
      </c>
      <c r="V119">
        <v>0</v>
      </c>
      <c r="W119" t="s">
        <v>898</v>
      </c>
    </row>
    <row r="120" spans="1:23" x14ac:dyDescent="0.25">
      <c r="A120">
        <v>24200</v>
      </c>
      <c r="B120" t="s">
        <v>23</v>
      </c>
      <c r="D120">
        <v>122</v>
      </c>
      <c r="E120" t="s">
        <v>899</v>
      </c>
      <c r="F120" t="s">
        <v>900</v>
      </c>
      <c r="G120" t="s">
        <v>901</v>
      </c>
      <c r="H120" t="s">
        <v>902</v>
      </c>
      <c r="I120" t="s">
        <v>903</v>
      </c>
      <c r="J120" t="s">
        <v>28</v>
      </c>
      <c r="K120" t="s">
        <v>904</v>
      </c>
      <c r="L120" t="s">
        <v>43</v>
      </c>
      <c r="M120">
        <v>2348023015246</v>
      </c>
      <c r="N120" t="s">
        <v>31</v>
      </c>
      <c r="O120" t="s">
        <v>7879</v>
      </c>
      <c r="P120" t="s">
        <v>7981</v>
      </c>
      <c r="Q120" t="s">
        <v>46</v>
      </c>
      <c r="R120" t="s">
        <v>33</v>
      </c>
      <c r="S120" t="s">
        <v>34</v>
      </c>
      <c r="T120" s="1">
        <v>195000</v>
      </c>
      <c r="U120">
        <v>0</v>
      </c>
      <c r="V120">
        <v>0</v>
      </c>
      <c r="W120" t="s">
        <v>905</v>
      </c>
    </row>
    <row r="121" spans="1:23" x14ac:dyDescent="0.25">
      <c r="A121">
        <v>24084</v>
      </c>
      <c r="B121" t="s">
        <v>23</v>
      </c>
      <c r="D121">
        <v>123</v>
      </c>
      <c r="E121" t="s">
        <v>906</v>
      </c>
      <c r="F121" t="s">
        <v>907</v>
      </c>
      <c r="G121" t="s">
        <v>91</v>
      </c>
      <c r="H121" t="s">
        <v>384</v>
      </c>
      <c r="I121" t="s">
        <v>908</v>
      </c>
      <c r="J121" t="s">
        <v>28</v>
      </c>
      <c r="K121" t="s">
        <v>909</v>
      </c>
      <c r="L121" t="s">
        <v>43</v>
      </c>
      <c r="M121" s="2" t="s">
        <v>910</v>
      </c>
      <c r="N121" t="s">
        <v>31</v>
      </c>
      <c r="O121" t="s">
        <v>7879</v>
      </c>
      <c r="P121" t="s">
        <v>7940</v>
      </c>
      <c r="Q121" t="s">
        <v>46</v>
      </c>
      <c r="R121" t="s">
        <v>33</v>
      </c>
      <c r="S121" t="s">
        <v>34</v>
      </c>
      <c r="T121" s="1">
        <v>195000</v>
      </c>
      <c r="U121">
        <v>0</v>
      </c>
      <c r="V121">
        <v>0</v>
      </c>
      <c r="W121" t="s">
        <v>911</v>
      </c>
    </row>
    <row r="122" spans="1:23" x14ac:dyDescent="0.25">
      <c r="A122">
        <v>24076</v>
      </c>
      <c r="B122" t="s">
        <v>23</v>
      </c>
      <c r="D122">
        <v>124</v>
      </c>
      <c r="E122" t="s">
        <v>912</v>
      </c>
      <c r="F122" t="s">
        <v>913</v>
      </c>
      <c r="G122" t="s">
        <v>914</v>
      </c>
      <c r="H122" t="s">
        <v>915</v>
      </c>
      <c r="I122" t="s">
        <v>916</v>
      </c>
      <c r="J122" t="s">
        <v>53</v>
      </c>
      <c r="K122" t="s">
        <v>266</v>
      </c>
      <c r="L122" t="s">
        <v>43</v>
      </c>
      <c r="M122" t="s">
        <v>917</v>
      </c>
      <c r="N122" t="s">
        <v>31</v>
      </c>
      <c r="O122" t="s">
        <v>7879</v>
      </c>
      <c r="P122" t="s">
        <v>7888</v>
      </c>
      <c r="Q122" t="s">
        <v>63</v>
      </c>
      <c r="R122" t="s">
        <v>33</v>
      </c>
      <c r="S122" t="s">
        <v>34</v>
      </c>
      <c r="T122" s="1">
        <v>195000</v>
      </c>
      <c r="U122">
        <v>0</v>
      </c>
      <c r="V122">
        <v>0</v>
      </c>
      <c r="W122" t="s">
        <v>918</v>
      </c>
    </row>
    <row r="123" spans="1:23" x14ac:dyDescent="0.25">
      <c r="A123">
        <v>24198</v>
      </c>
      <c r="B123" t="s">
        <v>23</v>
      </c>
      <c r="D123">
        <v>125</v>
      </c>
      <c r="E123" t="s">
        <v>919</v>
      </c>
      <c r="F123" t="s">
        <v>920</v>
      </c>
      <c r="G123" t="s">
        <v>921</v>
      </c>
      <c r="H123" t="s">
        <v>608</v>
      </c>
      <c r="I123" t="s">
        <v>922</v>
      </c>
      <c r="J123" t="s">
        <v>28</v>
      </c>
      <c r="K123" t="s">
        <v>923</v>
      </c>
      <c r="L123" t="s">
        <v>43</v>
      </c>
      <c r="M123" s="2" t="s">
        <v>924</v>
      </c>
      <c r="N123" t="s">
        <v>31</v>
      </c>
      <c r="O123" t="s">
        <v>7879</v>
      </c>
      <c r="P123" t="s">
        <v>7888</v>
      </c>
      <c r="Q123" t="s">
        <v>46</v>
      </c>
      <c r="R123" t="s">
        <v>33</v>
      </c>
      <c r="S123" t="s">
        <v>34</v>
      </c>
      <c r="T123" s="1">
        <v>195000</v>
      </c>
      <c r="U123">
        <v>0</v>
      </c>
      <c r="V123">
        <v>0</v>
      </c>
      <c r="W123" t="s">
        <v>925</v>
      </c>
    </row>
    <row r="124" spans="1:23" x14ac:dyDescent="0.25">
      <c r="A124">
        <v>24210</v>
      </c>
      <c r="B124" t="s">
        <v>23</v>
      </c>
      <c r="D124">
        <v>126</v>
      </c>
      <c r="E124" t="s">
        <v>926</v>
      </c>
      <c r="F124" t="s">
        <v>927</v>
      </c>
      <c r="G124" t="s">
        <v>592</v>
      </c>
      <c r="I124" t="s">
        <v>928</v>
      </c>
      <c r="J124" t="s">
        <v>28</v>
      </c>
      <c r="K124" t="s">
        <v>929</v>
      </c>
      <c r="L124" t="s">
        <v>43</v>
      </c>
      <c r="M124" s="2" t="s">
        <v>930</v>
      </c>
      <c r="N124" t="s">
        <v>31</v>
      </c>
      <c r="O124" t="s">
        <v>7879</v>
      </c>
      <c r="P124" t="s">
        <v>7888</v>
      </c>
      <c r="Q124" t="s">
        <v>46</v>
      </c>
      <c r="R124" t="s">
        <v>33</v>
      </c>
      <c r="S124" t="s">
        <v>34</v>
      </c>
      <c r="T124" s="1">
        <v>195000</v>
      </c>
      <c r="U124">
        <v>0</v>
      </c>
      <c r="V124">
        <v>0</v>
      </c>
      <c r="W124" t="s">
        <v>931</v>
      </c>
    </row>
    <row r="125" spans="1:23" x14ac:dyDescent="0.25">
      <c r="A125">
        <v>23184</v>
      </c>
      <c r="B125" t="s">
        <v>23</v>
      </c>
      <c r="D125">
        <v>127</v>
      </c>
      <c r="E125" t="s">
        <v>932</v>
      </c>
      <c r="F125" t="s">
        <v>933</v>
      </c>
      <c r="G125" t="s">
        <v>934</v>
      </c>
      <c r="H125" t="s">
        <v>181</v>
      </c>
      <c r="I125" t="s">
        <v>935</v>
      </c>
      <c r="J125" t="s">
        <v>53</v>
      </c>
      <c r="K125" t="s">
        <v>936</v>
      </c>
      <c r="L125" t="s">
        <v>43</v>
      </c>
      <c r="M125" s="2" t="s">
        <v>937</v>
      </c>
      <c r="N125" t="s">
        <v>31</v>
      </c>
      <c r="O125" t="s">
        <v>7879</v>
      </c>
      <c r="P125" t="s">
        <v>7893</v>
      </c>
      <c r="Q125" t="s">
        <v>46</v>
      </c>
      <c r="R125" t="s">
        <v>33</v>
      </c>
      <c r="S125" t="s">
        <v>34</v>
      </c>
      <c r="T125" s="1">
        <v>195000</v>
      </c>
      <c r="U125">
        <v>0</v>
      </c>
      <c r="V125">
        <v>0</v>
      </c>
      <c r="W125" t="s">
        <v>938</v>
      </c>
    </row>
    <row r="126" spans="1:23" x14ac:dyDescent="0.25">
      <c r="A126">
        <v>24205</v>
      </c>
      <c r="B126" t="s">
        <v>23</v>
      </c>
      <c r="D126">
        <v>128</v>
      </c>
      <c r="E126" t="s">
        <v>939</v>
      </c>
      <c r="F126" t="s">
        <v>940</v>
      </c>
      <c r="G126" t="s">
        <v>941</v>
      </c>
      <c r="H126" t="s">
        <v>942</v>
      </c>
      <c r="I126" t="s">
        <v>943</v>
      </c>
      <c r="J126" t="s">
        <v>28</v>
      </c>
      <c r="K126" t="s">
        <v>944</v>
      </c>
      <c r="L126" t="s">
        <v>43</v>
      </c>
      <c r="M126" s="2" t="s">
        <v>945</v>
      </c>
      <c r="N126" t="s">
        <v>31</v>
      </c>
      <c r="O126" t="s">
        <v>7879</v>
      </c>
      <c r="P126" t="s">
        <v>7888</v>
      </c>
      <c r="Q126" t="s">
        <v>46</v>
      </c>
      <c r="R126" t="s">
        <v>33</v>
      </c>
      <c r="S126" t="s">
        <v>34</v>
      </c>
      <c r="T126" s="1">
        <v>195000</v>
      </c>
      <c r="U126">
        <v>0</v>
      </c>
      <c r="V126">
        <v>0</v>
      </c>
      <c r="W126" t="s">
        <v>946</v>
      </c>
    </row>
    <row r="127" spans="1:23" x14ac:dyDescent="0.25">
      <c r="A127">
        <v>24220</v>
      </c>
      <c r="B127" t="s">
        <v>23</v>
      </c>
      <c r="D127">
        <v>129</v>
      </c>
      <c r="E127" t="s">
        <v>947</v>
      </c>
      <c r="F127" t="s">
        <v>948</v>
      </c>
      <c r="G127" t="s">
        <v>949</v>
      </c>
      <c r="H127" t="s">
        <v>950</v>
      </c>
      <c r="I127" t="s">
        <v>951</v>
      </c>
      <c r="J127" t="s">
        <v>28</v>
      </c>
      <c r="K127" t="s">
        <v>952</v>
      </c>
      <c r="L127" t="s">
        <v>453</v>
      </c>
      <c r="M127" t="s">
        <v>953</v>
      </c>
      <c r="N127" t="s">
        <v>31</v>
      </c>
      <c r="O127" t="s">
        <v>7879</v>
      </c>
      <c r="P127" t="s">
        <v>8028</v>
      </c>
      <c r="Q127" t="s">
        <v>455</v>
      </c>
      <c r="R127" t="s">
        <v>130</v>
      </c>
      <c r="S127" t="s">
        <v>131</v>
      </c>
      <c r="T127">
        <v>150</v>
      </c>
      <c r="U127">
        <v>0</v>
      </c>
      <c r="V127">
        <v>0</v>
      </c>
      <c r="W127" t="s">
        <v>954</v>
      </c>
    </row>
    <row r="128" spans="1:23" x14ac:dyDescent="0.25">
      <c r="A128">
        <v>24062</v>
      </c>
      <c r="B128" t="s">
        <v>23</v>
      </c>
      <c r="D128">
        <v>130</v>
      </c>
      <c r="E128" t="s">
        <v>955</v>
      </c>
      <c r="F128" t="s">
        <v>956</v>
      </c>
      <c r="G128" t="s">
        <v>957</v>
      </c>
      <c r="H128" t="s">
        <v>958</v>
      </c>
      <c r="I128" t="s">
        <v>959</v>
      </c>
      <c r="J128" t="s">
        <v>28</v>
      </c>
      <c r="K128" t="s">
        <v>960</v>
      </c>
      <c r="L128" t="s">
        <v>453</v>
      </c>
      <c r="M128" s="2" t="s">
        <v>961</v>
      </c>
      <c r="N128" t="s">
        <v>31</v>
      </c>
      <c r="O128" t="s">
        <v>7879</v>
      </c>
      <c r="P128" t="s">
        <v>7888</v>
      </c>
      <c r="Q128" t="s">
        <v>455</v>
      </c>
      <c r="R128" t="s">
        <v>130</v>
      </c>
      <c r="S128" t="s">
        <v>131</v>
      </c>
      <c r="T128">
        <v>150</v>
      </c>
      <c r="U128">
        <v>0</v>
      </c>
      <c r="V128">
        <v>0</v>
      </c>
      <c r="W128" t="s">
        <v>962</v>
      </c>
    </row>
    <row r="129" spans="1:23" x14ac:dyDescent="0.25">
      <c r="A129">
        <v>9697</v>
      </c>
      <c r="B129" t="s">
        <v>23</v>
      </c>
      <c r="D129">
        <v>131</v>
      </c>
      <c r="E129" t="s">
        <v>963</v>
      </c>
      <c r="F129" t="s">
        <v>964</v>
      </c>
      <c r="G129" t="s">
        <v>965</v>
      </c>
      <c r="H129" t="s">
        <v>966</v>
      </c>
      <c r="I129" t="s">
        <v>967</v>
      </c>
      <c r="J129" t="s">
        <v>28</v>
      </c>
      <c r="K129" t="s">
        <v>968</v>
      </c>
      <c r="L129" t="s">
        <v>453</v>
      </c>
      <c r="M129" s="2" t="s">
        <v>969</v>
      </c>
      <c r="N129" t="s">
        <v>45</v>
      </c>
      <c r="O129" t="s">
        <v>7881</v>
      </c>
      <c r="P129" t="s">
        <v>7893</v>
      </c>
      <c r="Q129" t="s">
        <v>455</v>
      </c>
      <c r="R129" t="s">
        <v>130</v>
      </c>
      <c r="S129" t="s">
        <v>131</v>
      </c>
      <c r="T129">
        <v>425</v>
      </c>
      <c r="U129">
        <v>0</v>
      </c>
      <c r="V129">
        <v>0</v>
      </c>
      <c r="W129" t="s">
        <v>970</v>
      </c>
    </row>
    <row r="130" spans="1:23" x14ac:dyDescent="0.25">
      <c r="A130">
        <v>24124</v>
      </c>
      <c r="B130" t="s">
        <v>23</v>
      </c>
      <c r="D130">
        <v>132</v>
      </c>
      <c r="E130" t="s">
        <v>971</v>
      </c>
      <c r="F130" t="s">
        <v>972</v>
      </c>
      <c r="G130" t="s">
        <v>973</v>
      </c>
      <c r="H130" t="s">
        <v>974</v>
      </c>
      <c r="I130" t="s">
        <v>975</v>
      </c>
      <c r="J130" t="s">
        <v>53</v>
      </c>
      <c r="K130" t="s">
        <v>976</v>
      </c>
      <c r="L130" t="s">
        <v>43</v>
      </c>
      <c r="M130" s="2" t="s">
        <v>977</v>
      </c>
      <c r="N130" t="s">
        <v>31</v>
      </c>
      <c r="O130" t="s">
        <v>7879</v>
      </c>
      <c r="P130" t="s">
        <v>7893</v>
      </c>
      <c r="Q130" t="s">
        <v>87</v>
      </c>
      <c r="R130" t="s">
        <v>33</v>
      </c>
      <c r="S130" t="s">
        <v>34</v>
      </c>
      <c r="T130" s="1">
        <v>195000</v>
      </c>
      <c r="U130">
        <v>0</v>
      </c>
      <c r="V130">
        <v>0</v>
      </c>
      <c r="W130" t="s">
        <v>978</v>
      </c>
    </row>
    <row r="131" spans="1:23" x14ac:dyDescent="0.25">
      <c r="A131">
        <v>24161</v>
      </c>
      <c r="B131" t="s">
        <v>23</v>
      </c>
      <c r="D131">
        <v>133</v>
      </c>
      <c r="E131" t="s">
        <v>979</v>
      </c>
      <c r="F131" t="s">
        <v>980</v>
      </c>
      <c r="G131" t="s">
        <v>981</v>
      </c>
      <c r="H131" t="s">
        <v>982</v>
      </c>
      <c r="I131" t="s">
        <v>983</v>
      </c>
      <c r="J131" t="s">
        <v>28</v>
      </c>
      <c r="K131" t="s">
        <v>984</v>
      </c>
      <c r="L131" t="s">
        <v>43</v>
      </c>
      <c r="M131">
        <v>2348064869355</v>
      </c>
      <c r="N131" t="s">
        <v>31</v>
      </c>
      <c r="O131" t="s">
        <v>7879</v>
      </c>
      <c r="P131" t="s">
        <v>8028</v>
      </c>
      <c r="Q131" t="s">
        <v>46</v>
      </c>
      <c r="R131" t="s">
        <v>33</v>
      </c>
      <c r="S131" t="s">
        <v>34</v>
      </c>
      <c r="T131" s="1">
        <v>195000</v>
      </c>
      <c r="U131">
        <v>0</v>
      </c>
      <c r="V131">
        <v>0</v>
      </c>
      <c r="W131" t="s">
        <v>985</v>
      </c>
    </row>
    <row r="132" spans="1:23" x14ac:dyDescent="0.25">
      <c r="A132">
        <v>4224</v>
      </c>
      <c r="B132" t="s">
        <v>23</v>
      </c>
      <c r="D132">
        <v>134</v>
      </c>
      <c r="E132" t="s">
        <v>986</v>
      </c>
      <c r="F132" t="s">
        <v>987</v>
      </c>
      <c r="G132" t="s">
        <v>988</v>
      </c>
      <c r="H132" t="s">
        <v>989</v>
      </c>
      <c r="I132" t="s">
        <v>990</v>
      </c>
      <c r="J132" t="s">
        <v>28</v>
      </c>
      <c r="K132" t="s">
        <v>991</v>
      </c>
      <c r="L132" t="s">
        <v>43</v>
      </c>
      <c r="M132">
        <v>8036187844</v>
      </c>
      <c r="N132" t="s">
        <v>31</v>
      </c>
      <c r="O132" t="s">
        <v>7886</v>
      </c>
      <c r="P132" t="s">
        <v>7888</v>
      </c>
      <c r="Q132" t="s">
        <v>46</v>
      </c>
      <c r="R132" t="s">
        <v>33</v>
      </c>
      <c r="S132" t="s">
        <v>34</v>
      </c>
      <c r="T132" s="1">
        <v>812500</v>
      </c>
      <c r="U132">
        <v>0</v>
      </c>
      <c r="V132" s="1">
        <v>162500</v>
      </c>
      <c r="W132" t="s">
        <v>992</v>
      </c>
    </row>
    <row r="133" spans="1:23" x14ac:dyDescent="0.25">
      <c r="A133">
        <v>24157</v>
      </c>
      <c r="B133" t="s">
        <v>23</v>
      </c>
      <c r="D133">
        <v>135</v>
      </c>
      <c r="E133" t="s">
        <v>993</v>
      </c>
      <c r="F133" t="s">
        <v>368</v>
      </c>
      <c r="G133" t="s">
        <v>981</v>
      </c>
      <c r="H133" t="s">
        <v>361</v>
      </c>
      <c r="I133" t="s">
        <v>994</v>
      </c>
      <c r="J133" t="s">
        <v>28</v>
      </c>
      <c r="K133" t="s">
        <v>995</v>
      </c>
      <c r="L133" t="s">
        <v>43</v>
      </c>
      <c r="M133" s="2" t="s">
        <v>996</v>
      </c>
      <c r="N133" t="s">
        <v>31</v>
      </c>
      <c r="O133" t="s">
        <v>7879</v>
      </c>
      <c r="P133" t="s">
        <v>7940</v>
      </c>
      <c r="Q133" t="s">
        <v>46</v>
      </c>
      <c r="R133" t="s">
        <v>33</v>
      </c>
      <c r="S133" t="s">
        <v>34</v>
      </c>
      <c r="T133" s="1">
        <v>195000</v>
      </c>
      <c r="U133">
        <v>0</v>
      </c>
      <c r="V133">
        <v>0</v>
      </c>
      <c r="W133" t="s">
        <v>997</v>
      </c>
    </row>
    <row r="134" spans="1:23" x14ac:dyDescent="0.25">
      <c r="A134">
        <v>24176</v>
      </c>
      <c r="B134" t="s">
        <v>23</v>
      </c>
      <c r="D134">
        <v>136</v>
      </c>
      <c r="E134" t="s">
        <v>998</v>
      </c>
      <c r="F134" t="s">
        <v>999</v>
      </c>
      <c r="G134" t="s">
        <v>1000</v>
      </c>
      <c r="I134" t="s">
        <v>1001</v>
      </c>
      <c r="J134" t="s">
        <v>53</v>
      </c>
      <c r="K134" t="s">
        <v>1002</v>
      </c>
      <c r="L134" t="s">
        <v>453</v>
      </c>
      <c r="M134">
        <v>233553718291</v>
      </c>
      <c r="N134" t="s">
        <v>31</v>
      </c>
      <c r="O134" t="s">
        <v>7879</v>
      </c>
      <c r="P134" t="s">
        <v>7940</v>
      </c>
      <c r="Q134" t="s">
        <v>455</v>
      </c>
      <c r="R134" t="s">
        <v>130</v>
      </c>
      <c r="S134" t="s">
        <v>131</v>
      </c>
      <c r="T134">
        <v>150</v>
      </c>
      <c r="U134">
        <v>0</v>
      </c>
      <c r="V134">
        <v>0</v>
      </c>
      <c r="W134" t="s">
        <v>1003</v>
      </c>
    </row>
    <row r="135" spans="1:23" x14ac:dyDescent="0.25">
      <c r="A135">
        <v>24199</v>
      </c>
      <c r="B135" t="s">
        <v>23</v>
      </c>
      <c r="D135">
        <v>137</v>
      </c>
      <c r="E135" t="s">
        <v>1004</v>
      </c>
      <c r="F135" t="s">
        <v>1005</v>
      </c>
      <c r="G135" t="s">
        <v>1006</v>
      </c>
      <c r="H135" t="s">
        <v>1007</v>
      </c>
      <c r="I135" t="s">
        <v>1008</v>
      </c>
      <c r="J135" t="s">
        <v>28</v>
      </c>
      <c r="K135" t="s">
        <v>1009</v>
      </c>
      <c r="L135" t="s">
        <v>43</v>
      </c>
      <c r="M135" s="2" t="s">
        <v>1010</v>
      </c>
      <c r="N135" t="s">
        <v>31</v>
      </c>
      <c r="O135" t="s">
        <v>7879</v>
      </c>
      <c r="P135" t="s">
        <v>7893</v>
      </c>
      <c r="Q135" t="s">
        <v>46</v>
      </c>
      <c r="R135" t="s">
        <v>33</v>
      </c>
      <c r="S135" t="s">
        <v>34</v>
      </c>
      <c r="T135" s="1">
        <v>195000</v>
      </c>
      <c r="U135">
        <v>0</v>
      </c>
      <c r="V135">
        <v>0</v>
      </c>
      <c r="W135" t="s">
        <v>1011</v>
      </c>
    </row>
    <row r="136" spans="1:23" x14ac:dyDescent="0.25">
      <c r="A136">
        <v>24053</v>
      </c>
      <c r="B136" t="s">
        <v>23</v>
      </c>
      <c r="D136">
        <v>138</v>
      </c>
      <c r="E136" t="s">
        <v>1012</v>
      </c>
      <c r="F136" t="s">
        <v>1013</v>
      </c>
      <c r="G136" t="s">
        <v>1014</v>
      </c>
      <c r="H136" t="s">
        <v>1015</v>
      </c>
      <c r="I136" t="s">
        <v>1016</v>
      </c>
      <c r="J136" t="s">
        <v>28</v>
      </c>
      <c r="K136" t="s">
        <v>1017</v>
      </c>
      <c r="L136" t="s">
        <v>43</v>
      </c>
      <c r="M136" s="2" t="s">
        <v>1018</v>
      </c>
      <c r="N136" t="s">
        <v>31</v>
      </c>
      <c r="O136" t="s">
        <v>7879</v>
      </c>
      <c r="P136" t="s">
        <v>7940</v>
      </c>
      <c r="Q136" t="s">
        <v>46</v>
      </c>
      <c r="R136" t="s">
        <v>33</v>
      </c>
      <c r="S136" t="s">
        <v>34</v>
      </c>
      <c r="T136" s="1">
        <v>195000</v>
      </c>
      <c r="U136">
        <v>0</v>
      </c>
      <c r="V136">
        <v>0</v>
      </c>
      <c r="W136" t="s">
        <v>1019</v>
      </c>
    </row>
    <row r="137" spans="1:23" x14ac:dyDescent="0.25">
      <c r="A137">
        <v>24168</v>
      </c>
      <c r="B137" t="s">
        <v>23</v>
      </c>
      <c r="D137">
        <v>139</v>
      </c>
      <c r="E137" t="s">
        <v>1020</v>
      </c>
      <c r="F137" t="s">
        <v>1021</v>
      </c>
      <c r="G137" t="s">
        <v>1022</v>
      </c>
      <c r="H137" t="s">
        <v>1023</v>
      </c>
      <c r="I137" t="s">
        <v>1024</v>
      </c>
      <c r="J137" t="s">
        <v>28</v>
      </c>
      <c r="K137" t="s">
        <v>1025</v>
      </c>
      <c r="L137" t="s">
        <v>43</v>
      </c>
      <c r="M137" s="2" t="s">
        <v>1026</v>
      </c>
      <c r="N137" t="s">
        <v>31</v>
      </c>
      <c r="O137" t="s">
        <v>7879</v>
      </c>
      <c r="P137" t="s">
        <v>7981</v>
      </c>
      <c r="Q137" t="s">
        <v>63</v>
      </c>
      <c r="R137" t="s">
        <v>33</v>
      </c>
      <c r="S137" t="s">
        <v>34</v>
      </c>
      <c r="T137" s="1">
        <v>195000</v>
      </c>
      <c r="U137">
        <v>0</v>
      </c>
      <c r="V137">
        <v>0</v>
      </c>
      <c r="W137" t="s">
        <v>1027</v>
      </c>
    </row>
    <row r="138" spans="1:23" x14ac:dyDescent="0.25">
      <c r="A138">
        <v>24219</v>
      </c>
      <c r="B138" t="s">
        <v>23</v>
      </c>
      <c r="D138">
        <v>140</v>
      </c>
      <c r="E138" t="s">
        <v>1028</v>
      </c>
      <c r="F138" t="s">
        <v>1029</v>
      </c>
      <c r="G138" t="s">
        <v>1030</v>
      </c>
      <c r="I138" t="s">
        <v>1031</v>
      </c>
      <c r="J138" t="s">
        <v>28</v>
      </c>
      <c r="K138" t="s">
        <v>1032</v>
      </c>
      <c r="L138" t="s">
        <v>43</v>
      </c>
      <c r="M138" s="2" t="s">
        <v>1033</v>
      </c>
      <c r="N138" t="s">
        <v>31</v>
      </c>
      <c r="O138" t="s">
        <v>7879</v>
      </c>
      <c r="P138" t="s">
        <v>7981</v>
      </c>
      <c r="Q138" t="s">
        <v>46</v>
      </c>
      <c r="R138" t="s">
        <v>33</v>
      </c>
      <c r="S138" t="s">
        <v>34</v>
      </c>
      <c r="T138" s="1">
        <v>195000</v>
      </c>
      <c r="U138">
        <v>0</v>
      </c>
      <c r="V138">
        <v>0</v>
      </c>
      <c r="W138" t="s">
        <v>1034</v>
      </c>
    </row>
    <row r="139" spans="1:23" x14ac:dyDescent="0.25">
      <c r="A139">
        <v>18598</v>
      </c>
      <c r="B139" t="s">
        <v>23</v>
      </c>
      <c r="D139">
        <v>141</v>
      </c>
      <c r="E139" t="s">
        <v>1035</v>
      </c>
      <c r="F139" t="s">
        <v>1036</v>
      </c>
      <c r="G139" t="s">
        <v>1037</v>
      </c>
      <c r="H139" t="s">
        <v>196</v>
      </c>
      <c r="I139" t="s">
        <v>1038</v>
      </c>
      <c r="J139" t="s">
        <v>53</v>
      </c>
      <c r="K139" t="s">
        <v>1039</v>
      </c>
      <c r="L139" t="s">
        <v>765</v>
      </c>
      <c r="M139">
        <v>23276384210</v>
      </c>
      <c r="N139" t="s">
        <v>45</v>
      </c>
      <c r="O139" t="s">
        <v>7881</v>
      </c>
      <c r="P139" t="s">
        <v>7893</v>
      </c>
      <c r="Q139" t="s">
        <v>46</v>
      </c>
      <c r="R139" t="s">
        <v>33</v>
      </c>
      <c r="S139" t="s">
        <v>34</v>
      </c>
      <c r="T139" s="1">
        <v>552500</v>
      </c>
      <c r="U139">
        <v>0</v>
      </c>
      <c r="V139">
        <v>0</v>
      </c>
      <c r="W139" t="s">
        <v>1040</v>
      </c>
    </row>
    <row r="140" spans="1:23" x14ac:dyDescent="0.25">
      <c r="A140">
        <v>24197</v>
      </c>
      <c r="B140" t="s">
        <v>23</v>
      </c>
      <c r="D140">
        <v>142</v>
      </c>
      <c r="E140" t="s">
        <v>1041</v>
      </c>
      <c r="F140" t="s">
        <v>1042</v>
      </c>
      <c r="G140" t="s">
        <v>1043</v>
      </c>
      <c r="H140" t="s">
        <v>1044</v>
      </c>
      <c r="I140" t="s">
        <v>1045</v>
      </c>
      <c r="J140" t="s">
        <v>53</v>
      </c>
      <c r="K140" t="s">
        <v>1046</v>
      </c>
      <c r="L140" t="s">
        <v>43</v>
      </c>
      <c r="M140" s="2" t="s">
        <v>1047</v>
      </c>
      <c r="N140" t="s">
        <v>31</v>
      </c>
      <c r="O140" t="s">
        <v>7879</v>
      </c>
      <c r="P140" t="s">
        <v>7893</v>
      </c>
      <c r="Q140" t="s">
        <v>46</v>
      </c>
      <c r="R140" t="s">
        <v>33</v>
      </c>
      <c r="S140" t="s">
        <v>34</v>
      </c>
      <c r="T140" s="1">
        <v>195000</v>
      </c>
      <c r="U140">
        <v>0</v>
      </c>
      <c r="V140">
        <v>0</v>
      </c>
      <c r="W140" t="s">
        <v>1048</v>
      </c>
    </row>
    <row r="141" spans="1:23" x14ac:dyDescent="0.25">
      <c r="A141">
        <v>11421</v>
      </c>
      <c r="B141" t="s">
        <v>23</v>
      </c>
      <c r="D141">
        <v>143</v>
      </c>
      <c r="E141" t="s">
        <v>1049</v>
      </c>
      <c r="F141" t="s">
        <v>1050</v>
      </c>
      <c r="G141" t="s">
        <v>1051</v>
      </c>
      <c r="H141" t="s">
        <v>1052</v>
      </c>
      <c r="I141" t="s">
        <v>1053</v>
      </c>
      <c r="J141" t="s">
        <v>53</v>
      </c>
      <c r="K141" t="s">
        <v>1054</v>
      </c>
      <c r="L141" t="s">
        <v>43</v>
      </c>
      <c r="M141" s="2" t="s">
        <v>1055</v>
      </c>
      <c r="N141" t="s">
        <v>45</v>
      </c>
      <c r="O141" t="s">
        <v>7881</v>
      </c>
      <c r="P141" t="s">
        <v>7893</v>
      </c>
      <c r="Q141" t="s">
        <v>46</v>
      </c>
      <c r="R141" t="s">
        <v>33</v>
      </c>
      <c r="S141" t="s">
        <v>34</v>
      </c>
      <c r="T141" s="1">
        <v>552500</v>
      </c>
      <c r="U141">
        <v>0</v>
      </c>
      <c r="V141">
        <v>0</v>
      </c>
      <c r="W141" t="s">
        <v>1056</v>
      </c>
    </row>
    <row r="142" spans="1:23" x14ac:dyDescent="0.25">
      <c r="A142">
        <v>6142</v>
      </c>
      <c r="B142" t="s">
        <v>23</v>
      </c>
      <c r="D142">
        <v>144</v>
      </c>
      <c r="E142" t="s">
        <v>1057</v>
      </c>
      <c r="F142" t="s">
        <v>1058</v>
      </c>
      <c r="G142" t="s">
        <v>1059</v>
      </c>
      <c r="H142" t="s">
        <v>1060</v>
      </c>
      <c r="I142" t="s">
        <v>1061</v>
      </c>
      <c r="J142" t="s">
        <v>28</v>
      </c>
      <c r="K142" t="s">
        <v>1062</v>
      </c>
      <c r="L142" t="s">
        <v>43</v>
      </c>
      <c r="M142">
        <v>8034224578</v>
      </c>
      <c r="N142" t="s">
        <v>31</v>
      </c>
      <c r="O142" t="s">
        <v>7879</v>
      </c>
      <c r="P142" t="s">
        <v>7981</v>
      </c>
      <c r="Q142" t="s">
        <v>46</v>
      </c>
      <c r="R142" t="s">
        <v>33</v>
      </c>
      <c r="S142" t="s">
        <v>34</v>
      </c>
      <c r="T142" s="1">
        <v>195000</v>
      </c>
      <c r="U142">
        <v>0</v>
      </c>
      <c r="V142">
        <v>0</v>
      </c>
      <c r="W142" t="s">
        <v>1063</v>
      </c>
    </row>
    <row r="143" spans="1:23" x14ac:dyDescent="0.25">
      <c r="A143">
        <v>23932</v>
      </c>
      <c r="B143" t="s">
        <v>23</v>
      </c>
      <c r="D143">
        <v>145</v>
      </c>
      <c r="E143" t="s">
        <v>1064</v>
      </c>
      <c r="F143" t="s">
        <v>1065</v>
      </c>
      <c r="G143" t="s">
        <v>598</v>
      </c>
      <c r="I143" t="s">
        <v>1066</v>
      </c>
      <c r="J143" t="s">
        <v>53</v>
      </c>
      <c r="K143" t="s">
        <v>1067</v>
      </c>
      <c r="L143" t="s">
        <v>453</v>
      </c>
      <c r="M143" s="2" t="s">
        <v>1068</v>
      </c>
      <c r="N143" t="s">
        <v>31</v>
      </c>
      <c r="O143" t="s">
        <v>7879</v>
      </c>
      <c r="P143" t="s">
        <v>7888</v>
      </c>
      <c r="Q143" t="s">
        <v>455</v>
      </c>
      <c r="R143" t="s">
        <v>130</v>
      </c>
      <c r="S143" t="s">
        <v>131</v>
      </c>
      <c r="T143">
        <v>150</v>
      </c>
      <c r="U143">
        <v>0</v>
      </c>
      <c r="V143">
        <v>0</v>
      </c>
      <c r="W143" t="s">
        <v>1069</v>
      </c>
    </row>
    <row r="144" spans="1:23" x14ac:dyDescent="0.25">
      <c r="A144">
        <v>6483</v>
      </c>
      <c r="B144" t="s">
        <v>23</v>
      </c>
      <c r="D144">
        <v>146</v>
      </c>
      <c r="E144" t="s">
        <v>1070</v>
      </c>
      <c r="F144" t="s">
        <v>1071</v>
      </c>
      <c r="G144" t="s">
        <v>827</v>
      </c>
      <c r="H144" t="s">
        <v>1072</v>
      </c>
      <c r="I144" t="s">
        <v>1073</v>
      </c>
      <c r="J144" t="s">
        <v>53</v>
      </c>
      <c r="K144" t="s">
        <v>1074</v>
      </c>
      <c r="L144" t="s">
        <v>43</v>
      </c>
      <c r="M144">
        <v>8056677789</v>
      </c>
      <c r="N144" t="s">
        <v>31</v>
      </c>
      <c r="O144" t="s">
        <v>7886</v>
      </c>
      <c r="P144" t="s">
        <v>7979</v>
      </c>
      <c r="Q144" t="s">
        <v>63</v>
      </c>
      <c r="R144" t="s">
        <v>33</v>
      </c>
      <c r="S144" t="s">
        <v>34</v>
      </c>
      <c r="T144" s="1">
        <v>812500</v>
      </c>
      <c r="U144" s="1">
        <v>110500</v>
      </c>
      <c r="V144" s="1">
        <v>162500</v>
      </c>
      <c r="W144" t="s">
        <v>1075</v>
      </c>
    </row>
    <row r="145" spans="1:23" x14ac:dyDescent="0.25">
      <c r="A145">
        <v>24113</v>
      </c>
      <c r="B145" t="s">
        <v>23</v>
      </c>
      <c r="D145">
        <v>147</v>
      </c>
      <c r="E145" t="s">
        <v>1076</v>
      </c>
      <c r="F145" t="s">
        <v>1077</v>
      </c>
      <c r="G145" t="s">
        <v>1078</v>
      </c>
      <c r="H145" t="s">
        <v>1079</v>
      </c>
      <c r="I145" t="s">
        <v>1080</v>
      </c>
      <c r="J145" t="s">
        <v>53</v>
      </c>
      <c r="K145" t="s">
        <v>1081</v>
      </c>
      <c r="L145" t="s">
        <v>43</v>
      </c>
      <c r="M145" s="2" t="s">
        <v>1082</v>
      </c>
      <c r="N145" t="s">
        <v>31</v>
      </c>
      <c r="O145" t="s">
        <v>7879</v>
      </c>
      <c r="P145" t="s">
        <v>7893</v>
      </c>
      <c r="Q145" t="s">
        <v>87</v>
      </c>
      <c r="R145" t="s">
        <v>33</v>
      </c>
      <c r="S145" t="s">
        <v>34</v>
      </c>
      <c r="T145" s="1">
        <v>195000</v>
      </c>
      <c r="U145">
        <v>0</v>
      </c>
      <c r="V145">
        <v>0</v>
      </c>
      <c r="W145" t="s">
        <v>1083</v>
      </c>
    </row>
    <row r="146" spans="1:23" x14ac:dyDescent="0.25">
      <c r="A146">
        <v>24227</v>
      </c>
      <c r="B146" t="s">
        <v>23</v>
      </c>
      <c r="D146">
        <v>148</v>
      </c>
      <c r="E146" t="s">
        <v>1084</v>
      </c>
      <c r="F146" t="s">
        <v>1085</v>
      </c>
      <c r="G146" t="s">
        <v>1086</v>
      </c>
      <c r="H146" t="s">
        <v>950</v>
      </c>
      <c r="I146" t="s">
        <v>1087</v>
      </c>
      <c r="J146" t="s">
        <v>28</v>
      </c>
      <c r="K146" t="s">
        <v>1088</v>
      </c>
      <c r="L146" t="s">
        <v>453</v>
      </c>
      <c r="M146" t="s">
        <v>1087</v>
      </c>
      <c r="N146" t="s">
        <v>31</v>
      </c>
      <c r="O146" t="s">
        <v>7879</v>
      </c>
      <c r="P146" t="s">
        <v>7940</v>
      </c>
      <c r="Q146" t="s">
        <v>455</v>
      </c>
      <c r="R146" t="s">
        <v>130</v>
      </c>
      <c r="S146" t="s">
        <v>131</v>
      </c>
      <c r="T146">
        <v>150</v>
      </c>
      <c r="U146">
        <v>0</v>
      </c>
      <c r="V146">
        <v>0</v>
      </c>
      <c r="W146" t="s">
        <v>1089</v>
      </c>
    </row>
    <row r="147" spans="1:23" x14ac:dyDescent="0.25">
      <c r="A147">
        <v>22400</v>
      </c>
      <c r="B147" t="s">
        <v>23</v>
      </c>
      <c r="D147">
        <v>149</v>
      </c>
      <c r="E147" t="s">
        <v>1090</v>
      </c>
      <c r="F147" t="s">
        <v>1091</v>
      </c>
      <c r="G147" t="s">
        <v>1092</v>
      </c>
      <c r="H147" t="s">
        <v>1093</v>
      </c>
      <c r="I147" t="s">
        <v>1094</v>
      </c>
      <c r="J147" t="s">
        <v>28</v>
      </c>
      <c r="K147" t="s">
        <v>1095</v>
      </c>
      <c r="L147" t="s">
        <v>453</v>
      </c>
      <c r="M147" s="2" t="s">
        <v>1096</v>
      </c>
      <c r="N147" t="s">
        <v>45</v>
      </c>
      <c r="O147" t="s">
        <v>7879</v>
      </c>
      <c r="P147" t="s">
        <v>7940</v>
      </c>
      <c r="Q147" t="s">
        <v>455</v>
      </c>
      <c r="R147" t="s">
        <v>130</v>
      </c>
      <c r="S147" t="s">
        <v>131</v>
      </c>
      <c r="T147">
        <v>150</v>
      </c>
      <c r="U147">
        <v>0</v>
      </c>
      <c r="V147">
        <v>0</v>
      </c>
      <c r="W147" t="s">
        <v>1097</v>
      </c>
    </row>
    <row r="148" spans="1:23" x14ac:dyDescent="0.25">
      <c r="A148">
        <v>18999</v>
      </c>
      <c r="B148" t="s">
        <v>23</v>
      </c>
      <c r="D148">
        <v>150</v>
      </c>
      <c r="E148" t="s">
        <v>1098</v>
      </c>
      <c r="F148" t="s">
        <v>1099</v>
      </c>
      <c r="G148" t="s">
        <v>1100</v>
      </c>
      <c r="H148" t="s">
        <v>1101</v>
      </c>
      <c r="I148" t="s">
        <v>1102</v>
      </c>
      <c r="J148" t="s">
        <v>53</v>
      </c>
      <c r="K148" t="s">
        <v>1103</v>
      </c>
      <c r="L148" t="s">
        <v>43</v>
      </c>
      <c r="M148" s="2" t="s">
        <v>1104</v>
      </c>
      <c r="N148" t="s">
        <v>31</v>
      </c>
      <c r="O148" t="s">
        <v>7881</v>
      </c>
      <c r="P148" t="s">
        <v>7981</v>
      </c>
      <c r="Q148" t="s">
        <v>63</v>
      </c>
      <c r="R148" t="s">
        <v>33</v>
      </c>
      <c r="S148" t="s">
        <v>34</v>
      </c>
      <c r="T148" s="1">
        <v>552500</v>
      </c>
      <c r="U148">
        <v>0</v>
      </c>
      <c r="V148">
        <v>0</v>
      </c>
      <c r="W148" t="s">
        <v>1105</v>
      </c>
    </row>
    <row r="149" spans="1:23" x14ac:dyDescent="0.25">
      <c r="A149">
        <v>20361</v>
      </c>
      <c r="B149" t="s">
        <v>23</v>
      </c>
      <c r="D149">
        <v>151</v>
      </c>
      <c r="E149" t="s">
        <v>1106</v>
      </c>
      <c r="F149" t="s">
        <v>1107</v>
      </c>
      <c r="G149" t="s">
        <v>1108</v>
      </c>
      <c r="H149" t="s">
        <v>1109</v>
      </c>
      <c r="I149" t="s">
        <v>1110</v>
      </c>
      <c r="J149" t="s">
        <v>28</v>
      </c>
      <c r="K149" t="s">
        <v>1111</v>
      </c>
      <c r="L149" t="s">
        <v>43</v>
      </c>
      <c r="M149" s="2" t="s">
        <v>1112</v>
      </c>
      <c r="N149" t="s">
        <v>31</v>
      </c>
      <c r="O149" t="s">
        <v>7881</v>
      </c>
      <c r="P149" t="s">
        <v>7981</v>
      </c>
      <c r="Q149" t="s">
        <v>46</v>
      </c>
      <c r="R149" t="s">
        <v>33</v>
      </c>
      <c r="S149" t="s">
        <v>34</v>
      </c>
      <c r="T149" s="1">
        <v>552500</v>
      </c>
      <c r="U149">
        <v>0</v>
      </c>
      <c r="V149">
        <v>0</v>
      </c>
      <c r="W149" t="s">
        <v>1113</v>
      </c>
    </row>
    <row r="150" spans="1:23" x14ac:dyDescent="0.25">
      <c r="A150">
        <v>6371</v>
      </c>
      <c r="B150" t="s">
        <v>23</v>
      </c>
      <c r="D150">
        <v>152</v>
      </c>
      <c r="E150" t="s">
        <v>1114</v>
      </c>
      <c r="F150" t="s">
        <v>1115</v>
      </c>
      <c r="G150" t="s">
        <v>1116</v>
      </c>
      <c r="H150" t="s">
        <v>1117</v>
      </c>
      <c r="I150" t="s">
        <v>7987</v>
      </c>
      <c r="J150" t="s">
        <v>28</v>
      </c>
      <c r="K150" t="s">
        <v>1118</v>
      </c>
      <c r="L150" t="s">
        <v>43</v>
      </c>
      <c r="M150">
        <v>8030910862</v>
      </c>
      <c r="N150" t="s">
        <v>45</v>
      </c>
      <c r="O150" t="s">
        <v>7881</v>
      </c>
      <c r="P150" t="s">
        <v>7981</v>
      </c>
      <c r="Q150" t="s">
        <v>46</v>
      </c>
      <c r="R150" t="s">
        <v>33</v>
      </c>
      <c r="S150" t="s">
        <v>34</v>
      </c>
      <c r="T150" s="1">
        <v>552500</v>
      </c>
      <c r="U150">
        <v>0</v>
      </c>
      <c r="V150">
        <v>0</v>
      </c>
      <c r="W150" t="s">
        <v>1119</v>
      </c>
    </row>
    <row r="151" spans="1:23" x14ac:dyDescent="0.25">
      <c r="A151">
        <v>19231</v>
      </c>
      <c r="B151" t="s">
        <v>23</v>
      </c>
      <c r="D151">
        <v>153</v>
      </c>
      <c r="E151" t="s">
        <v>1120</v>
      </c>
      <c r="F151" t="s">
        <v>1121</v>
      </c>
      <c r="G151" t="s">
        <v>723</v>
      </c>
      <c r="H151" t="s">
        <v>1122</v>
      </c>
      <c r="I151" t="s">
        <v>1123</v>
      </c>
      <c r="J151" t="s">
        <v>53</v>
      </c>
      <c r="K151" t="s">
        <v>1124</v>
      </c>
      <c r="L151" t="s">
        <v>43</v>
      </c>
      <c r="M151" s="2" t="s">
        <v>1125</v>
      </c>
      <c r="N151" t="s">
        <v>45</v>
      </c>
      <c r="O151" t="s">
        <v>7879</v>
      </c>
      <c r="P151" t="s">
        <v>7940</v>
      </c>
      <c r="Q151" t="s">
        <v>46</v>
      </c>
      <c r="R151" t="s">
        <v>33</v>
      </c>
      <c r="S151" t="s">
        <v>34</v>
      </c>
      <c r="T151" s="1">
        <v>195000</v>
      </c>
      <c r="U151">
        <v>0</v>
      </c>
      <c r="V151">
        <v>0</v>
      </c>
      <c r="W151" t="s">
        <v>1126</v>
      </c>
    </row>
    <row r="152" spans="1:23" x14ac:dyDescent="0.25">
      <c r="A152">
        <v>10704</v>
      </c>
      <c r="B152" t="s">
        <v>23</v>
      </c>
      <c r="D152">
        <v>154</v>
      </c>
      <c r="E152" t="s">
        <v>1127</v>
      </c>
      <c r="F152" t="s">
        <v>1128</v>
      </c>
      <c r="G152" t="s">
        <v>1129</v>
      </c>
      <c r="H152" t="s">
        <v>1130</v>
      </c>
      <c r="I152" t="s">
        <v>1131</v>
      </c>
      <c r="J152" t="s">
        <v>28</v>
      </c>
      <c r="K152" t="s">
        <v>1131</v>
      </c>
      <c r="L152" t="s">
        <v>43</v>
      </c>
      <c r="M152">
        <v>7037280245</v>
      </c>
      <c r="N152" t="s">
        <v>45</v>
      </c>
      <c r="O152" t="s">
        <v>7879</v>
      </c>
      <c r="P152" t="s">
        <v>7981</v>
      </c>
      <c r="Q152" t="s">
        <v>87</v>
      </c>
      <c r="R152" t="s">
        <v>33</v>
      </c>
      <c r="S152" t="s">
        <v>34</v>
      </c>
      <c r="T152" s="1">
        <v>195000</v>
      </c>
      <c r="U152">
        <v>0</v>
      </c>
      <c r="V152">
        <v>0</v>
      </c>
      <c r="W152" t="s">
        <v>1132</v>
      </c>
    </row>
    <row r="153" spans="1:23" x14ac:dyDescent="0.25">
      <c r="A153">
        <v>24231</v>
      </c>
      <c r="B153" t="s">
        <v>23</v>
      </c>
      <c r="D153">
        <v>155</v>
      </c>
      <c r="E153" t="s">
        <v>1133</v>
      </c>
      <c r="F153" t="s">
        <v>1134</v>
      </c>
      <c r="G153" t="s">
        <v>1135</v>
      </c>
      <c r="H153" t="s">
        <v>1136</v>
      </c>
      <c r="I153" t="s">
        <v>1137</v>
      </c>
      <c r="J153" t="s">
        <v>28</v>
      </c>
      <c r="K153" t="s">
        <v>1138</v>
      </c>
      <c r="L153" t="s">
        <v>43</v>
      </c>
      <c r="M153" s="2" t="s">
        <v>1139</v>
      </c>
      <c r="N153" t="s">
        <v>31</v>
      </c>
      <c r="O153" t="s">
        <v>7879</v>
      </c>
      <c r="P153" t="s">
        <v>7940</v>
      </c>
      <c r="Q153" t="s">
        <v>87</v>
      </c>
      <c r="R153" t="s">
        <v>33</v>
      </c>
      <c r="S153" t="s">
        <v>34</v>
      </c>
      <c r="T153" s="1">
        <v>195000</v>
      </c>
      <c r="U153">
        <v>0</v>
      </c>
      <c r="V153">
        <v>0</v>
      </c>
      <c r="W153" t="s">
        <v>1140</v>
      </c>
    </row>
    <row r="154" spans="1:23" x14ac:dyDescent="0.25">
      <c r="A154">
        <v>20603</v>
      </c>
      <c r="B154" t="s">
        <v>23</v>
      </c>
      <c r="D154">
        <v>156</v>
      </c>
      <c r="E154" t="s">
        <v>1141</v>
      </c>
      <c r="F154" t="s">
        <v>1142</v>
      </c>
      <c r="G154" t="s">
        <v>529</v>
      </c>
      <c r="H154" t="s">
        <v>1143</v>
      </c>
      <c r="I154" t="s">
        <v>7988</v>
      </c>
      <c r="J154" t="s">
        <v>53</v>
      </c>
      <c r="K154" t="s">
        <v>1144</v>
      </c>
      <c r="L154" t="s">
        <v>43</v>
      </c>
      <c r="M154" s="2" t="s">
        <v>1145</v>
      </c>
      <c r="N154" t="s">
        <v>31</v>
      </c>
      <c r="O154" t="s">
        <v>7886</v>
      </c>
      <c r="P154" t="s">
        <v>7981</v>
      </c>
      <c r="Q154" t="s">
        <v>46</v>
      </c>
      <c r="R154" t="s">
        <v>33</v>
      </c>
      <c r="S154" t="s">
        <v>34</v>
      </c>
      <c r="T154" s="1">
        <v>812500</v>
      </c>
      <c r="U154">
        <v>0</v>
      </c>
      <c r="V154" s="1">
        <v>162500</v>
      </c>
      <c r="W154" t="s">
        <v>1146</v>
      </c>
    </row>
    <row r="155" spans="1:23" x14ac:dyDescent="0.25">
      <c r="A155">
        <v>5312</v>
      </c>
      <c r="B155" t="s">
        <v>23</v>
      </c>
      <c r="D155">
        <v>157</v>
      </c>
      <c r="E155" t="s">
        <v>1147</v>
      </c>
      <c r="F155" t="s">
        <v>1148</v>
      </c>
      <c r="G155" t="s">
        <v>1149</v>
      </c>
      <c r="H155" t="s">
        <v>1150</v>
      </c>
      <c r="I155" t="s">
        <v>1151</v>
      </c>
      <c r="J155" t="s">
        <v>53</v>
      </c>
      <c r="K155" t="s">
        <v>1152</v>
      </c>
      <c r="L155" t="s">
        <v>30</v>
      </c>
      <c r="M155" t="s">
        <v>1153</v>
      </c>
      <c r="N155" t="s">
        <v>45</v>
      </c>
      <c r="O155" t="s">
        <v>7881</v>
      </c>
      <c r="P155" t="s">
        <v>7893</v>
      </c>
      <c r="Q155" t="s">
        <v>455</v>
      </c>
      <c r="R155" t="s">
        <v>33</v>
      </c>
      <c r="S155" t="s">
        <v>34</v>
      </c>
      <c r="T155" s="1">
        <v>552500</v>
      </c>
      <c r="U155">
        <v>0</v>
      </c>
      <c r="V155">
        <v>0</v>
      </c>
      <c r="W155" t="s">
        <v>1154</v>
      </c>
    </row>
    <row r="156" spans="1:23" x14ac:dyDescent="0.25">
      <c r="A156">
        <v>394</v>
      </c>
      <c r="B156" t="s">
        <v>23</v>
      </c>
      <c r="D156">
        <v>158</v>
      </c>
      <c r="E156" t="s">
        <v>1155</v>
      </c>
      <c r="F156" t="s">
        <v>1156</v>
      </c>
      <c r="G156" t="s">
        <v>98</v>
      </c>
      <c r="H156" t="s">
        <v>1157</v>
      </c>
      <c r="I156" t="s">
        <v>1158</v>
      </c>
      <c r="J156" t="s">
        <v>53</v>
      </c>
      <c r="K156" t="s">
        <v>1159</v>
      </c>
      <c r="L156" t="s">
        <v>43</v>
      </c>
      <c r="M156" s="2" t="s">
        <v>1160</v>
      </c>
      <c r="N156" t="s">
        <v>31</v>
      </c>
      <c r="O156" t="s">
        <v>7886</v>
      </c>
      <c r="P156" t="s">
        <v>7940</v>
      </c>
      <c r="Q156" t="s">
        <v>63</v>
      </c>
      <c r="R156" t="s">
        <v>33</v>
      </c>
      <c r="S156" t="s">
        <v>34</v>
      </c>
      <c r="T156" s="1">
        <v>812500</v>
      </c>
      <c r="U156">
        <v>0</v>
      </c>
      <c r="V156" s="1">
        <v>162500</v>
      </c>
      <c r="W156" t="s">
        <v>1161</v>
      </c>
    </row>
    <row r="157" spans="1:23" x14ac:dyDescent="0.25">
      <c r="A157">
        <v>24236</v>
      </c>
      <c r="B157" t="s">
        <v>23</v>
      </c>
      <c r="D157">
        <v>159</v>
      </c>
      <c r="E157" t="s">
        <v>1162</v>
      </c>
      <c r="F157" t="s">
        <v>1163</v>
      </c>
      <c r="G157" t="s">
        <v>1164</v>
      </c>
      <c r="H157" t="s">
        <v>1165</v>
      </c>
      <c r="I157" t="s">
        <v>1166</v>
      </c>
      <c r="J157" t="s">
        <v>28</v>
      </c>
      <c r="K157" t="s">
        <v>1167</v>
      </c>
      <c r="L157" t="s">
        <v>43</v>
      </c>
      <c r="M157">
        <v>2348065974875</v>
      </c>
      <c r="N157" t="s">
        <v>31</v>
      </c>
      <c r="O157" t="s">
        <v>7879</v>
      </c>
      <c r="P157" t="s">
        <v>7981</v>
      </c>
      <c r="Q157" t="s">
        <v>87</v>
      </c>
      <c r="R157" t="s">
        <v>33</v>
      </c>
      <c r="S157" t="s">
        <v>34</v>
      </c>
      <c r="T157" s="1">
        <v>195000</v>
      </c>
      <c r="U157">
        <v>0</v>
      </c>
      <c r="V157">
        <v>0</v>
      </c>
      <c r="W157" t="s">
        <v>1168</v>
      </c>
    </row>
    <row r="158" spans="1:23" x14ac:dyDescent="0.25">
      <c r="A158">
        <v>24167</v>
      </c>
      <c r="B158" t="s">
        <v>23</v>
      </c>
      <c r="D158">
        <v>160</v>
      </c>
      <c r="E158" t="s">
        <v>1169</v>
      </c>
      <c r="F158" t="s">
        <v>1170</v>
      </c>
      <c r="G158" t="s">
        <v>1171</v>
      </c>
      <c r="I158" t="s">
        <v>1172</v>
      </c>
      <c r="J158" t="s">
        <v>28</v>
      </c>
      <c r="K158" t="s">
        <v>1173</v>
      </c>
      <c r="L158" t="s">
        <v>453</v>
      </c>
      <c r="M158" t="s">
        <v>1174</v>
      </c>
      <c r="N158" t="s">
        <v>31</v>
      </c>
      <c r="O158" t="s">
        <v>7879</v>
      </c>
      <c r="P158" t="s">
        <v>7888</v>
      </c>
      <c r="Q158" t="s">
        <v>455</v>
      </c>
      <c r="R158" t="s">
        <v>130</v>
      </c>
      <c r="S158" t="s">
        <v>131</v>
      </c>
      <c r="T158">
        <v>150</v>
      </c>
      <c r="U158">
        <v>0</v>
      </c>
      <c r="V158">
        <v>0</v>
      </c>
      <c r="W158" t="s">
        <v>1175</v>
      </c>
    </row>
    <row r="159" spans="1:23" x14ac:dyDescent="0.25">
      <c r="A159">
        <v>18126</v>
      </c>
      <c r="B159" t="s">
        <v>23</v>
      </c>
      <c r="D159">
        <v>161</v>
      </c>
      <c r="E159" t="s">
        <v>1176</v>
      </c>
      <c r="F159" t="s">
        <v>1177</v>
      </c>
      <c r="G159" t="s">
        <v>1178</v>
      </c>
      <c r="H159" t="s">
        <v>1179</v>
      </c>
      <c r="I159" t="s">
        <v>7902</v>
      </c>
      <c r="J159" t="s">
        <v>28</v>
      </c>
      <c r="K159" t="s">
        <v>717</v>
      </c>
      <c r="L159" t="s">
        <v>43</v>
      </c>
      <c r="M159" s="2" t="s">
        <v>1180</v>
      </c>
      <c r="N159" t="s">
        <v>45</v>
      </c>
      <c r="O159" t="s">
        <v>7881</v>
      </c>
      <c r="P159" t="s">
        <v>7893</v>
      </c>
      <c r="Q159" t="s">
        <v>46</v>
      </c>
      <c r="R159" t="s">
        <v>33</v>
      </c>
      <c r="S159" t="s">
        <v>34</v>
      </c>
      <c r="T159" s="1">
        <v>552500</v>
      </c>
      <c r="U159">
        <v>0</v>
      </c>
      <c r="V159">
        <v>0</v>
      </c>
      <c r="W159" t="s">
        <v>1181</v>
      </c>
    </row>
    <row r="160" spans="1:23" x14ac:dyDescent="0.25">
      <c r="A160">
        <v>19410</v>
      </c>
      <c r="B160" t="s">
        <v>23</v>
      </c>
      <c r="D160">
        <v>162</v>
      </c>
      <c r="E160" t="s">
        <v>1182</v>
      </c>
      <c r="F160" t="s">
        <v>1183</v>
      </c>
      <c r="G160" t="s">
        <v>465</v>
      </c>
      <c r="H160" t="s">
        <v>1184</v>
      </c>
      <c r="I160" t="s">
        <v>1185</v>
      </c>
      <c r="J160" t="s">
        <v>53</v>
      </c>
      <c r="K160" t="s">
        <v>1186</v>
      </c>
      <c r="L160" t="s">
        <v>43</v>
      </c>
      <c r="M160" s="2" t="s">
        <v>1187</v>
      </c>
      <c r="N160" t="s">
        <v>31</v>
      </c>
      <c r="O160" t="s">
        <v>7881</v>
      </c>
      <c r="P160" t="s">
        <v>7893</v>
      </c>
      <c r="Q160" t="s">
        <v>46</v>
      </c>
      <c r="R160" t="s">
        <v>33</v>
      </c>
      <c r="S160" t="s">
        <v>34</v>
      </c>
      <c r="T160" s="1">
        <v>552500</v>
      </c>
      <c r="U160">
        <v>0</v>
      </c>
      <c r="V160">
        <v>0</v>
      </c>
      <c r="W160" t="s">
        <v>1188</v>
      </c>
    </row>
    <row r="161" spans="1:23" x14ac:dyDescent="0.25">
      <c r="A161">
        <v>24143</v>
      </c>
      <c r="B161" t="s">
        <v>23</v>
      </c>
      <c r="D161">
        <v>163</v>
      </c>
      <c r="E161" t="s">
        <v>1189</v>
      </c>
      <c r="F161" t="s">
        <v>1190</v>
      </c>
      <c r="G161" t="s">
        <v>528</v>
      </c>
      <c r="H161" t="s">
        <v>1191</v>
      </c>
      <c r="I161" t="s">
        <v>1192</v>
      </c>
      <c r="J161" t="s">
        <v>53</v>
      </c>
      <c r="K161" t="s">
        <v>1193</v>
      </c>
      <c r="L161" t="s">
        <v>43</v>
      </c>
      <c r="M161">
        <v>2348039613187</v>
      </c>
      <c r="N161" t="s">
        <v>31</v>
      </c>
      <c r="O161" t="s">
        <v>7879</v>
      </c>
      <c r="P161" t="s">
        <v>7893</v>
      </c>
      <c r="Q161" t="s">
        <v>87</v>
      </c>
      <c r="R161" t="s">
        <v>33</v>
      </c>
      <c r="S161" t="s">
        <v>34</v>
      </c>
      <c r="T161" s="1">
        <v>195000</v>
      </c>
      <c r="U161">
        <v>0</v>
      </c>
      <c r="V161">
        <v>0</v>
      </c>
      <c r="W161" t="s">
        <v>1194</v>
      </c>
    </row>
    <row r="162" spans="1:23" x14ac:dyDescent="0.25">
      <c r="A162">
        <v>19498</v>
      </c>
      <c r="B162" t="s">
        <v>23</v>
      </c>
      <c r="D162">
        <v>164</v>
      </c>
      <c r="E162" t="s">
        <v>1195</v>
      </c>
      <c r="F162" t="s">
        <v>1196</v>
      </c>
      <c r="G162" t="s">
        <v>1197</v>
      </c>
      <c r="H162" t="s">
        <v>1198</v>
      </c>
      <c r="I162" t="s">
        <v>1199</v>
      </c>
      <c r="J162" t="s">
        <v>28</v>
      </c>
      <c r="K162" t="s">
        <v>1200</v>
      </c>
      <c r="L162" t="s">
        <v>43</v>
      </c>
      <c r="M162" s="2" t="s">
        <v>1201</v>
      </c>
      <c r="N162" t="s">
        <v>45</v>
      </c>
      <c r="O162" t="s">
        <v>7879</v>
      </c>
      <c r="P162" t="s">
        <v>7981</v>
      </c>
      <c r="Q162" t="s">
        <v>87</v>
      </c>
      <c r="R162" t="s">
        <v>33</v>
      </c>
      <c r="S162" t="s">
        <v>34</v>
      </c>
      <c r="T162" s="1">
        <v>195000</v>
      </c>
      <c r="U162">
        <v>0</v>
      </c>
      <c r="V162">
        <v>0</v>
      </c>
      <c r="W162" t="s">
        <v>1202</v>
      </c>
    </row>
    <row r="163" spans="1:23" x14ac:dyDescent="0.25">
      <c r="A163">
        <v>8124</v>
      </c>
      <c r="B163" t="s">
        <v>23</v>
      </c>
      <c r="D163">
        <v>165</v>
      </c>
      <c r="E163" t="s">
        <v>1203</v>
      </c>
      <c r="F163" t="s">
        <v>1204</v>
      </c>
      <c r="G163" t="s">
        <v>1205</v>
      </c>
      <c r="H163" t="s">
        <v>649</v>
      </c>
      <c r="I163" t="s">
        <v>7941</v>
      </c>
      <c r="J163" t="s">
        <v>28</v>
      </c>
      <c r="K163" t="s">
        <v>1206</v>
      </c>
      <c r="L163" t="s">
        <v>43</v>
      </c>
      <c r="M163">
        <v>8033969831</v>
      </c>
      <c r="N163" t="s">
        <v>1207</v>
      </c>
      <c r="O163" t="s">
        <v>7886</v>
      </c>
      <c r="P163" t="s">
        <v>7940</v>
      </c>
      <c r="Q163" t="s">
        <v>46</v>
      </c>
      <c r="R163" t="s">
        <v>33</v>
      </c>
      <c r="S163" t="s">
        <v>34</v>
      </c>
      <c r="T163" s="1">
        <v>812500</v>
      </c>
      <c r="U163">
        <v>0</v>
      </c>
      <c r="V163" s="1">
        <v>162500</v>
      </c>
      <c r="W163" t="s">
        <v>1208</v>
      </c>
    </row>
    <row r="164" spans="1:23" x14ac:dyDescent="0.25">
      <c r="A164">
        <v>5835</v>
      </c>
      <c r="B164" t="s">
        <v>23</v>
      </c>
      <c r="D164">
        <v>166</v>
      </c>
      <c r="E164" t="s">
        <v>1209</v>
      </c>
      <c r="F164" t="s">
        <v>209</v>
      </c>
      <c r="G164" t="s">
        <v>1210</v>
      </c>
      <c r="H164" t="s">
        <v>1211</v>
      </c>
      <c r="I164" t="s">
        <v>1212</v>
      </c>
      <c r="J164" t="s">
        <v>53</v>
      </c>
      <c r="K164" t="s">
        <v>1213</v>
      </c>
      <c r="L164" t="s">
        <v>43</v>
      </c>
      <c r="M164" s="2" t="s">
        <v>1214</v>
      </c>
      <c r="N164" t="s">
        <v>31</v>
      </c>
      <c r="O164" t="s">
        <v>7886</v>
      </c>
      <c r="P164" t="s">
        <v>7940</v>
      </c>
      <c r="Q164" t="s">
        <v>46</v>
      </c>
      <c r="R164" t="s">
        <v>33</v>
      </c>
      <c r="S164" t="s">
        <v>34</v>
      </c>
      <c r="T164" s="1">
        <v>812500</v>
      </c>
      <c r="U164">
        <v>0</v>
      </c>
      <c r="V164" s="1">
        <v>162500</v>
      </c>
      <c r="W164" t="s">
        <v>1215</v>
      </c>
    </row>
    <row r="165" spans="1:23" x14ac:dyDescent="0.25">
      <c r="A165">
        <v>19271</v>
      </c>
      <c r="B165" t="s">
        <v>23</v>
      </c>
      <c r="D165">
        <v>167</v>
      </c>
      <c r="E165" t="s">
        <v>1216</v>
      </c>
      <c r="F165" t="s">
        <v>1217</v>
      </c>
      <c r="G165" t="s">
        <v>1218</v>
      </c>
      <c r="H165" t="s">
        <v>1219</v>
      </c>
      <c r="I165" t="s">
        <v>7904</v>
      </c>
      <c r="J165" t="s">
        <v>53</v>
      </c>
      <c r="K165" t="s">
        <v>1220</v>
      </c>
      <c r="L165" t="s">
        <v>30</v>
      </c>
      <c r="M165">
        <v>2203627407</v>
      </c>
      <c r="N165" t="s">
        <v>45</v>
      </c>
      <c r="O165" t="s">
        <v>7881</v>
      </c>
      <c r="P165" t="s">
        <v>7893</v>
      </c>
      <c r="Q165" t="s">
        <v>455</v>
      </c>
      <c r="R165" t="s">
        <v>33</v>
      </c>
      <c r="S165" t="s">
        <v>34</v>
      </c>
      <c r="T165" s="1">
        <v>552500</v>
      </c>
      <c r="U165">
        <v>0</v>
      </c>
      <c r="V165">
        <v>0</v>
      </c>
      <c r="W165" t="s">
        <v>1221</v>
      </c>
    </row>
    <row r="166" spans="1:23" x14ac:dyDescent="0.25">
      <c r="A166">
        <v>17014</v>
      </c>
      <c r="B166" t="s">
        <v>23</v>
      </c>
      <c r="D166">
        <v>168</v>
      </c>
      <c r="E166" t="s">
        <v>1222</v>
      </c>
      <c r="F166" t="s">
        <v>1223</v>
      </c>
      <c r="G166" t="s">
        <v>1224</v>
      </c>
      <c r="H166" t="s">
        <v>196</v>
      </c>
      <c r="I166" t="s">
        <v>7942</v>
      </c>
      <c r="J166" t="s">
        <v>53</v>
      </c>
      <c r="K166" t="s">
        <v>1225</v>
      </c>
      <c r="L166" t="s">
        <v>43</v>
      </c>
      <c r="M166">
        <v>8054461110</v>
      </c>
      <c r="N166" t="s">
        <v>31</v>
      </c>
      <c r="O166" t="s">
        <v>7886</v>
      </c>
      <c r="P166" t="s">
        <v>7940</v>
      </c>
      <c r="Q166" t="s">
        <v>46</v>
      </c>
      <c r="R166" t="s">
        <v>33</v>
      </c>
      <c r="S166" t="s">
        <v>34</v>
      </c>
      <c r="T166" s="1">
        <v>812500</v>
      </c>
      <c r="U166">
        <v>0</v>
      </c>
      <c r="V166" s="1">
        <v>162500</v>
      </c>
      <c r="W166" t="s">
        <v>1226</v>
      </c>
    </row>
    <row r="167" spans="1:23" x14ac:dyDescent="0.25">
      <c r="A167">
        <v>2897</v>
      </c>
      <c r="B167" t="s">
        <v>23</v>
      </c>
      <c r="D167">
        <v>169</v>
      </c>
      <c r="E167" t="s">
        <v>1227</v>
      </c>
      <c r="F167" t="s">
        <v>1228</v>
      </c>
      <c r="G167" t="s">
        <v>1229</v>
      </c>
      <c r="H167" t="s">
        <v>1219</v>
      </c>
      <c r="I167" t="s">
        <v>1230</v>
      </c>
      <c r="J167" t="s">
        <v>53</v>
      </c>
      <c r="K167" t="s">
        <v>1152</v>
      </c>
      <c r="L167" t="s">
        <v>30</v>
      </c>
      <c r="M167">
        <v>2207178515</v>
      </c>
      <c r="N167" t="s">
        <v>45</v>
      </c>
      <c r="O167" t="s">
        <v>7881</v>
      </c>
      <c r="P167" t="s">
        <v>7893</v>
      </c>
      <c r="Q167" t="s">
        <v>455</v>
      </c>
      <c r="R167" t="s">
        <v>33</v>
      </c>
      <c r="S167" t="s">
        <v>34</v>
      </c>
      <c r="T167" s="1">
        <v>552500</v>
      </c>
      <c r="U167">
        <v>0</v>
      </c>
      <c r="V167">
        <v>0</v>
      </c>
      <c r="W167" t="s">
        <v>1231</v>
      </c>
    </row>
    <row r="168" spans="1:23" x14ac:dyDescent="0.25">
      <c r="A168">
        <v>20917</v>
      </c>
      <c r="B168" t="s">
        <v>23</v>
      </c>
      <c r="D168">
        <v>170</v>
      </c>
      <c r="E168" t="s">
        <v>1232</v>
      </c>
      <c r="F168" t="s">
        <v>1233</v>
      </c>
      <c r="G168" t="s">
        <v>507</v>
      </c>
      <c r="H168" t="s">
        <v>1234</v>
      </c>
      <c r="I168" t="s">
        <v>1235</v>
      </c>
      <c r="J168" t="s">
        <v>28</v>
      </c>
      <c r="K168" t="s">
        <v>1236</v>
      </c>
      <c r="L168" t="s">
        <v>43</v>
      </c>
      <c r="M168" s="2" t="s">
        <v>1237</v>
      </c>
      <c r="N168" t="s">
        <v>45</v>
      </c>
      <c r="O168" t="s">
        <v>7881</v>
      </c>
      <c r="P168" t="s">
        <v>7888</v>
      </c>
      <c r="Q168" t="s">
        <v>63</v>
      </c>
      <c r="R168" t="s">
        <v>33</v>
      </c>
      <c r="S168" t="s">
        <v>34</v>
      </c>
      <c r="T168" s="1">
        <v>552500</v>
      </c>
      <c r="U168" s="1">
        <v>110500</v>
      </c>
      <c r="V168">
        <v>0</v>
      </c>
      <c r="W168" t="s">
        <v>1238</v>
      </c>
    </row>
    <row r="169" spans="1:23" x14ac:dyDescent="0.25">
      <c r="A169">
        <v>19837</v>
      </c>
      <c r="B169" t="s">
        <v>23</v>
      </c>
      <c r="D169">
        <v>171</v>
      </c>
      <c r="E169" t="s">
        <v>1239</v>
      </c>
      <c r="F169" t="s">
        <v>1240</v>
      </c>
      <c r="G169" t="s">
        <v>1241</v>
      </c>
      <c r="H169" t="s">
        <v>1242</v>
      </c>
      <c r="I169" t="s">
        <v>1243</v>
      </c>
      <c r="J169" t="s">
        <v>53</v>
      </c>
      <c r="K169" t="s">
        <v>1244</v>
      </c>
      <c r="L169" t="s">
        <v>43</v>
      </c>
      <c r="M169" s="2" t="s">
        <v>1245</v>
      </c>
      <c r="N169" t="s">
        <v>45</v>
      </c>
      <c r="O169" t="s">
        <v>7879</v>
      </c>
      <c r="P169" t="s">
        <v>7888</v>
      </c>
      <c r="Q169" t="s">
        <v>87</v>
      </c>
      <c r="R169" t="s">
        <v>33</v>
      </c>
      <c r="S169" t="s">
        <v>34</v>
      </c>
      <c r="T169" s="1">
        <v>195000</v>
      </c>
      <c r="U169">
        <v>0</v>
      </c>
      <c r="V169">
        <v>0</v>
      </c>
      <c r="W169" t="s">
        <v>1246</v>
      </c>
    </row>
    <row r="170" spans="1:23" x14ac:dyDescent="0.25">
      <c r="A170">
        <v>24248</v>
      </c>
      <c r="B170" t="s">
        <v>23</v>
      </c>
      <c r="D170">
        <v>172</v>
      </c>
      <c r="E170" t="s">
        <v>1247</v>
      </c>
      <c r="F170" t="s">
        <v>1248</v>
      </c>
      <c r="G170" t="s">
        <v>1249</v>
      </c>
      <c r="H170" t="s">
        <v>1250</v>
      </c>
      <c r="I170" t="s">
        <v>1251</v>
      </c>
      <c r="J170" t="s">
        <v>28</v>
      </c>
      <c r="K170" t="s">
        <v>1252</v>
      </c>
      <c r="L170" t="s">
        <v>43</v>
      </c>
      <c r="M170" s="2" t="s">
        <v>1253</v>
      </c>
      <c r="N170" t="s">
        <v>31</v>
      </c>
      <c r="O170" t="s">
        <v>7879</v>
      </c>
      <c r="P170" t="s">
        <v>7940</v>
      </c>
      <c r="Q170" t="s">
        <v>63</v>
      </c>
      <c r="R170" t="s">
        <v>33</v>
      </c>
      <c r="S170" t="s">
        <v>34</v>
      </c>
      <c r="T170" s="1">
        <v>195000</v>
      </c>
      <c r="U170">
        <v>0</v>
      </c>
      <c r="V170">
        <v>0</v>
      </c>
      <c r="W170" t="s">
        <v>1254</v>
      </c>
    </row>
    <row r="171" spans="1:23" x14ac:dyDescent="0.25">
      <c r="A171">
        <v>20704</v>
      </c>
      <c r="B171" t="s">
        <v>23</v>
      </c>
      <c r="D171">
        <v>173</v>
      </c>
      <c r="E171" t="s">
        <v>1255</v>
      </c>
      <c r="F171" t="s">
        <v>1256</v>
      </c>
      <c r="G171" t="s">
        <v>1257</v>
      </c>
      <c r="H171" t="s">
        <v>196</v>
      </c>
      <c r="I171" t="s">
        <v>1258</v>
      </c>
      <c r="J171" t="s">
        <v>28</v>
      </c>
      <c r="K171" t="s">
        <v>1118</v>
      </c>
      <c r="L171" t="s">
        <v>43</v>
      </c>
      <c r="M171" s="2" t="s">
        <v>1259</v>
      </c>
      <c r="N171" t="s">
        <v>31</v>
      </c>
      <c r="O171" t="s">
        <v>7881</v>
      </c>
      <c r="P171" t="s">
        <v>7888</v>
      </c>
      <c r="Q171" t="s">
        <v>87</v>
      </c>
      <c r="R171" t="s">
        <v>33</v>
      </c>
      <c r="S171" t="s">
        <v>34</v>
      </c>
      <c r="T171" s="1">
        <v>552500</v>
      </c>
      <c r="U171" s="1">
        <v>110500</v>
      </c>
      <c r="V171">
        <v>0</v>
      </c>
      <c r="W171" t="s">
        <v>1260</v>
      </c>
    </row>
    <row r="172" spans="1:23" x14ac:dyDescent="0.25">
      <c r="A172">
        <v>23490</v>
      </c>
      <c r="B172" t="s">
        <v>23</v>
      </c>
      <c r="D172">
        <v>174</v>
      </c>
      <c r="E172" t="s">
        <v>1261</v>
      </c>
      <c r="F172" t="s">
        <v>1262</v>
      </c>
      <c r="G172" t="s">
        <v>1263</v>
      </c>
      <c r="H172" t="s">
        <v>1264</v>
      </c>
      <c r="I172" t="s">
        <v>1265</v>
      </c>
      <c r="J172" t="s">
        <v>28</v>
      </c>
      <c r="K172" t="s">
        <v>1266</v>
      </c>
      <c r="L172" t="s">
        <v>43</v>
      </c>
      <c r="M172" s="2" t="s">
        <v>1267</v>
      </c>
      <c r="N172" t="s">
        <v>31</v>
      </c>
      <c r="O172" t="s">
        <v>7879</v>
      </c>
      <c r="P172" t="s">
        <v>7981</v>
      </c>
      <c r="Q172" t="s">
        <v>46</v>
      </c>
      <c r="R172" t="s">
        <v>33</v>
      </c>
      <c r="S172" t="s">
        <v>34</v>
      </c>
      <c r="T172" s="1">
        <v>195000</v>
      </c>
      <c r="U172">
        <v>0</v>
      </c>
      <c r="V172">
        <v>0</v>
      </c>
      <c r="W172" t="s">
        <v>1268</v>
      </c>
    </row>
    <row r="173" spans="1:23" x14ac:dyDescent="0.25">
      <c r="A173">
        <v>9538</v>
      </c>
      <c r="B173" t="s">
        <v>23</v>
      </c>
      <c r="D173">
        <v>175</v>
      </c>
      <c r="E173" t="s">
        <v>1269</v>
      </c>
      <c r="F173" t="s">
        <v>1270</v>
      </c>
      <c r="G173" t="s">
        <v>1271</v>
      </c>
      <c r="H173" t="s">
        <v>196</v>
      </c>
      <c r="I173" t="s">
        <v>1272</v>
      </c>
      <c r="J173" t="s">
        <v>53</v>
      </c>
      <c r="K173" t="s">
        <v>1273</v>
      </c>
      <c r="L173" t="s">
        <v>765</v>
      </c>
      <c r="M173">
        <v>23230726129</v>
      </c>
      <c r="N173" t="s">
        <v>45</v>
      </c>
      <c r="O173" t="s">
        <v>7881</v>
      </c>
      <c r="P173" t="s">
        <v>8028</v>
      </c>
      <c r="Q173" t="s">
        <v>455</v>
      </c>
      <c r="R173" t="s">
        <v>130</v>
      </c>
      <c r="S173" t="s">
        <v>131</v>
      </c>
      <c r="T173">
        <v>425</v>
      </c>
      <c r="U173">
        <v>0</v>
      </c>
      <c r="V173">
        <v>0</v>
      </c>
      <c r="W173" t="s">
        <v>1274</v>
      </c>
    </row>
    <row r="174" spans="1:23" x14ac:dyDescent="0.25">
      <c r="A174">
        <v>6194</v>
      </c>
      <c r="B174" t="s">
        <v>23</v>
      </c>
      <c r="D174">
        <v>176</v>
      </c>
      <c r="E174" t="s">
        <v>1275</v>
      </c>
      <c r="F174" t="s">
        <v>1276</v>
      </c>
      <c r="G174" t="s">
        <v>1277</v>
      </c>
      <c r="H174" t="s">
        <v>1278</v>
      </c>
      <c r="I174" t="s">
        <v>1279</v>
      </c>
      <c r="J174" t="s">
        <v>53</v>
      </c>
      <c r="K174" t="s">
        <v>1280</v>
      </c>
      <c r="L174" t="s">
        <v>43</v>
      </c>
      <c r="M174">
        <v>8024531062</v>
      </c>
      <c r="N174" t="s">
        <v>45</v>
      </c>
      <c r="O174" t="s">
        <v>7881</v>
      </c>
      <c r="P174" t="s">
        <v>7981</v>
      </c>
      <c r="Q174" t="s">
        <v>63</v>
      </c>
      <c r="R174" t="s">
        <v>33</v>
      </c>
      <c r="S174" t="s">
        <v>34</v>
      </c>
      <c r="T174" s="1">
        <v>552500</v>
      </c>
      <c r="U174">
        <v>0</v>
      </c>
      <c r="V174">
        <v>0</v>
      </c>
      <c r="W174" t="s">
        <v>1281</v>
      </c>
    </row>
    <row r="175" spans="1:23" x14ac:dyDescent="0.25">
      <c r="A175">
        <v>19195</v>
      </c>
      <c r="B175" t="s">
        <v>23</v>
      </c>
      <c r="D175">
        <v>177</v>
      </c>
      <c r="E175" t="s">
        <v>1282</v>
      </c>
      <c r="F175" t="s">
        <v>1283</v>
      </c>
      <c r="G175" t="s">
        <v>1284</v>
      </c>
      <c r="H175" t="s">
        <v>1285</v>
      </c>
      <c r="I175" t="s">
        <v>1286</v>
      </c>
      <c r="J175" t="s">
        <v>53</v>
      </c>
      <c r="K175" t="s">
        <v>289</v>
      </c>
      <c r="L175" t="s">
        <v>43</v>
      </c>
      <c r="M175" s="2" t="s">
        <v>1287</v>
      </c>
      <c r="N175" t="s">
        <v>31</v>
      </c>
      <c r="O175" t="s">
        <v>7881</v>
      </c>
      <c r="P175" t="s">
        <v>7893</v>
      </c>
      <c r="Q175" t="s">
        <v>63</v>
      </c>
      <c r="R175" t="s">
        <v>33</v>
      </c>
      <c r="S175" t="s">
        <v>34</v>
      </c>
      <c r="T175" s="1">
        <v>552500</v>
      </c>
      <c r="U175">
        <v>0</v>
      </c>
      <c r="V175">
        <v>0</v>
      </c>
      <c r="W175" t="s">
        <v>1288</v>
      </c>
    </row>
    <row r="176" spans="1:23" x14ac:dyDescent="0.25">
      <c r="A176">
        <v>1005</v>
      </c>
      <c r="B176" t="s">
        <v>23</v>
      </c>
      <c r="D176">
        <v>178</v>
      </c>
      <c r="E176" t="s">
        <v>1289</v>
      </c>
      <c r="F176" t="s">
        <v>1290</v>
      </c>
      <c r="G176" t="s">
        <v>1291</v>
      </c>
      <c r="H176" t="s">
        <v>1292</v>
      </c>
      <c r="I176" t="s">
        <v>1293</v>
      </c>
      <c r="J176" t="s">
        <v>53</v>
      </c>
      <c r="K176" t="s">
        <v>1294</v>
      </c>
      <c r="L176" t="s">
        <v>43</v>
      </c>
      <c r="M176" s="2" t="s">
        <v>1295</v>
      </c>
      <c r="N176" t="s">
        <v>1207</v>
      </c>
      <c r="O176" t="s">
        <v>7886</v>
      </c>
      <c r="P176" t="s">
        <v>7940</v>
      </c>
      <c r="Q176" t="s">
        <v>46</v>
      </c>
      <c r="R176" t="s">
        <v>33</v>
      </c>
      <c r="S176" t="s">
        <v>34</v>
      </c>
      <c r="T176" s="1">
        <v>812500</v>
      </c>
      <c r="U176">
        <v>0</v>
      </c>
      <c r="V176" s="1">
        <v>162500</v>
      </c>
      <c r="W176" t="s">
        <v>1296</v>
      </c>
    </row>
    <row r="177" spans="1:23" x14ac:dyDescent="0.25">
      <c r="A177">
        <v>24246</v>
      </c>
      <c r="B177" t="s">
        <v>23</v>
      </c>
      <c r="D177">
        <v>179</v>
      </c>
      <c r="E177" t="s">
        <v>1297</v>
      </c>
      <c r="F177" t="s">
        <v>1298</v>
      </c>
      <c r="G177" t="s">
        <v>1299</v>
      </c>
      <c r="H177" t="s">
        <v>1300</v>
      </c>
      <c r="I177" t="s">
        <v>1301</v>
      </c>
      <c r="J177" t="s">
        <v>28</v>
      </c>
      <c r="K177" t="s">
        <v>1302</v>
      </c>
      <c r="L177" t="s">
        <v>43</v>
      </c>
      <c r="M177" s="2" t="s">
        <v>1303</v>
      </c>
      <c r="N177" t="s">
        <v>31</v>
      </c>
      <c r="O177" t="s">
        <v>7879</v>
      </c>
      <c r="P177" t="s">
        <v>7981</v>
      </c>
      <c r="Q177" t="s">
        <v>63</v>
      </c>
      <c r="R177" t="s">
        <v>33</v>
      </c>
      <c r="S177" t="s">
        <v>34</v>
      </c>
      <c r="T177" s="1">
        <v>195000</v>
      </c>
      <c r="U177">
        <v>0</v>
      </c>
      <c r="V177">
        <v>0</v>
      </c>
      <c r="W177" t="s">
        <v>1304</v>
      </c>
    </row>
    <row r="178" spans="1:23" x14ac:dyDescent="0.25">
      <c r="A178">
        <v>19936</v>
      </c>
      <c r="B178" t="s">
        <v>23</v>
      </c>
      <c r="D178">
        <v>180</v>
      </c>
      <c r="E178" t="s">
        <v>1305</v>
      </c>
      <c r="F178" t="s">
        <v>1306</v>
      </c>
      <c r="G178" t="s">
        <v>1307</v>
      </c>
      <c r="H178" t="s">
        <v>1308</v>
      </c>
      <c r="I178" t="s">
        <v>1309</v>
      </c>
      <c r="J178" t="s">
        <v>28</v>
      </c>
      <c r="K178" t="s">
        <v>1310</v>
      </c>
      <c r="L178" t="s">
        <v>43</v>
      </c>
      <c r="M178">
        <v>2348063200570</v>
      </c>
      <c r="N178" t="s">
        <v>31</v>
      </c>
      <c r="O178" t="s">
        <v>7881</v>
      </c>
      <c r="P178" t="s">
        <v>7893</v>
      </c>
      <c r="Q178" t="s">
        <v>63</v>
      </c>
      <c r="R178" t="s">
        <v>33</v>
      </c>
      <c r="S178" t="s">
        <v>34</v>
      </c>
      <c r="T178" s="1">
        <v>552500</v>
      </c>
      <c r="U178">
        <v>0</v>
      </c>
      <c r="V178">
        <v>0</v>
      </c>
      <c r="W178" t="s">
        <v>1311</v>
      </c>
    </row>
    <row r="179" spans="1:23" x14ac:dyDescent="0.25">
      <c r="A179">
        <v>24224</v>
      </c>
      <c r="B179" t="s">
        <v>23</v>
      </c>
      <c r="D179">
        <v>181</v>
      </c>
      <c r="E179" t="s">
        <v>1312</v>
      </c>
      <c r="F179" t="s">
        <v>1313</v>
      </c>
      <c r="G179" t="s">
        <v>1314</v>
      </c>
      <c r="H179" t="s">
        <v>657</v>
      </c>
      <c r="I179" t="s">
        <v>43</v>
      </c>
      <c r="J179" t="s">
        <v>28</v>
      </c>
      <c r="K179" t="s">
        <v>1315</v>
      </c>
      <c r="L179" t="s">
        <v>43</v>
      </c>
      <c r="M179" s="2" t="s">
        <v>1316</v>
      </c>
      <c r="N179" t="s">
        <v>31</v>
      </c>
      <c r="O179" t="s">
        <v>7879</v>
      </c>
      <c r="P179" t="s">
        <v>7893</v>
      </c>
      <c r="Q179" t="s">
        <v>63</v>
      </c>
      <c r="R179" t="s">
        <v>33</v>
      </c>
      <c r="S179" t="s">
        <v>34</v>
      </c>
      <c r="T179" s="1">
        <v>195000</v>
      </c>
      <c r="U179">
        <v>0</v>
      </c>
      <c r="V179">
        <v>0</v>
      </c>
      <c r="W179" t="s">
        <v>1317</v>
      </c>
    </row>
    <row r="180" spans="1:23" x14ac:dyDescent="0.25">
      <c r="A180">
        <v>24194</v>
      </c>
      <c r="B180" t="s">
        <v>23</v>
      </c>
      <c r="D180">
        <v>182</v>
      </c>
      <c r="E180" t="s">
        <v>1318</v>
      </c>
      <c r="F180" t="s">
        <v>1319</v>
      </c>
      <c r="G180" t="s">
        <v>1320</v>
      </c>
      <c r="H180" t="s">
        <v>1321</v>
      </c>
      <c r="I180" t="s">
        <v>1322</v>
      </c>
      <c r="J180" t="s">
        <v>28</v>
      </c>
      <c r="K180" t="s">
        <v>869</v>
      </c>
      <c r="L180" t="s">
        <v>43</v>
      </c>
      <c r="M180" s="2" t="s">
        <v>1323</v>
      </c>
      <c r="N180" t="s">
        <v>31</v>
      </c>
      <c r="O180" t="s">
        <v>7879</v>
      </c>
      <c r="P180" t="s">
        <v>7893</v>
      </c>
      <c r="Q180" t="s">
        <v>46</v>
      </c>
      <c r="R180" t="s">
        <v>33</v>
      </c>
      <c r="S180" t="s">
        <v>34</v>
      </c>
      <c r="T180" s="1">
        <v>195000</v>
      </c>
      <c r="U180">
        <v>0</v>
      </c>
      <c r="V180">
        <v>0</v>
      </c>
      <c r="W180" t="s">
        <v>1324</v>
      </c>
    </row>
    <row r="181" spans="1:23" x14ac:dyDescent="0.25">
      <c r="A181">
        <v>24218</v>
      </c>
      <c r="B181" t="s">
        <v>23</v>
      </c>
      <c r="D181">
        <v>183</v>
      </c>
      <c r="E181" t="s">
        <v>1325</v>
      </c>
      <c r="F181" t="s">
        <v>643</v>
      </c>
      <c r="G181" t="s">
        <v>592</v>
      </c>
      <c r="H181" t="s">
        <v>1326</v>
      </c>
      <c r="I181" t="s">
        <v>1327</v>
      </c>
      <c r="J181" t="s">
        <v>28</v>
      </c>
      <c r="K181" t="s">
        <v>364</v>
      </c>
      <c r="L181" t="s">
        <v>43</v>
      </c>
      <c r="M181" s="2" t="s">
        <v>1328</v>
      </c>
      <c r="N181" t="s">
        <v>31</v>
      </c>
      <c r="O181" t="s">
        <v>7879</v>
      </c>
      <c r="P181" t="s">
        <v>7940</v>
      </c>
      <c r="Q181" t="s">
        <v>46</v>
      </c>
      <c r="R181" t="s">
        <v>33</v>
      </c>
      <c r="S181" t="s">
        <v>34</v>
      </c>
      <c r="T181" s="1">
        <v>195000</v>
      </c>
      <c r="U181">
        <v>0</v>
      </c>
      <c r="V181">
        <v>0</v>
      </c>
      <c r="W181" t="s">
        <v>1329</v>
      </c>
    </row>
    <row r="182" spans="1:23" x14ac:dyDescent="0.25">
      <c r="A182">
        <v>20068</v>
      </c>
      <c r="B182" t="s">
        <v>23</v>
      </c>
      <c r="D182">
        <v>184</v>
      </c>
      <c r="E182" t="s">
        <v>1330</v>
      </c>
      <c r="F182" t="s">
        <v>1331</v>
      </c>
      <c r="G182" t="s">
        <v>1332</v>
      </c>
      <c r="H182" t="s">
        <v>1333</v>
      </c>
      <c r="I182" t="s">
        <v>1334</v>
      </c>
      <c r="J182" t="s">
        <v>28</v>
      </c>
      <c r="K182" t="s">
        <v>1335</v>
      </c>
      <c r="L182" t="s">
        <v>43</v>
      </c>
      <c r="M182" s="2" t="s">
        <v>1336</v>
      </c>
      <c r="N182" t="s">
        <v>45</v>
      </c>
      <c r="O182" t="s">
        <v>7881</v>
      </c>
      <c r="P182" t="s">
        <v>7981</v>
      </c>
      <c r="Q182" t="s">
        <v>46</v>
      </c>
      <c r="R182" t="s">
        <v>33</v>
      </c>
      <c r="S182" t="s">
        <v>34</v>
      </c>
      <c r="T182" s="1">
        <v>552500</v>
      </c>
      <c r="U182">
        <v>0</v>
      </c>
      <c r="V182">
        <v>0</v>
      </c>
      <c r="W182" t="s">
        <v>1337</v>
      </c>
    </row>
    <row r="183" spans="1:23" x14ac:dyDescent="0.25">
      <c r="A183">
        <v>6542</v>
      </c>
      <c r="B183" t="s">
        <v>23</v>
      </c>
      <c r="D183">
        <v>185</v>
      </c>
      <c r="E183" t="s">
        <v>1338</v>
      </c>
      <c r="F183" t="s">
        <v>1339</v>
      </c>
      <c r="G183" t="s">
        <v>1340</v>
      </c>
      <c r="H183" t="s">
        <v>1341</v>
      </c>
      <c r="I183" t="s">
        <v>1342</v>
      </c>
      <c r="J183" t="s">
        <v>28</v>
      </c>
      <c r="K183" t="s">
        <v>1342</v>
      </c>
      <c r="L183" t="s">
        <v>43</v>
      </c>
      <c r="M183" s="2" t="s">
        <v>1343</v>
      </c>
      <c r="N183" t="s">
        <v>31</v>
      </c>
      <c r="O183" t="s">
        <v>7886</v>
      </c>
      <c r="P183" t="s">
        <v>7981</v>
      </c>
      <c r="Q183" t="s">
        <v>46</v>
      </c>
      <c r="R183" t="s">
        <v>33</v>
      </c>
      <c r="S183" t="s">
        <v>34</v>
      </c>
      <c r="T183" s="1">
        <v>812500</v>
      </c>
      <c r="U183">
        <v>0</v>
      </c>
      <c r="V183" s="1">
        <v>162500</v>
      </c>
      <c r="W183" t="s">
        <v>1344</v>
      </c>
    </row>
    <row r="184" spans="1:23" x14ac:dyDescent="0.25">
      <c r="A184">
        <v>24044</v>
      </c>
      <c r="B184" t="s">
        <v>23</v>
      </c>
      <c r="D184">
        <v>186</v>
      </c>
      <c r="E184" t="s">
        <v>1345</v>
      </c>
      <c r="F184" t="s">
        <v>1346</v>
      </c>
      <c r="G184" t="s">
        <v>1347</v>
      </c>
      <c r="I184" t="s">
        <v>1348</v>
      </c>
      <c r="J184" t="s">
        <v>53</v>
      </c>
      <c r="K184" t="s">
        <v>1349</v>
      </c>
      <c r="L184" t="s">
        <v>453</v>
      </c>
      <c r="M184" s="2" t="s">
        <v>1350</v>
      </c>
      <c r="N184" t="s">
        <v>31</v>
      </c>
      <c r="O184" t="s">
        <v>7879</v>
      </c>
      <c r="P184" t="s">
        <v>7940</v>
      </c>
      <c r="Q184" t="s">
        <v>455</v>
      </c>
      <c r="R184" t="s">
        <v>130</v>
      </c>
      <c r="S184" t="s">
        <v>131</v>
      </c>
      <c r="T184">
        <v>150</v>
      </c>
      <c r="U184">
        <v>0</v>
      </c>
      <c r="V184">
        <v>0</v>
      </c>
      <c r="W184" t="s">
        <v>1351</v>
      </c>
    </row>
    <row r="185" spans="1:23" x14ac:dyDescent="0.25">
      <c r="A185">
        <v>24258</v>
      </c>
      <c r="B185" t="s">
        <v>23</v>
      </c>
      <c r="D185">
        <v>187</v>
      </c>
      <c r="E185" t="s">
        <v>1352</v>
      </c>
      <c r="F185" t="s">
        <v>1353</v>
      </c>
      <c r="G185" t="s">
        <v>1354</v>
      </c>
      <c r="H185" t="s">
        <v>1355</v>
      </c>
      <c r="I185" t="s">
        <v>7943</v>
      </c>
      <c r="J185" t="s">
        <v>53</v>
      </c>
      <c r="K185" t="s">
        <v>7943</v>
      </c>
      <c r="L185" t="s">
        <v>43</v>
      </c>
      <c r="M185">
        <v>2348030465528</v>
      </c>
      <c r="N185" t="s">
        <v>31</v>
      </c>
      <c r="O185" t="s">
        <v>7879</v>
      </c>
      <c r="P185" t="s">
        <v>7940</v>
      </c>
      <c r="Q185" t="s">
        <v>87</v>
      </c>
      <c r="R185" t="s">
        <v>33</v>
      </c>
      <c r="S185" t="s">
        <v>34</v>
      </c>
      <c r="T185" s="1">
        <v>195000</v>
      </c>
      <c r="U185">
        <v>0</v>
      </c>
      <c r="V185">
        <v>0</v>
      </c>
      <c r="W185" t="s">
        <v>1356</v>
      </c>
    </row>
    <row r="186" spans="1:23" x14ac:dyDescent="0.25">
      <c r="A186">
        <v>3786</v>
      </c>
      <c r="B186" t="s">
        <v>23</v>
      </c>
      <c r="D186">
        <v>188</v>
      </c>
      <c r="E186" t="s">
        <v>1357</v>
      </c>
      <c r="F186" t="s">
        <v>1358</v>
      </c>
      <c r="G186" t="s">
        <v>1359</v>
      </c>
      <c r="H186" t="s">
        <v>1360</v>
      </c>
      <c r="I186" t="s">
        <v>1361</v>
      </c>
      <c r="J186" t="s">
        <v>28</v>
      </c>
      <c r="K186" t="s">
        <v>1362</v>
      </c>
      <c r="L186" t="s">
        <v>43</v>
      </c>
      <c r="M186" s="2" t="s">
        <v>1363</v>
      </c>
      <c r="N186" t="s">
        <v>31</v>
      </c>
      <c r="O186" t="s">
        <v>7886</v>
      </c>
      <c r="P186" t="s">
        <v>7981</v>
      </c>
      <c r="Q186" t="s">
        <v>63</v>
      </c>
      <c r="R186" t="s">
        <v>33</v>
      </c>
      <c r="S186" t="s">
        <v>34</v>
      </c>
      <c r="T186" s="1">
        <v>812500</v>
      </c>
      <c r="U186">
        <v>0</v>
      </c>
      <c r="V186" s="1">
        <v>162500</v>
      </c>
      <c r="W186" t="s">
        <v>1364</v>
      </c>
    </row>
    <row r="187" spans="1:23" x14ac:dyDescent="0.25">
      <c r="A187">
        <v>18738</v>
      </c>
      <c r="B187" t="s">
        <v>23</v>
      </c>
      <c r="D187">
        <v>189</v>
      </c>
      <c r="E187" t="s">
        <v>1365</v>
      </c>
      <c r="F187" t="s">
        <v>1366</v>
      </c>
      <c r="G187" t="s">
        <v>1367</v>
      </c>
      <c r="H187" t="s">
        <v>1368</v>
      </c>
      <c r="I187" t="s">
        <v>1369</v>
      </c>
      <c r="J187" t="s">
        <v>53</v>
      </c>
      <c r="K187" t="s">
        <v>1370</v>
      </c>
      <c r="L187" t="s">
        <v>43</v>
      </c>
      <c r="M187" s="2" t="s">
        <v>1371</v>
      </c>
      <c r="N187" t="s">
        <v>31</v>
      </c>
      <c r="O187" t="s">
        <v>7879</v>
      </c>
      <c r="P187" t="s">
        <v>7981</v>
      </c>
      <c r="Q187" t="s">
        <v>87</v>
      </c>
      <c r="R187" t="s">
        <v>33</v>
      </c>
      <c r="S187" t="s">
        <v>34</v>
      </c>
      <c r="T187" s="1">
        <v>195000</v>
      </c>
      <c r="U187">
        <v>0</v>
      </c>
      <c r="V187">
        <v>0</v>
      </c>
      <c r="W187" t="s">
        <v>1372</v>
      </c>
    </row>
    <row r="188" spans="1:23" x14ac:dyDescent="0.25">
      <c r="A188">
        <v>24020</v>
      </c>
      <c r="B188" t="s">
        <v>23</v>
      </c>
      <c r="D188">
        <v>190</v>
      </c>
      <c r="E188" t="s">
        <v>1373</v>
      </c>
      <c r="F188" t="s">
        <v>1374</v>
      </c>
      <c r="G188" t="s">
        <v>362</v>
      </c>
      <c r="H188" t="s">
        <v>1375</v>
      </c>
      <c r="I188" t="s">
        <v>1376</v>
      </c>
      <c r="J188" t="s">
        <v>53</v>
      </c>
      <c r="K188" t="s">
        <v>869</v>
      </c>
      <c r="L188" t="s">
        <v>43</v>
      </c>
      <c r="M188" s="2" t="s">
        <v>1377</v>
      </c>
      <c r="N188" t="s">
        <v>31</v>
      </c>
      <c r="O188" t="s">
        <v>7879</v>
      </c>
      <c r="P188" t="s">
        <v>8028</v>
      </c>
      <c r="Q188" t="s">
        <v>46</v>
      </c>
      <c r="R188" t="s">
        <v>33</v>
      </c>
      <c r="S188" t="s">
        <v>34</v>
      </c>
      <c r="T188" s="1">
        <v>195000</v>
      </c>
      <c r="U188">
        <v>0</v>
      </c>
      <c r="V188">
        <v>0</v>
      </c>
      <c r="W188" t="s">
        <v>1378</v>
      </c>
    </row>
    <row r="189" spans="1:23" x14ac:dyDescent="0.25">
      <c r="A189">
        <v>24097</v>
      </c>
      <c r="B189" t="s">
        <v>23</v>
      </c>
      <c r="D189">
        <v>191</v>
      </c>
      <c r="E189" t="s">
        <v>1379</v>
      </c>
      <c r="F189" t="s">
        <v>1380</v>
      </c>
      <c r="G189" t="s">
        <v>91</v>
      </c>
      <c r="I189" t="s">
        <v>1381</v>
      </c>
      <c r="J189" t="s">
        <v>28</v>
      </c>
      <c r="K189" t="s">
        <v>1382</v>
      </c>
      <c r="L189" t="s">
        <v>43</v>
      </c>
      <c r="M189" s="2" t="s">
        <v>1383</v>
      </c>
      <c r="N189" t="s">
        <v>31</v>
      </c>
      <c r="O189" t="s">
        <v>7879</v>
      </c>
      <c r="P189" t="s">
        <v>7893</v>
      </c>
      <c r="Q189" t="s">
        <v>46</v>
      </c>
      <c r="R189" t="s">
        <v>33</v>
      </c>
      <c r="S189" t="s">
        <v>34</v>
      </c>
      <c r="T189" s="1">
        <v>195000</v>
      </c>
      <c r="U189">
        <v>0</v>
      </c>
      <c r="V189">
        <v>0</v>
      </c>
      <c r="W189" t="s">
        <v>1384</v>
      </c>
    </row>
    <row r="190" spans="1:23" x14ac:dyDescent="0.25">
      <c r="A190">
        <v>24247</v>
      </c>
      <c r="B190" t="s">
        <v>23</v>
      </c>
      <c r="D190">
        <v>192</v>
      </c>
      <c r="E190" t="s">
        <v>1385</v>
      </c>
      <c r="F190" t="s">
        <v>1386</v>
      </c>
      <c r="G190" t="s">
        <v>1387</v>
      </c>
      <c r="H190" t="s">
        <v>1388</v>
      </c>
      <c r="I190" t="s">
        <v>1389</v>
      </c>
      <c r="J190" t="s">
        <v>53</v>
      </c>
      <c r="K190" t="s">
        <v>7944</v>
      </c>
      <c r="L190" t="s">
        <v>453</v>
      </c>
      <c r="M190" s="2" t="s">
        <v>1390</v>
      </c>
      <c r="N190" t="s">
        <v>31</v>
      </c>
      <c r="O190" t="s">
        <v>7879</v>
      </c>
      <c r="P190" t="s">
        <v>7940</v>
      </c>
      <c r="Q190" t="s">
        <v>455</v>
      </c>
      <c r="R190" t="s">
        <v>130</v>
      </c>
      <c r="S190" t="s">
        <v>131</v>
      </c>
      <c r="T190">
        <v>150</v>
      </c>
      <c r="U190">
        <v>0</v>
      </c>
      <c r="V190">
        <v>0</v>
      </c>
      <c r="W190" t="s">
        <v>1391</v>
      </c>
    </row>
    <row r="191" spans="1:23" x14ac:dyDescent="0.25">
      <c r="A191">
        <v>24207</v>
      </c>
      <c r="B191" t="s">
        <v>23</v>
      </c>
      <c r="D191">
        <v>193</v>
      </c>
      <c r="E191" t="s">
        <v>1392</v>
      </c>
      <c r="F191" t="s">
        <v>598</v>
      </c>
      <c r="G191" t="s">
        <v>118</v>
      </c>
      <c r="H191" t="s">
        <v>1393</v>
      </c>
      <c r="I191" t="s">
        <v>1394</v>
      </c>
      <c r="J191" t="s">
        <v>28</v>
      </c>
      <c r="K191" t="s">
        <v>1395</v>
      </c>
      <c r="L191" t="s">
        <v>43</v>
      </c>
      <c r="M191" s="2" t="s">
        <v>1396</v>
      </c>
      <c r="N191" t="s">
        <v>31</v>
      </c>
      <c r="O191" t="s">
        <v>7879</v>
      </c>
      <c r="P191" t="s">
        <v>7981</v>
      </c>
      <c r="Q191" t="s">
        <v>46</v>
      </c>
      <c r="R191" t="s">
        <v>33</v>
      </c>
      <c r="S191" t="s">
        <v>34</v>
      </c>
      <c r="T191" s="1">
        <v>195000</v>
      </c>
      <c r="U191">
        <v>0</v>
      </c>
      <c r="V191">
        <v>0</v>
      </c>
      <c r="W191" t="s">
        <v>1397</v>
      </c>
    </row>
    <row r="192" spans="1:23" x14ac:dyDescent="0.25">
      <c r="A192">
        <v>24050</v>
      </c>
      <c r="B192" t="s">
        <v>23</v>
      </c>
      <c r="D192">
        <v>194</v>
      </c>
      <c r="E192" t="s">
        <v>1398</v>
      </c>
      <c r="F192" t="s">
        <v>1399</v>
      </c>
      <c r="G192" t="s">
        <v>1400</v>
      </c>
      <c r="I192" t="s">
        <v>1401</v>
      </c>
      <c r="J192" t="s">
        <v>28</v>
      </c>
      <c r="K192" t="s">
        <v>1402</v>
      </c>
      <c r="L192" t="s">
        <v>43</v>
      </c>
      <c r="M192" s="2" t="s">
        <v>1403</v>
      </c>
      <c r="N192" t="s">
        <v>31</v>
      </c>
      <c r="O192" t="s">
        <v>7879</v>
      </c>
      <c r="P192" t="s">
        <v>7893</v>
      </c>
      <c r="Q192" t="s">
        <v>63</v>
      </c>
      <c r="R192" t="s">
        <v>33</v>
      </c>
      <c r="S192" t="s">
        <v>34</v>
      </c>
      <c r="T192" s="1">
        <v>195000</v>
      </c>
      <c r="U192">
        <v>0</v>
      </c>
      <c r="V192">
        <v>0</v>
      </c>
      <c r="W192" t="s">
        <v>1404</v>
      </c>
    </row>
    <row r="193" spans="1:23" x14ac:dyDescent="0.25">
      <c r="A193">
        <v>1620</v>
      </c>
      <c r="B193" t="s">
        <v>23</v>
      </c>
      <c r="D193">
        <v>195</v>
      </c>
      <c r="E193" t="s">
        <v>1405</v>
      </c>
      <c r="F193" t="s">
        <v>1406</v>
      </c>
      <c r="G193" t="s">
        <v>1407</v>
      </c>
      <c r="H193" t="s">
        <v>1408</v>
      </c>
      <c r="I193" t="s">
        <v>7905</v>
      </c>
      <c r="J193" t="s">
        <v>53</v>
      </c>
      <c r="K193" t="s">
        <v>1409</v>
      </c>
      <c r="L193" t="s">
        <v>43</v>
      </c>
      <c r="M193" s="2" t="s">
        <v>1410</v>
      </c>
      <c r="N193" t="s">
        <v>244</v>
      </c>
      <c r="O193" t="s">
        <v>7886</v>
      </c>
      <c r="P193" t="s">
        <v>7894</v>
      </c>
      <c r="Q193" t="s">
        <v>63</v>
      </c>
      <c r="R193" t="s">
        <v>33</v>
      </c>
      <c r="S193" t="s">
        <v>34</v>
      </c>
      <c r="T193" s="1">
        <v>812500</v>
      </c>
      <c r="U193">
        <v>0</v>
      </c>
      <c r="V193">
        <v>0</v>
      </c>
      <c r="W193" t="s">
        <v>1411</v>
      </c>
    </row>
    <row r="194" spans="1:23" x14ac:dyDescent="0.25">
      <c r="A194">
        <v>24159</v>
      </c>
      <c r="B194" t="s">
        <v>23</v>
      </c>
      <c r="D194">
        <v>196</v>
      </c>
      <c r="E194" t="s">
        <v>1412</v>
      </c>
      <c r="F194" t="s">
        <v>1413</v>
      </c>
      <c r="G194" t="s">
        <v>1414</v>
      </c>
      <c r="H194" t="s">
        <v>1415</v>
      </c>
      <c r="I194" s="2" t="s">
        <v>1416</v>
      </c>
      <c r="J194" t="s">
        <v>53</v>
      </c>
      <c r="K194" t="s">
        <v>1417</v>
      </c>
      <c r="L194" t="s">
        <v>453</v>
      </c>
      <c r="M194" s="2" t="s">
        <v>1416</v>
      </c>
      <c r="N194" t="s">
        <v>31</v>
      </c>
      <c r="O194" t="s">
        <v>7879</v>
      </c>
      <c r="P194" t="s">
        <v>7940</v>
      </c>
      <c r="Q194" t="s">
        <v>455</v>
      </c>
      <c r="R194" t="s">
        <v>130</v>
      </c>
      <c r="S194" t="s">
        <v>131</v>
      </c>
      <c r="T194">
        <v>150</v>
      </c>
      <c r="U194">
        <v>0</v>
      </c>
      <c r="V194">
        <v>0</v>
      </c>
      <c r="W194" t="s">
        <v>1418</v>
      </c>
    </row>
    <row r="195" spans="1:23" x14ac:dyDescent="0.25">
      <c r="A195">
        <v>24111</v>
      </c>
      <c r="B195" t="s">
        <v>23</v>
      </c>
      <c r="D195">
        <v>197</v>
      </c>
      <c r="E195" t="s">
        <v>1419</v>
      </c>
      <c r="F195" t="s">
        <v>1420</v>
      </c>
      <c r="G195" t="s">
        <v>1421</v>
      </c>
      <c r="H195" t="s">
        <v>92</v>
      </c>
      <c r="I195" t="s">
        <v>1422</v>
      </c>
      <c r="J195" t="s">
        <v>28</v>
      </c>
      <c r="K195" t="s">
        <v>1423</v>
      </c>
      <c r="L195" t="s">
        <v>43</v>
      </c>
      <c r="M195">
        <v>2348035275160</v>
      </c>
      <c r="N195" t="s">
        <v>31</v>
      </c>
      <c r="O195" t="s">
        <v>7879</v>
      </c>
      <c r="P195" t="s">
        <v>7893</v>
      </c>
      <c r="Q195" t="s">
        <v>46</v>
      </c>
      <c r="R195" t="s">
        <v>33</v>
      </c>
      <c r="S195" t="s">
        <v>34</v>
      </c>
      <c r="T195" s="1">
        <v>195000</v>
      </c>
      <c r="U195">
        <v>0</v>
      </c>
      <c r="V195">
        <v>0</v>
      </c>
      <c r="W195" t="s">
        <v>1424</v>
      </c>
    </row>
    <row r="196" spans="1:23" x14ac:dyDescent="0.25">
      <c r="A196">
        <v>24271</v>
      </c>
      <c r="B196" t="s">
        <v>23</v>
      </c>
      <c r="D196">
        <v>198</v>
      </c>
      <c r="E196" t="s">
        <v>1425</v>
      </c>
      <c r="F196" t="s">
        <v>1426</v>
      </c>
      <c r="G196" t="s">
        <v>465</v>
      </c>
      <c r="I196" t="s">
        <v>1427</v>
      </c>
      <c r="J196" t="s">
        <v>53</v>
      </c>
      <c r="K196" t="s">
        <v>1428</v>
      </c>
      <c r="L196" t="s">
        <v>43</v>
      </c>
      <c r="M196" s="2" t="s">
        <v>1429</v>
      </c>
      <c r="N196" t="s">
        <v>31</v>
      </c>
      <c r="O196" t="s">
        <v>7879</v>
      </c>
      <c r="P196" t="s">
        <v>7893</v>
      </c>
      <c r="Q196" t="s">
        <v>46</v>
      </c>
      <c r="R196" t="s">
        <v>33</v>
      </c>
      <c r="S196" t="s">
        <v>34</v>
      </c>
      <c r="T196" s="1">
        <v>195000</v>
      </c>
      <c r="U196">
        <v>0</v>
      </c>
      <c r="V196">
        <v>0</v>
      </c>
      <c r="W196" t="s">
        <v>1430</v>
      </c>
    </row>
    <row r="197" spans="1:23" x14ac:dyDescent="0.25">
      <c r="A197">
        <v>24260</v>
      </c>
      <c r="B197" t="s">
        <v>23</v>
      </c>
      <c r="D197">
        <v>199</v>
      </c>
      <c r="E197" t="s">
        <v>1431</v>
      </c>
      <c r="F197" t="s">
        <v>209</v>
      </c>
      <c r="G197" t="s">
        <v>1432</v>
      </c>
      <c r="H197" t="s">
        <v>1433</v>
      </c>
      <c r="I197" t="s">
        <v>1434</v>
      </c>
      <c r="J197" t="s">
        <v>28</v>
      </c>
      <c r="K197" t="s">
        <v>1435</v>
      </c>
      <c r="L197" t="s">
        <v>43</v>
      </c>
      <c r="M197" s="2" t="s">
        <v>1436</v>
      </c>
      <c r="N197" t="s">
        <v>31</v>
      </c>
      <c r="O197" t="s">
        <v>7879</v>
      </c>
      <c r="P197" t="s">
        <v>7940</v>
      </c>
      <c r="Q197" t="s">
        <v>46</v>
      </c>
      <c r="R197" t="s">
        <v>33</v>
      </c>
      <c r="S197" t="s">
        <v>34</v>
      </c>
      <c r="T197" s="1">
        <v>195000</v>
      </c>
      <c r="U197">
        <v>0</v>
      </c>
      <c r="V197">
        <v>0</v>
      </c>
      <c r="W197" t="s">
        <v>1437</v>
      </c>
    </row>
    <row r="198" spans="1:23" x14ac:dyDescent="0.25">
      <c r="A198">
        <v>22837</v>
      </c>
      <c r="B198" t="s">
        <v>23</v>
      </c>
      <c r="D198">
        <v>200</v>
      </c>
      <c r="E198" t="s">
        <v>1438</v>
      </c>
      <c r="F198" t="s">
        <v>1439</v>
      </c>
      <c r="G198" t="s">
        <v>1440</v>
      </c>
      <c r="H198" t="s">
        <v>1441</v>
      </c>
      <c r="I198" t="s">
        <v>93</v>
      </c>
      <c r="J198" t="s">
        <v>28</v>
      </c>
      <c r="K198" t="s">
        <v>1046</v>
      </c>
      <c r="L198" t="s">
        <v>43</v>
      </c>
      <c r="M198" s="2" t="s">
        <v>1442</v>
      </c>
      <c r="N198" t="s">
        <v>45</v>
      </c>
      <c r="O198" t="s">
        <v>7879</v>
      </c>
      <c r="P198" t="s">
        <v>7981</v>
      </c>
      <c r="Q198" t="s">
        <v>46</v>
      </c>
      <c r="R198" t="s">
        <v>33</v>
      </c>
      <c r="S198" t="s">
        <v>34</v>
      </c>
      <c r="T198" s="1">
        <v>195000</v>
      </c>
      <c r="U198">
        <v>0</v>
      </c>
      <c r="V198">
        <v>0</v>
      </c>
      <c r="W198" t="s">
        <v>1443</v>
      </c>
    </row>
    <row r="199" spans="1:23" x14ac:dyDescent="0.25">
      <c r="A199">
        <v>1049</v>
      </c>
      <c r="B199" t="s">
        <v>23</v>
      </c>
      <c r="D199">
        <v>201</v>
      </c>
      <c r="E199" t="s">
        <v>1444</v>
      </c>
      <c r="F199" t="s">
        <v>1445</v>
      </c>
      <c r="G199" t="s">
        <v>1446</v>
      </c>
      <c r="H199" t="s">
        <v>1447</v>
      </c>
      <c r="I199" t="s">
        <v>1448</v>
      </c>
      <c r="J199" t="s">
        <v>53</v>
      </c>
      <c r="K199" t="s">
        <v>1449</v>
      </c>
      <c r="L199" t="s">
        <v>43</v>
      </c>
      <c r="M199" s="2" t="s">
        <v>1450</v>
      </c>
      <c r="N199" t="s">
        <v>45</v>
      </c>
      <c r="O199" t="s">
        <v>7881</v>
      </c>
      <c r="P199" t="s">
        <v>7981</v>
      </c>
      <c r="Q199" t="s">
        <v>63</v>
      </c>
      <c r="R199" t="s">
        <v>33</v>
      </c>
      <c r="S199" t="s">
        <v>34</v>
      </c>
      <c r="T199" s="1">
        <v>552500</v>
      </c>
      <c r="U199">
        <v>0</v>
      </c>
      <c r="V199">
        <v>0</v>
      </c>
      <c r="W199" t="s">
        <v>1451</v>
      </c>
    </row>
    <row r="200" spans="1:23" x14ac:dyDescent="0.25">
      <c r="A200">
        <v>782</v>
      </c>
      <c r="B200" t="s">
        <v>23</v>
      </c>
      <c r="D200">
        <v>202</v>
      </c>
      <c r="E200" t="s">
        <v>1452</v>
      </c>
      <c r="F200" t="s">
        <v>1453</v>
      </c>
      <c r="G200" t="s">
        <v>1454</v>
      </c>
      <c r="H200" t="s">
        <v>1455</v>
      </c>
      <c r="I200" t="s">
        <v>1456</v>
      </c>
      <c r="J200" t="s">
        <v>53</v>
      </c>
      <c r="K200" t="s">
        <v>1457</v>
      </c>
      <c r="L200" t="s">
        <v>43</v>
      </c>
      <c r="M200" s="2" t="s">
        <v>1458</v>
      </c>
      <c r="N200" t="s">
        <v>244</v>
      </c>
      <c r="O200" t="s">
        <v>7886</v>
      </c>
      <c r="P200" t="s">
        <v>7894</v>
      </c>
      <c r="Q200" t="s">
        <v>63</v>
      </c>
      <c r="R200" t="s">
        <v>33</v>
      </c>
      <c r="S200" t="s">
        <v>34</v>
      </c>
      <c r="T200" s="1">
        <v>812500</v>
      </c>
      <c r="U200">
        <v>0</v>
      </c>
      <c r="V200">
        <v>0</v>
      </c>
      <c r="W200" t="s">
        <v>1459</v>
      </c>
    </row>
    <row r="201" spans="1:23" x14ac:dyDescent="0.25">
      <c r="A201">
        <v>18965</v>
      </c>
      <c r="B201" t="s">
        <v>23</v>
      </c>
      <c r="D201">
        <v>203</v>
      </c>
      <c r="E201" t="s">
        <v>1460</v>
      </c>
      <c r="F201" t="s">
        <v>1461</v>
      </c>
      <c r="G201" t="s">
        <v>1462</v>
      </c>
      <c r="H201" t="s">
        <v>1463</v>
      </c>
      <c r="I201" t="s">
        <v>1464</v>
      </c>
      <c r="J201" t="s">
        <v>53</v>
      </c>
      <c r="K201" t="s">
        <v>429</v>
      </c>
      <c r="L201" t="s">
        <v>43</v>
      </c>
      <c r="M201" s="2" t="s">
        <v>1465</v>
      </c>
      <c r="N201" t="s">
        <v>31</v>
      </c>
      <c r="O201" t="s">
        <v>7881</v>
      </c>
      <c r="P201" t="s">
        <v>7888</v>
      </c>
      <c r="Q201" t="s">
        <v>87</v>
      </c>
      <c r="R201" t="s">
        <v>33</v>
      </c>
      <c r="S201" t="s">
        <v>34</v>
      </c>
      <c r="T201" s="1">
        <v>552500</v>
      </c>
      <c r="U201" s="1">
        <v>110500</v>
      </c>
      <c r="V201">
        <v>0</v>
      </c>
      <c r="W201" t="s">
        <v>1466</v>
      </c>
    </row>
    <row r="202" spans="1:23" x14ac:dyDescent="0.25">
      <c r="A202">
        <v>11643</v>
      </c>
      <c r="B202" t="s">
        <v>23</v>
      </c>
      <c r="D202">
        <v>204</v>
      </c>
      <c r="E202" t="s">
        <v>1467</v>
      </c>
      <c r="F202" t="s">
        <v>1468</v>
      </c>
      <c r="G202" t="s">
        <v>1469</v>
      </c>
      <c r="H202" t="s">
        <v>1470</v>
      </c>
      <c r="I202" t="s">
        <v>1471</v>
      </c>
      <c r="J202" t="s">
        <v>28</v>
      </c>
      <c r="K202" t="s">
        <v>1472</v>
      </c>
      <c r="L202" t="s">
        <v>43</v>
      </c>
      <c r="M202" s="2" t="s">
        <v>1473</v>
      </c>
      <c r="N202" t="s">
        <v>45</v>
      </c>
      <c r="O202" t="s">
        <v>7879</v>
      </c>
      <c r="P202" t="s">
        <v>8028</v>
      </c>
      <c r="Q202" t="s">
        <v>87</v>
      </c>
      <c r="R202" t="s">
        <v>33</v>
      </c>
      <c r="S202" t="s">
        <v>34</v>
      </c>
      <c r="T202" s="1">
        <v>195000</v>
      </c>
      <c r="U202">
        <v>0</v>
      </c>
      <c r="V202">
        <v>0</v>
      </c>
      <c r="W202" t="s">
        <v>1474</v>
      </c>
    </row>
    <row r="203" spans="1:23" x14ac:dyDescent="0.25">
      <c r="A203">
        <v>10052</v>
      </c>
      <c r="B203" t="s">
        <v>23</v>
      </c>
      <c r="D203">
        <v>205</v>
      </c>
      <c r="E203" t="s">
        <v>1475</v>
      </c>
      <c r="F203" t="s">
        <v>1476</v>
      </c>
      <c r="G203" t="s">
        <v>1477</v>
      </c>
      <c r="I203" t="s">
        <v>1478</v>
      </c>
      <c r="J203" t="s">
        <v>53</v>
      </c>
      <c r="K203" t="s">
        <v>1479</v>
      </c>
      <c r="L203" t="s">
        <v>765</v>
      </c>
      <c r="M203">
        <v>23280790065</v>
      </c>
      <c r="N203" t="s">
        <v>31</v>
      </c>
      <c r="O203" t="s">
        <v>7881</v>
      </c>
      <c r="P203" t="s">
        <v>8028</v>
      </c>
      <c r="Q203" t="s">
        <v>1480</v>
      </c>
      <c r="R203" t="s">
        <v>130</v>
      </c>
      <c r="S203" t="s">
        <v>131</v>
      </c>
      <c r="T203">
        <v>425</v>
      </c>
      <c r="U203">
        <v>0</v>
      </c>
      <c r="V203">
        <v>0</v>
      </c>
      <c r="W203" t="s">
        <v>1481</v>
      </c>
    </row>
    <row r="204" spans="1:23" x14ac:dyDescent="0.25">
      <c r="A204">
        <v>24238</v>
      </c>
      <c r="B204" t="s">
        <v>23</v>
      </c>
      <c r="D204">
        <v>206</v>
      </c>
      <c r="E204" t="s">
        <v>1482</v>
      </c>
      <c r="F204" t="s">
        <v>1483</v>
      </c>
      <c r="G204" t="s">
        <v>1354</v>
      </c>
      <c r="H204" t="s">
        <v>1484</v>
      </c>
      <c r="I204" t="s">
        <v>1485</v>
      </c>
      <c r="J204" t="s">
        <v>53</v>
      </c>
      <c r="K204" t="s">
        <v>8030</v>
      </c>
      <c r="L204" t="s">
        <v>43</v>
      </c>
      <c r="M204" s="2" t="s">
        <v>1486</v>
      </c>
      <c r="N204" t="s">
        <v>31</v>
      </c>
      <c r="O204" t="s">
        <v>7879</v>
      </c>
      <c r="P204" t="s">
        <v>8028</v>
      </c>
      <c r="Q204" t="s">
        <v>87</v>
      </c>
      <c r="R204" t="s">
        <v>33</v>
      </c>
      <c r="S204" t="s">
        <v>34</v>
      </c>
      <c r="T204" s="1">
        <v>195000</v>
      </c>
      <c r="U204">
        <v>0</v>
      </c>
      <c r="V204">
        <v>0</v>
      </c>
      <c r="W204" t="s">
        <v>1487</v>
      </c>
    </row>
    <row r="205" spans="1:23" x14ac:dyDescent="0.25">
      <c r="A205">
        <v>24290</v>
      </c>
      <c r="B205" t="s">
        <v>23</v>
      </c>
      <c r="D205">
        <v>207</v>
      </c>
      <c r="E205" t="s">
        <v>1488</v>
      </c>
      <c r="F205" t="s">
        <v>1489</v>
      </c>
      <c r="G205" t="s">
        <v>1490</v>
      </c>
      <c r="H205" t="s">
        <v>1491</v>
      </c>
      <c r="I205" t="s">
        <v>1492</v>
      </c>
      <c r="J205" t="s">
        <v>28</v>
      </c>
      <c r="K205" t="s">
        <v>1493</v>
      </c>
      <c r="L205" t="s">
        <v>453</v>
      </c>
      <c r="M205" s="2" t="s">
        <v>1494</v>
      </c>
      <c r="N205" t="s">
        <v>31</v>
      </c>
      <c r="O205" t="s">
        <v>7879</v>
      </c>
      <c r="P205" t="s">
        <v>8028</v>
      </c>
      <c r="Q205" t="s">
        <v>455</v>
      </c>
      <c r="R205" t="s">
        <v>130</v>
      </c>
      <c r="S205" t="s">
        <v>131</v>
      </c>
      <c r="T205">
        <v>150</v>
      </c>
      <c r="U205">
        <v>0</v>
      </c>
      <c r="V205">
        <v>0</v>
      </c>
      <c r="W205" t="s">
        <v>1495</v>
      </c>
    </row>
    <row r="206" spans="1:23" x14ac:dyDescent="0.25">
      <c r="A206">
        <v>24283</v>
      </c>
      <c r="B206" t="s">
        <v>23</v>
      </c>
      <c r="D206">
        <v>208</v>
      </c>
      <c r="E206" t="s">
        <v>1496</v>
      </c>
      <c r="F206" t="s">
        <v>1497</v>
      </c>
      <c r="G206" t="s">
        <v>1498</v>
      </c>
      <c r="H206" t="s">
        <v>1499</v>
      </c>
      <c r="I206" t="s">
        <v>1500</v>
      </c>
      <c r="J206" t="s">
        <v>28</v>
      </c>
      <c r="K206" t="s">
        <v>1152</v>
      </c>
      <c r="L206" t="s">
        <v>30</v>
      </c>
      <c r="M206">
        <v>2203556333</v>
      </c>
      <c r="N206" t="s">
        <v>31</v>
      </c>
      <c r="O206" t="s">
        <v>7879</v>
      </c>
      <c r="P206" t="s">
        <v>7940</v>
      </c>
      <c r="Q206" t="s">
        <v>32</v>
      </c>
      <c r="R206" t="s">
        <v>33</v>
      </c>
      <c r="S206" t="s">
        <v>34</v>
      </c>
      <c r="T206" s="1">
        <v>195000</v>
      </c>
      <c r="U206">
        <v>0</v>
      </c>
      <c r="V206">
        <v>0</v>
      </c>
      <c r="W206" t="s">
        <v>1501</v>
      </c>
    </row>
    <row r="207" spans="1:23" x14ac:dyDescent="0.25">
      <c r="A207">
        <v>24270</v>
      </c>
      <c r="B207" t="s">
        <v>23</v>
      </c>
      <c r="D207">
        <v>209</v>
      </c>
      <c r="E207" t="s">
        <v>1502</v>
      </c>
      <c r="F207" t="s">
        <v>1503</v>
      </c>
      <c r="G207" t="s">
        <v>1504</v>
      </c>
      <c r="I207" t="s">
        <v>1505</v>
      </c>
      <c r="J207" t="s">
        <v>53</v>
      </c>
      <c r="K207" t="s">
        <v>1506</v>
      </c>
      <c r="L207" t="s">
        <v>43</v>
      </c>
      <c r="M207">
        <v>2348162725569</v>
      </c>
      <c r="N207" t="s">
        <v>31</v>
      </c>
      <c r="O207" t="s">
        <v>7879</v>
      </c>
      <c r="P207" t="s">
        <v>7893</v>
      </c>
      <c r="Q207" t="s">
        <v>46</v>
      </c>
      <c r="R207" t="s">
        <v>33</v>
      </c>
      <c r="S207" t="s">
        <v>34</v>
      </c>
      <c r="T207" s="1">
        <v>195000</v>
      </c>
      <c r="U207">
        <v>0</v>
      </c>
      <c r="V207">
        <v>0</v>
      </c>
      <c r="W207" t="s">
        <v>1507</v>
      </c>
    </row>
    <row r="208" spans="1:23" x14ac:dyDescent="0.25">
      <c r="A208">
        <v>18586</v>
      </c>
      <c r="B208" t="s">
        <v>23</v>
      </c>
      <c r="D208">
        <v>210</v>
      </c>
      <c r="E208" t="s">
        <v>1508</v>
      </c>
      <c r="F208" t="s">
        <v>1509</v>
      </c>
      <c r="G208" t="s">
        <v>1510</v>
      </c>
      <c r="H208" t="s">
        <v>196</v>
      </c>
      <c r="I208" t="s">
        <v>1511</v>
      </c>
      <c r="J208" t="s">
        <v>53</v>
      </c>
      <c r="K208" t="s">
        <v>1512</v>
      </c>
      <c r="L208" t="s">
        <v>765</v>
      </c>
      <c r="M208">
        <v>23278767090</v>
      </c>
      <c r="N208" t="s">
        <v>31</v>
      </c>
      <c r="O208" t="s">
        <v>7881</v>
      </c>
      <c r="P208" t="s">
        <v>7893</v>
      </c>
      <c r="Q208" t="s">
        <v>46</v>
      </c>
      <c r="R208" t="s">
        <v>130</v>
      </c>
      <c r="S208" t="s">
        <v>131</v>
      </c>
      <c r="T208">
        <v>425</v>
      </c>
      <c r="U208">
        <v>0</v>
      </c>
      <c r="V208">
        <v>0</v>
      </c>
      <c r="W208" t="s">
        <v>1513</v>
      </c>
    </row>
    <row r="209" spans="1:23" x14ac:dyDescent="0.25">
      <c r="A209">
        <v>19508</v>
      </c>
      <c r="B209" t="s">
        <v>23</v>
      </c>
      <c r="D209">
        <v>211</v>
      </c>
      <c r="E209" t="s">
        <v>1514</v>
      </c>
      <c r="F209" t="s">
        <v>1515</v>
      </c>
      <c r="G209" t="s">
        <v>1516</v>
      </c>
      <c r="H209" t="s">
        <v>219</v>
      </c>
      <c r="I209" t="s">
        <v>1517</v>
      </c>
      <c r="J209" t="s">
        <v>53</v>
      </c>
      <c r="K209" t="s">
        <v>1518</v>
      </c>
      <c r="L209" t="s">
        <v>43</v>
      </c>
      <c r="M209">
        <v>2347030032757</v>
      </c>
      <c r="N209" t="s">
        <v>31</v>
      </c>
      <c r="O209" t="s">
        <v>7881</v>
      </c>
      <c r="P209" t="s">
        <v>7981</v>
      </c>
      <c r="Q209" t="s">
        <v>87</v>
      </c>
      <c r="R209" t="s">
        <v>33</v>
      </c>
      <c r="S209" t="s">
        <v>34</v>
      </c>
      <c r="T209" s="1">
        <v>552500</v>
      </c>
      <c r="U209">
        <v>0</v>
      </c>
      <c r="V209">
        <v>0</v>
      </c>
      <c r="W209" t="s">
        <v>1519</v>
      </c>
    </row>
    <row r="210" spans="1:23" x14ac:dyDescent="0.25">
      <c r="A210">
        <v>18159</v>
      </c>
      <c r="B210" t="s">
        <v>23</v>
      </c>
      <c r="D210">
        <v>213</v>
      </c>
      <c r="E210" t="s">
        <v>1522</v>
      </c>
      <c r="F210" t="s">
        <v>1523</v>
      </c>
      <c r="G210" t="s">
        <v>1524</v>
      </c>
      <c r="I210" t="s">
        <v>1525</v>
      </c>
      <c r="J210" t="s">
        <v>53</v>
      </c>
      <c r="K210" t="s">
        <v>1526</v>
      </c>
      <c r="L210" t="s">
        <v>765</v>
      </c>
      <c r="M210">
        <v>23231010730</v>
      </c>
      <c r="N210" t="s">
        <v>31</v>
      </c>
      <c r="O210" t="s">
        <v>7881</v>
      </c>
      <c r="P210" t="s">
        <v>7893</v>
      </c>
      <c r="Q210" t="s">
        <v>46</v>
      </c>
      <c r="R210" t="s">
        <v>130</v>
      </c>
      <c r="S210" t="s">
        <v>131</v>
      </c>
      <c r="T210">
        <v>425</v>
      </c>
      <c r="U210">
        <v>0</v>
      </c>
      <c r="V210">
        <v>0</v>
      </c>
      <c r="W210" t="s">
        <v>1527</v>
      </c>
    </row>
    <row r="211" spans="1:23" x14ac:dyDescent="0.25">
      <c r="A211">
        <v>20680</v>
      </c>
      <c r="B211" t="s">
        <v>23</v>
      </c>
      <c r="D211">
        <v>214</v>
      </c>
      <c r="E211" t="s">
        <v>1528</v>
      </c>
      <c r="F211" t="s">
        <v>1529</v>
      </c>
      <c r="G211" t="s">
        <v>1530</v>
      </c>
      <c r="H211" t="s">
        <v>1531</v>
      </c>
      <c r="I211" t="s">
        <v>1532</v>
      </c>
      <c r="J211" t="s">
        <v>28</v>
      </c>
      <c r="K211" t="s">
        <v>682</v>
      </c>
      <c r="L211" t="s">
        <v>453</v>
      </c>
      <c r="M211" s="2" t="s">
        <v>1533</v>
      </c>
      <c r="N211" t="s">
        <v>31</v>
      </c>
      <c r="O211" t="s">
        <v>7879</v>
      </c>
      <c r="P211" t="s">
        <v>8028</v>
      </c>
      <c r="Q211" t="s">
        <v>455</v>
      </c>
      <c r="R211" t="s">
        <v>130</v>
      </c>
      <c r="S211" t="s">
        <v>131</v>
      </c>
      <c r="T211">
        <v>150</v>
      </c>
      <c r="U211">
        <v>0</v>
      </c>
      <c r="V211">
        <v>0</v>
      </c>
      <c r="W211" t="s">
        <v>1534</v>
      </c>
    </row>
    <row r="212" spans="1:23" x14ac:dyDescent="0.25">
      <c r="A212">
        <v>24171</v>
      </c>
      <c r="B212" t="s">
        <v>23</v>
      </c>
      <c r="D212">
        <v>215</v>
      </c>
      <c r="E212" t="s">
        <v>1535</v>
      </c>
      <c r="F212" t="s">
        <v>1536</v>
      </c>
      <c r="G212" t="s">
        <v>1537</v>
      </c>
      <c r="H212" t="s">
        <v>1538</v>
      </c>
      <c r="I212" t="s">
        <v>1539</v>
      </c>
      <c r="J212" t="s">
        <v>28</v>
      </c>
      <c r="K212" t="s">
        <v>1540</v>
      </c>
      <c r="L212" t="s">
        <v>43</v>
      </c>
      <c r="M212" s="2" t="s">
        <v>1541</v>
      </c>
      <c r="N212" t="s">
        <v>31</v>
      </c>
      <c r="O212" t="s">
        <v>7879</v>
      </c>
      <c r="P212" t="s">
        <v>7940</v>
      </c>
      <c r="Q212" t="s">
        <v>63</v>
      </c>
      <c r="R212" t="s">
        <v>33</v>
      </c>
      <c r="S212" t="s">
        <v>34</v>
      </c>
      <c r="T212" s="1">
        <v>195000</v>
      </c>
      <c r="U212">
        <v>0</v>
      </c>
      <c r="V212">
        <v>0</v>
      </c>
      <c r="W212" t="s">
        <v>1542</v>
      </c>
    </row>
    <row r="213" spans="1:23" x14ac:dyDescent="0.25">
      <c r="A213">
        <v>9989</v>
      </c>
      <c r="B213" t="s">
        <v>23</v>
      </c>
      <c r="D213">
        <v>216</v>
      </c>
      <c r="E213" t="s">
        <v>1543</v>
      </c>
      <c r="F213" t="s">
        <v>1544</v>
      </c>
      <c r="G213" t="s">
        <v>1545</v>
      </c>
      <c r="H213" t="s">
        <v>1546</v>
      </c>
      <c r="I213" t="s">
        <v>7945</v>
      </c>
      <c r="J213" t="s">
        <v>53</v>
      </c>
      <c r="K213" t="s">
        <v>1547</v>
      </c>
      <c r="L213" t="s">
        <v>43</v>
      </c>
      <c r="M213">
        <v>8038928987</v>
      </c>
      <c r="N213" t="s">
        <v>31</v>
      </c>
      <c r="O213" t="s">
        <v>7886</v>
      </c>
      <c r="P213" t="s">
        <v>7940</v>
      </c>
      <c r="Q213" t="s">
        <v>46</v>
      </c>
      <c r="R213" t="s">
        <v>33</v>
      </c>
      <c r="S213" t="s">
        <v>34</v>
      </c>
      <c r="T213" s="1">
        <v>812500</v>
      </c>
      <c r="U213">
        <v>0</v>
      </c>
      <c r="V213" s="1">
        <v>162500</v>
      </c>
      <c r="W213" t="s">
        <v>1548</v>
      </c>
    </row>
    <row r="214" spans="1:23" x14ac:dyDescent="0.25">
      <c r="A214">
        <v>19653</v>
      </c>
      <c r="B214" t="s">
        <v>23</v>
      </c>
      <c r="D214">
        <v>217</v>
      </c>
      <c r="E214" t="s">
        <v>1549</v>
      </c>
      <c r="F214" t="s">
        <v>1550</v>
      </c>
      <c r="G214" t="s">
        <v>1551</v>
      </c>
      <c r="H214" t="s">
        <v>1552</v>
      </c>
      <c r="I214" t="s">
        <v>1553</v>
      </c>
      <c r="J214" t="s">
        <v>28</v>
      </c>
      <c r="K214" t="s">
        <v>1554</v>
      </c>
      <c r="L214" t="s">
        <v>43</v>
      </c>
      <c r="M214" s="2" t="s">
        <v>1555</v>
      </c>
      <c r="N214" t="s">
        <v>31</v>
      </c>
      <c r="O214" t="s">
        <v>7881</v>
      </c>
      <c r="P214" t="s">
        <v>7981</v>
      </c>
      <c r="Q214" t="s">
        <v>87</v>
      </c>
      <c r="R214" t="s">
        <v>33</v>
      </c>
      <c r="S214" t="s">
        <v>34</v>
      </c>
      <c r="T214" s="1">
        <v>552500</v>
      </c>
      <c r="U214">
        <v>0</v>
      </c>
      <c r="V214">
        <v>0</v>
      </c>
      <c r="W214" t="s">
        <v>1556</v>
      </c>
    </row>
    <row r="215" spans="1:23" x14ac:dyDescent="0.25">
      <c r="A215">
        <v>4981</v>
      </c>
      <c r="B215" t="s">
        <v>23</v>
      </c>
      <c r="D215">
        <v>218</v>
      </c>
      <c r="E215" t="s">
        <v>1557</v>
      </c>
      <c r="F215" t="s">
        <v>1558</v>
      </c>
      <c r="G215" t="s">
        <v>1559</v>
      </c>
      <c r="H215" t="s">
        <v>1560</v>
      </c>
      <c r="I215" t="s">
        <v>1561</v>
      </c>
      <c r="J215" t="s">
        <v>28</v>
      </c>
      <c r="K215" t="s">
        <v>1562</v>
      </c>
      <c r="L215" t="s">
        <v>43</v>
      </c>
      <c r="M215" s="2" t="s">
        <v>1563</v>
      </c>
      <c r="N215" t="s">
        <v>31</v>
      </c>
      <c r="O215" t="s">
        <v>7886</v>
      </c>
      <c r="P215" t="s">
        <v>7981</v>
      </c>
      <c r="Q215" t="s">
        <v>46</v>
      </c>
      <c r="R215" t="s">
        <v>33</v>
      </c>
      <c r="S215" t="s">
        <v>34</v>
      </c>
      <c r="T215" s="1">
        <v>812500</v>
      </c>
      <c r="U215">
        <v>0</v>
      </c>
      <c r="V215" s="1">
        <v>162500</v>
      </c>
      <c r="W215" t="s">
        <v>1564</v>
      </c>
    </row>
    <row r="216" spans="1:23" x14ac:dyDescent="0.25">
      <c r="A216">
        <v>24293</v>
      </c>
      <c r="B216" t="s">
        <v>23</v>
      </c>
      <c r="D216">
        <v>219</v>
      </c>
      <c r="E216" t="s">
        <v>1565</v>
      </c>
      <c r="F216" t="s">
        <v>980</v>
      </c>
      <c r="G216" t="s">
        <v>1566</v>
      </c>
      <c r="H216" t="s">
        <v>1567</v>
      </c>
      <c r="I216" t="s">
        <v>1568</v>
      </c>
      <c r="J216" t="s">
        <v>28</v>
      </c>
      <c r="K216" t="s">
        <v>1569</v>
      </c>
      <c r="L216" t="s">
        <v>43</v>
      </c>
      <c r="M216" s="2" t="s">
        <v>1570</v>
      </c>
      <c r="N216" t="s">
        <v>31</v>
      </c>
      <c r="O216" t="s">
        <v>7879</v>
      </c>
      <c r="P216" t="s">
        <v>7893</v>
      </c>
      <c r="Q216" t="s">
        <v>46</v>
      </c>
      <c r="R216" t="s">
        <v>33</v>
      </c>
      <c r="S216" t="s">
        <v>34</v>
      </c>
      <c r="T216" s="1">
        <v>195000</v>
      </c>
      <c r="U216">
        <v>0</v>
      </c>
      <c r="V216">
        <v>0</v>
      </c>
      <c r="W216" t="s">
        <v>1571</v>
      </c>
    </row>
    <row r="217" spans="1:23" x14ac:dyDescent="0.25">
      <c r="A217">
        <v>19963</v>
      </c>
      <c r="B217" t="s">
        <v>23</v>
      </c>
      <c r="D217">
        <v>220</v>
      </c>
      <c r="E217" t="s">
        <v>1572</v>
      </c>
      <c r="F217" t="s">
        <v>1573</v>
      </c>
      <c r="G217" t="s">
        <v>1574</v>
      </c>
      <c r="H217" t="s">
        <v>1575</v>
      </c>
      <c r="I217" t="s">
        <v>1576</v>
      </c>
      <c r="J217" t="s">
        <v>53</v>
      </c>
      <c r="K217" t="s">
        <v>1577</v>
      </c>
      <c r="L217" t="s">
        <v>43</v>
      </c>
      <c r="M217" s="2" t="s">
        <v>1578</v>
      </c>
      <c r="N217" t="s">
        <v>45</v>
      </c>
      <c r="O217" t="s">
        <v>7881</v>
      </c>
      <c r="P217" t="s">
        <v>7981</v>
      </c>
      <c r="Q217" t="s">
        <v>46</v>
      </c>
      <c r="R217" t="s">
        <v>33</v>
      </c>
      <c r="S217" t="s">
        <v>34</v>
      </c>
      <c r="T217" s="1">
        <v>552500</v>
      </c>
      <c r="U217">
        <v>0</v>
      </c>
      <c r="V217">
        <v>0</v>
      </c>
      <c r="W217" t="s">
        <v>1579</v>
      </c>
    </row>
    <row r="218" spans="1:23" x14ac:dyDescent="0.25">
      <c r="A218">
        <v>11224</v>
      </c>
      <c r="B218" t="s">
        <v>23</v>
      </c>
      <c r="D218">
        <v>221</v>
      </c>
      <c r="E218" t="s">
        <v>1580</v>
      </c>
      <c r="F218" t="s">
        <v>1581</v>
      </c>
      <c r="G218" t="s">
        <v>1582</v>
      </c>
      <c r="H218" t="s">
        <v>1583</v>
      </c>
      <c r="I218" t="s">
        <v>1584</v>
      </c>
      <c r="J218" t="s">
        <v>28</v>
      </c>
      <c r="K218" t="s">
        <v>1585</v>
      </c>
      <c r="L218" t="s">
        <v>43</v>
      </c>
      <c r="M218">
        <v>9091728069</v>
      </c>
      <c r="N218" t="s">
        <v>45</v>
      </c>
      <c r="O218" t="s">
        <v>7881</v>
      </c>
      <c r="P218" t="s">
        <v>7981</v>
      </c>
      <c r="Q218" t="s">
        <v>46</v>
      </c>
      <c r="R218" t="s">
        <v>33</v>
      </c>
      <c r="S218" t="s">
        <v>34</v>
      </c>
      <c r="T218" s="1">
        <v>552500</v>
      </c>
      <c r="U218">
        <v>0</v>
      </c>
      <c r="V218">
        <v>0</v>
      </c>
      <c r="W218" t="s">
        <v>1586</v>
      </c>
    </row>
    <row r="219" spans="1:23" x14ac:dyDescent="0.25">
      <c r="A219">
        <v>24212</v>
      </c>
      <c r="B219" t="s">
        <v>23</v>
      </c>
      <c r="D219">
        <v>222</v>
      </c>
      <c r="E219" t="s">
        <v>1587</v>
      </c>
      <c r="F219" t="s">
        <v>1588</v>
      </c>
      <c r="G219" t="s">
        <v>1589</v>
      </c>
      <c r="I219" t="s">
        <v>1590</v>
      </c>
      <c r="J219" t="s">
        <v>53</v>
      </c>
      <c r="K219" t="s">
        <v>1591</v>
      </c>
      <c r="L219" t="s">
        <v>43</v>
      </c>
      <c r="M219" s="2" t="s">
        <v>1592</v>
      </c>
      <c r="N219" t="s">
        <v>31</v>
      </c>
      <c r="O219" t="s">
        <v>7879</v>
      </c>
      <c r="P219" t="s">
        <v>8028</v>
      </c>
      <c r="Q219" t="s">
        <v>63</v>
      </c>
      <c r="R219" t="s">
        <v>33</v>
      </c>
      <c r="S219" t="s">
        <v>34</v>
      </c>
      <c r="T219" s="1">
        <v>195000</v>
      </c>
      <c r="U219">
        <v>0</v>
      </c>
      <c r="V219">
        <v>0</v>
      </c>
      <c r="W219" t="s">
        <v>1593</v>
      </c>
    </row>
    <row r="220" spans="1:23" x14ac:dyDescent="0.25">
      <c r="A220">
        <v>23971</v>
      </c>
      <c r="B220" t="s">
        <v>23</v>
      </c>
      <c r="D220">
        <v>223</v>
      </c>
      <c r="E220" t="s">
        <v>1594</v>
      </c>
      <c r="F220" t="s">
        <v>1595</v>
      </c>
      <c r="G220" t="s">
        <v>1596</v>
      </c>
      <c r="H220" t="s">
        <v>1597</v>
      </c>
      <c r="I220" t="s">
        <v>1598</v>
      </c>
      <c r="J220" t="s">
        <v>28</v>
      </c>
      <c r="K220" t="s">
        <v>1599</v>
      </c>
      <c r="L220" t="s">
        <v>453</v>
      </c>
      <c r="M220" s="2" t="s">
        <v>1600</v>
      </c>
      <c r="N220" t="s">
        <v>31</v>
      </c>
      <c r="O220" t="s">
        <v>7879</v>
      </c>
      <c r="P220" t="s">
        <v>7981</v>
      </c>
      <c r="Q220" t="s">
        <v>455</v>
      </c>
      <c r="R220" t="s">
        <v>130</v>
      </c>
      <c r="S220" t="s">
        <v>131</v>
      </c>
      <c r="T220">
        <v>150</v>
      </c>
      <c r="U220">
        <v>0</v>
      </c>
      <c r="V220">
        <v>0</v>
      </c>
      <c r="W220" t="s">
        <v>1601</v>
      </c>
    </row>
    <row r="221" spans="1:23" x14ac:dyDescent="0.25">
      <c r="A221">
        <v>11097</v>
      </c>
      <c r="B221" t="s">
        <v>23</v>
      </c>
      <c r="D221">
        <v>224</v>
      </c>
      <c r="E221" t="s">
        <v>1602</v>
      </c>
      <c r="F221" t="s">
        <v>1036</v>
      </c>
      <c r="G221" t="s">
        <v>592</v>
      </c>
      <c r="H221" t="s">
        <v>841</v>
      </c>
      <c r="I221" t="s">
        <v>1603</v>
      </c>
      <c r="J221" t="s">
        <v>28</v>
      </c>
      <c r="K221" t="s">
        <v>1604</v>
      </c>
      <c r="L221" t="s">
        <v>43</v>
      </c>
      <c r="M221">
        <v>8065864605</v>
      </c>
      <c r="N221" t="s">
        <v>45</v>
      </c>
      <c r="O221" t="s">
        <v>7881</v>
      </c>
      <c r="P221" t="s">
        <v>7981</v>
      </c>
      <c r="Q221" t="s">
        <v>46</v>
      </c>
      <c r="R221" t="s">
        <v>33</v>
      </c>
      <c r="S221" t="s">
        <v>34</v>
      </c>
      <c r="T221" s="1">
        <v>552500</v>
      </c>
      <c r="U221">
        <v>0</v>
      </c>
      <c r="V221">
        <v>0</v>
      </c>
      <c r="W221" t="s">
        <v>1605</v>
      </c>
    </row>
    <row r="222" spans="1:23" x14ac:dyDescent="0.25">
      <c r="A222">
        <v>18683</v>
      </c>
      <c r="B222" t="s">
        <v>23</v>
      </c>
      <c r="D222">
        <v>225</v>
      </c>
      <c r="E222" t="s">
        <v>1606</v>
      </c>
      <c r="F222" t="s">
        <v>1607</v>
      </c>
      <c r="G222" t="s">
        <v>1608</v>
      </c>
      <c r="H222" t="s">
        <v>1609</v>
      </c>
      <c r="I222" t="s">
        <v>1610</v>
      </c>
      <c r="J222" t="s">
        <v>28</v>
      </c>
      <c r="K222" t="s">
        <v>1611</v>
      </c>
      <c r="L222" t="s">
        <v>43</v>
      </c>
      <c r="M222" s="2" t="s">
        <v>1612</v>
      </c>
      <c r="N222" t="s">
        <v>45</v>
      </c>
      <c r="O222" t="s">
        <v>7881</v>
      </c>
      <c r="P222" t="s">
        <v>7981</v>
      </c>
      <c r="Q222" t="s">
        <v>87</v>
      </c>
      <c r="R222" t="s">
        <v>33</v>
      </c>
      <c r="S222" t="s">
        <v>34</v>
      </c>
      <c r="T222" s="1">
        <v>552500</v>
      </c>
      <c r="U222">
        <v>0</v>
      </c>
      <c r="V222">
        <v>0</v>
      </c>
      <c r="W222" t="s">
        <v>1613</v>
      </c>
    </row>
    <row r="223" spans="1:23" x14ac:dyDescent="0.25">
      <c r="A223">
        <v>24274</v>
      </c>
      <c r="B223" t="s">
        <v>23</v>
      </c>
      <c r="D223">
        <v>226</v>
      </c>
      <c r="E223" t="s">
        <v>1614</v>
      </c>
      <c r="F223" t="s">
        <v>1615</v>
      </c>
      <c r="G223" t="s">
        <v>592</v>
      </c>
      <c r="H223" t="s">
        <v>362</v>
      </c>
      <c r="I223" t="s">
        <v>1616</v>
      </c>
      <c r="J223" t="s">
        <v>28</v>
      </c>
      <c r="K223" t="s">
        <v>1617</v>
      </c>
      <c r="L223" t="s">
        <v>43</v>
      </c>
      <c r="M223" s="2" t="s">
        <v>1618</v>
      </c>
      <c r="N223" t="s">
        <v>31</v>
      </c>
      <c r="O223" t="s">
        <v>7879</v>
      </c>
      <c r="P223" t="s">
        <v>7893</v>
      </c>
      <c r="Q223" t="s">
        <v>46</v>
      </c>
      <c r="R223" t="s">
        <v>33</v>
      </c>
      <c r="S223" t="s">
        <v>34</v>
      </c>
      <c r="T223" s="1">
        <v>195000</v>
      </c>
      <c r="U223">
        <v>0</v>
      </c>
      <c r="V223">
        <v>0</v>
      </c>
      <c r="W223" t="s">
        <v>1619</v>
      </c>
    </row>
    <row r="224" spans="1:23" x14ac:dyDescent="0.25">
      <c r="A224">
        <v>19756</v>
      </c>
      <c r="B224" t="s">
        <v>23</v>
      </c>
      <c r="D224">
        <v>227</v>
      </c>
      <c r="E224" t="s">
        <v>1620</v>
      </c>
      <c r="F224" t="s">
        <v>1621</v>
      </c>
      <c r="G224" t="s">
        <v>1622</v>
      </c>
      <c r="I224" t="s">
        <v>1623</v>
      </c>
      <c r="J224" t="s">
        <v>53</v>
      </c>
      <c r="K224" t="s">
        <v>1624</v>
      </c>
      <c r="L224" t="s">
        <v>453</v>
      </c>
      <c r="M224" s="2" t="s">
        <v>1625</v>
      </c>
      <c r="N224" t="s">
        <v>45</v>
      </c>
      <c r="O224" t="s">
        <v>7881</v>
      </c>
      <c r="P224" t="s">
        <v>7893</v>
      </c>
      <c r="Q224" t="s">
        <v>455</v>
      </c>
      <c r="R224" t="s">
        <v>130</v>
      </c>
      <c r="S224" t="s">
        <v>131</v>
      </c>
      <c r="T224">
        <v>425</v>
      </c>
      <c r="U224">
        <v>0</v>
      </c>
      <c r="V224">
        <v>0</v>
      </c>
      <c r="W224" t="s">
        <v>1626</v>
      </c>
    </row>
    <row r="225" spans="1:23" x14ac:dyDescent="0.25">
      <c r="A225">
        <v>3650</v>
      </c>
      <c r="B225" t="s">
        <v>1627</v>
      </c>
      <c r="C225" t="s">
        <v>1628</v>
      </c>
      <c r="D225">
        <v>228</v>
      </c>
      <c r="E225" t="s">
        <v>1629</v>
      </c>
      <c r="F225" t="s">
        <v>1630</v>
      </c>
      <c r="G225" t="s">
        <v>679</v>
      </c>
      <c r="H225" t="s">
        <v>1631</v>
      </c>
      <c r="I225" t="s">
        <v>1632</v>
      </c>
      <c r="J225" t="s">
        <v>53</v>
      </c>
      <c r="K225" t="s">
        <v>1633</v>
      </c>
      <c r="L225" t="s">
        <v>43</v>
      </c>
      <c r="M225" s="2" t="s">
        <v>1634</v>
      </c>
      <c r="N225" t="s">
        <v>31</v>
      </c>
      <c r="O225" t="s">
        <v>7886</v>
      </c>
      <c r="P225" t="s">
        <v>7981</v>
      </c>
      <c r="Q225" t="s">
        <v>455</v>
      </c>
      <c r="R225" t="s">
        <v>33</v>
      </c>
      <c r="S225" t="s">
        <v>34</v>
      </c>
      <c r="T225" s="1">
        <v>812500</v>
      </c>
      <c r="U225">
        <v>0</v>
      </c>
      <c r="V225" s="1">
        <v>162500</v>
      </c>
      <c r="W225" t="s">
        <v>1635</v>
      </c>
    </row>
    <row r="226" spans="1:23" x14ac:dyDescent="0.25">
      <c r="A226">
        <v>24130</v>
      </c>
      <c r="B226" t="s">
        <v>23</v>
      </c>
      <c r="D226">
        <v>229</v>
      </c>
      <c r="E226" t="s">
        <v>1636</v>
      </c>
      <c r="F226" t="s">
        <v>1637</v>
      </c>
      <c r="G226" t="s">
        <v>1368</v>
      </c>
      <c r="H226" t="s">
        <v>1638</v>
      </c>
      <c r="I226" t="s">
        <v>1639</v>
      </c>
      <c r="J226" t="s">
        <v>53</v>
      </c>
      <c r="K226" t="s">
        <v>1640</v>
      </c>
      <c r="L226" t="s">
        <v>43</v>
      </c>
      <c r="M226" s="2" t="s">
        <v>1641</v>
      </c>
      <c r="N226" t="s">
        <v>31</v>
      </c>
      <c r="O226" t="s">
        <v>7879</v>
      </c>
      <c r="P226" t="s">
        <v>7940</v>
      </c>
      <c r="Q226" t="s">
        <v>46</v>
      </c>
      <c r="R226" t="s">
        <v>33</v>
      </c>
      <c r="S226" t="s">
        <v>34</v>
      </c>
      <c r="T226" s="1">
        <v>195000</v>
      </c>
      <c r="U226">
        <v>0</v>
      </c>
      <c r="V226">
        <v>0</v>
      </c>
      <c r="W226" t="s">
        <v>1642</v>
      </c>
    </row>
    <row r="227" spans="1:23" x14ac:dyDescent="0.25">
      <c r="A227">
        <v>24261</v>
      </c>
      <c r="B227" t="s">
        <v>23</v>
      </c>
      <c r="D227">
        <v>230</v>
      </c>
      <c r="E227" t="s">
        <v>1643</v>
      </c>
      <c r="F227" t="s">
        <v>1644</v>
      </c>
      <c r="G227" t="s">
        <v>1645</v>
      </c>
      <c r="I227" t="s">
        <v>1646</v>
      </c>
      <c r="J227" t="s">
        <v>28</v>
      </c>
      <c r="K227" t="s">
        <v>1647</v>
      </c>
      <c r="L227" t="s">
        <v>43</v>
      </c>
      <c r="M227" s="2" t="s">
        <v>1648</v>
      </c>
      <c r="N227" t="s">
        <v>31</v>
      </c>
      <c r="O227" t="s">
        <v>7879</v>
      </c>
      <c r="P227" t="s">
        <v>7940</v>
      </c>
      <c r="Q227" t="s">
        <v>46</v>
      </c>
      <c r="R227" t="s">
        <v>33</v>
      </c>
      <c r="S227" t="s">
        <v>34</v>
      </c>
      <c r="T227" s="1">
        <v>195000</v>
      </c>
      <c r="U227">
        <v>0</v>
      </c>
      <c r="V227">
        <v>0</v>
      </c>
      <c r="W227" t="s">
        <v>1649</v>
      </c>
    </row>
    <row r="228" spans="1:23" x14ac:dyDescent="0.25">
      <c r="A228">
        <v>23443</v>
      </c>
      <c r="B228" t="s">
        <v>23</v>
      </c>
      <c r="D228">
        <v>231</v>
      </c>
      <c r="E228" t="s">
        <v>1650</v>
      </c>
      <c r="F228" t="s">
        <v>1651</v>
      </c>
      <c r="G228" t="s">
        <v>1652</v>
      </c>
      <c r="H228" t="s">
        <v>1653</v>
      </c>
      <c r="I228" t="s">
        <v>1654</v>
      </c>
      <c r="J228" t="s">
        <v>28</v>
      </c>
      <c r="K228" t="s">
        <v>1655</v>
      </c>
      <c r="L228" t="s">
        <v>453</v>
      </c>
      <c r="M228" s="2" t="s">
        <v>1656</v>
      </c>
      <c r="N228" t="s">
        <v>31</v>
      </c>
      <c r="O228" t="s">
        <v>7879</v>
      </c>
      <c r="P228" t="s">
        <v>7893</v>
      </c>
      <c r="Q228" t="s">
        <v>455</v>
      </c>
      <c r="R228" t="s">
        <v>130</v>
      </c>
      <c r="S228" t="s">
        <v>131</v>
      </c>
      <c r="T228">
        <v>150</v>
      </c>
      <c r="U228">
        <v>0</v>
      </c>
      <c r="V228">
        <v>0</v>
      </c>
      <c r="W228" t="s">
        <v>1657</v>
      </c>
    </row>
    <row r="229" spans="1:23" x14ac:dyDescent="0.25">
      <c r="A229">
        <v>24118</v>
      </c>
      <c r="B229" t="s">
        <v>23</v>
      </c>
      <c r="D229">
        <v>232</v>
      </c>
      <c r="E229" t="s">
        <v>1658</v>
      </c>
      <c r="F229" t="s">
        <v>1659</v>
      </c>
      <c r="G229" t="s">
        <v>1660</v>
      </c>
      <c r="H229" t="s">
        <v>1661</v>
      </c>
      <c r="I229" t="s">
        <v>1662</v>
      </c>
      <c r="J229" t="s">
        <v>28</v>
      </c>
      <c r="K229" t="s">
        <v>1663</v>
      </c>
      <c r="L229" t="s">
        <v>43</v>
      </c>
      <c r="M229" s="2" t="s">
        <v>1664</v>
      </c>
      <c r="N229" t="s">
        <v>31</v>
      </c>
      <c r="O229" t="s">
        <v>7879</v>
      </c>
      <c r="P229" t="s">
        <v>8028</v>
      </c>
      <c r="Q229" t="s">
        <v>87</v>
      </c>
      <c r="R229" t="s">
        <v>33</v>
      </c>
      <c r="S229" t="s">
        <v>34</v>
      </c>
      <c r="T229" s="1">
        <v>195000</v>
      </c>
      <c r="U229">
        <v>0</v>
      </c>
      <c r="V229">
        <v>0</v>
      </c>
      <c r="W229" t="s">
        <v>1665</v>
      </c>
    </row>
    <row r="230" spans="1:23" x14ac:dyDescent="0.25">
      <c r="A230">
        <v>23997</v>
      </c>
      <c r="B230" t="s">
        <v>23</v>
      </c>
      <c r="D230">
        <v>233</v>
      </c>
      <c r="E230" t="s">
        <v>1666</v>
      </c>
      <c r="F230" t="s">
        <v>1667</v>
      </c>
      <c r="G230" t="s">
        <v>1668</v>
      </c>
      <c r="I230" t="s">
        <v>1669</v>
      </c>
      <c r="J230" t="s">
        <v>53</v>
      </c>
      <c r="K230" t="s">
        <v>1152</v>
      </c>
      <c r="L230" t="s">
        <v>30</v>
      </c>
      <c r="M230">
        <v>2203703275</v>
      </c>
      <c r="N230" t="s">
        <v>31</v>
      </c>
      <c r="O230" t="s">
        <v>7879</v>
      </c>
      <c r="P230" t="s">
        <v>7940</v>
      </c>
      <c r="Q230" t="s">
        <v>32</v>
      </c>
      <c r="R230" t="s">
        <v>33</v>
      </c>
      <c r="S230" t="s">
        <v>34</v>
      </c>
      <c r="T230" s="1">
        <v>195000</v>
      </c>
      <c r="U230">
        <v>0</v>
      </c>
      <c r="V230">
        <v>0</v>
      </c>
      <c r="W230" t="s">
        <v>1670</v>
      </c>
    </row>
    <row r="231" spans="1:23" x14ac:dyDescent="0.25">
      <c r="A231">
        <v>20937</v>
      </c>
      <c r="B231" t="s">
        <v>23</v>
      </c>
      <c r="D231">
        <v>234</v>
      </c>
      <c r="E231" t="s">
        <v>1671</v>
      </c>
      <c r="F231" t="s">
        <v>1672</v>
      </c>
      <c r="G231" t="s">
        <v>1673</v>
      </c>
      <c r="H231" t="s">
        <v>196</v>
      </c>
      <c r="I231" t="s">
        <v>1674</v>
      </c>
      <c r="J231" t="s">
        <v>28</v>
      </c>
      <c r="K231" t="s">
        <v>1675</v>
      </c>
      <c r="L231" t="s">
        <v>43</v>
      </c>
      <c r="M231" s="2" t="s">
        <v>1676</v>
      </c>
      <c r="N231" t="s">
        <v>31</v>
      </c>
      <c r="O231" t="s">
        <v>7881</v>
      </c>
      <c r="P231" t="s">
        <v>7981</v>
      </c>
      <c r="Q231" t="s">
        <v>63</v>
      </c>
      <c r="R231" t="s">
        <v>33</v>
      </c>
      <c r="S231" t="s">
        <v>34</v>
      </c>
      <c r="T231" s="1">
        <v>552500</v>
      </c>
      <c r="U231">
        <v>0</v>
      </c>
      <c r="V231">
        <v>0</v>
      </c>
      <c r="W231" t="s">
        <v>1677</v>
      </c>
    </row>
    <row r="232" spans="1:23" x14ac:dyDescent="0.25">
      <c r="A232">
        <v>7090</v>
      </c>
      <c r="B232" t="s">
        <v>23</v>
      </c>
      <c r="D232">
        <v>235</v>
      </c>
      <c r="E232" t="s">
        <v>1678</v>
      </c>
      <c r="F232" t="s">
        <v>1679</v>
      </c>
      <c r="G232" t="s">
        <v>1680</v>
      </c>
      <c r="H232" t="s">
        <v>1681</v>
      </c>
      <c r="I232" t="s">
        <v>7989</v>
      </c>
      <c r="J232" t="s">
        <v>28</v>
      </c>
      <c r="K232" t="s">
        <v>1682</v>
      </c>
      <c r="L232" t="s">
        <v>43</v>
      </c>
      <c r="M232">
        <v>8068101671</v>
      </c>
      <c r="N232" t="s">
        <v>31</v>
      </c>
      <c r="O232" t="s">
        <v>7886</v>
      </c>
      <c r="P232" t="s">
        <v>7981</v>
      </c>
      <c r="Q232" t="s">
        <v>46</v>
      </c>
      <c r="R232" t="s">
        <v>33</v>
      </c>
      <c r="S232" t="s">
        <v>34</v>
      </c>
      <c r="T232" s="1">
        <v>812500</v>
      </c>
      <c r="U232">
        <v>0</v>
      </c>
      <c r="V232" s="1">
        <v>162500</v>
      </c>
      <c r="W232" t="s">
        <v>1683</v>
      </c>
    </row>
    <row r="233" spans="1:23" x14ac:dyDescent="0.25">
      <c r="A233">
        <v>17718</v>
      </c>
      <c r="B233" t="s">
        <v>23</v>
      </c>
      <c r="D233">
        <v>236</v>
      </c>
      <c r="E233" t="s">
        <v>1684</v>
      </c>
      <c r="F233" t="s">
        <v>1685</v>
      </c>
      <c r="G233" t="s">
        <v>1686</v>
      </c>
      <c r="H233" t="s">
        <v>784</v>
      </c>
      <c r="I233" t="s">
        <v>1687</v>
      </c>
      <c r="J233" t="s">
        <v>28</v>
      </c>
      <c r="K233" t="s">
        <v>1688</v>
      </c>
      <c r="L233" t="s">
        <v>43</v>
      </c>
      <c r="M233">
        <v>8036679100</v>
      </c>
      <c r="N233" t="s">
        <v>244</v>
      </c>
      <c r="O233" t="s">
        <v>7886</v>
      </c>
      <c r="P233" t="s">
        <v>7888</v>
      </c>
      <c r="Q233" t="s">
        <v>46</v>
      </c>
      <c r="R233" t="s">
        <v>33</v>
      </c>
      <c r="S233" t="s">
        <v>34</v>
      </c>
      <c r="T233" s="1">
        <v>812500</v>
      </c>
      <c r="U233">
        <v>0</v>
      </c>
      <c r="V233">
        <v>0</v>
      </c>
      <c r="W233" t="s">
        <v>1689</v>
      </c>
    </row>
    <row r="234" spans="1:23" x14ac:dyDescent="0.25">
      <c r="A234">
        <v>24217</v>
      </c>
      <c r="B234" t="s">
        <v>23</v>
      </c>
      <c r="D234">
        <v>237</v>
      </c>
      <c r="E234" t="s">
        <v>1690</v>
      </c>
      <c r="F234" t="s">
        <v>1691</v>
      </c>
      <c r="G234" t="s">
        <v>1692</v>
      </c>
      <c r="H234" t="s">
        <v>1693</v>
      </c>
      <c r="I234" t="s">
        <v>1694</v>
      </c>
      <c r="J234" t="s">
        <v>28</v>
      </c>
      <c r="K234" t="s">
        <v>1695</v>
      </c>
      <c r="L234" t="s">
        <v>43</v>
      </c>
      <c r="M234" s="2" t="s">
        <v>1696</v>
      </c>
      <c r="N234" t="s">
        <v>31</v>
      </c>
      <c r="O234" t="s">
        <v>7879</v>
      </c>
      <c r="P234" t="s">
        <v>7893</v>
      </c>
      <c r="Q234" t="s">
        <v>87</v>
      </c>
      <c r="R234" t="s">
        <v>33</v>
      </c>
      <c r="S234" t="s">
        <v>34</v>
      </c>
      <c r="T234" s="1">
        <v>195000</v>
      </c>
      <c r="U234">
        <v>0</v>
      </c>
      <c r="V234">
        <v>0</v>
      </c>
      <c r="W234" t="s">
        <v>1697</v>
      </c>
    </row>
    <row r="235" spans="1:23" x14ac:dyDescent="0.25">
      <c r="A235">
        <v>8251</v>
      </c>
      <c r="B235" t="s">
        <v>23</v>
      </c>
      <c r="D235">
        <v>238</v>
      </c>
      <c r="E235" t="s">
        <v>1698</v>
      </c>
      <c r="F235" t="s">
        <v>1699</v>
      </c>
      <c r="G235" t="s">
        <v>1700</v>
      </c>
      <c r="H235" t="s">
        <v>1701</v>
      </c>
      <c r="I235" t="s">
        <v>1702</v>
      </c>
      <c r="J235" t="s">
        <v>28</v>
      </c>
      <c r="K235" t="s">
        <v>1703</v>
      </c>
      <c r="L235" t="s">
        <v>43</v>
      </c>
      <c r="M235">
        <v>7034654491</v>
      </c>
      <c r="N235" t="s">
        <v>244</v>
      </c>
      <c r="O235" t="s">
        <v>7886</v>
      </c>
      <c r="P235" t="s">
        <v>7981</v>
      </c>
      <c r="Q235" t="s">
        <v>63</v>
      </c>
      <c r="R235" t="s">
        <v>33</v>
      </c>
      <c r="S235" t="s">
        <v>34</v>
      </c>
      <c r="T235" s="1">
        <v>812500</v>
      </c>
      <c r="U235">
        <v>0</v>
      </c>
      <c r="V235">
        <v>0</v>
      </c>
      <c r="W235" t="s">
        <v>1704</v>
      </c>
    </row>
    <row r="236" spans="1:23" x14ac:dyDescent="0.25">
      <c r="A236">
        <v>7986</v>
      </c>
      <c r="B236" t="s">
        <v>23</v>
      </c>
      <c r="D236">
        <v>239</v>
      </c>
      <c r="E236" t="s">
        <v>1705</v>
      </c>
      <c r="F236" t="s">
        <v>1706</v>
      </c>
      <c r="G236" t="s">
        <v>1707</v>
      </c>
      <c r="H236" t="s">
        <v>1708</v>
      </c>
      <c r="I236" t="s">
        <v>1709</v>
      </c>
      <c r="J236" t="s">
        <v>53</v>
      </c>
      <c r="K236" t="s">
        <v>1710</v>
      </c>
      <c r="L236" t="s">
        <v>43</v>
      </c>
      <c r="M236">
        <v>2347067359355</v>
      </c>
      <c r="N236" t="s">
        <v>45</v>
      </c>
      <c r="O236" t="s">
        <v>7881</v>
      </c>
      <c r="P236" t="s">
        <v>7893</v>
      </c>
      <c r="Q236" t="s">
        <v>46</v>
      </c>
      <c r="R236" t="s">
        <v>33</v>
      </c>
      <c r="S236" t="s">
        <v>34</v>
      </c>
      <c r="T236" s="1">
        <v>552500</v>
      </c>
      <c r="U236">
        <v>0</v>
      </c>
      <c r="V236">
        <v>0</v>
      </c>
      <c r="W236" t="s">
        <v>1711</v>
      </c>
    </row>
    <row r="237" spans="1:23" x14ac:dyDescent="0.25">
      <c r="A237">
        <v>24237</v>
      </c>
      <c r="B237" t="s">
        <v>23</v>
      </c>
      <c r="D237">
        <v>240</v>
      </c>
      <c r="E237" t="s">
        <v>1712</v>
      </c>
      <c r="F237" t="s">
        <v>1713</v>
      </c>
      <c r="G237" t="s">
        <v>1714</v>
      </c>
      <c r="H237" t="s">
        <v>1715</v>
      </c>
      <c r="I237" t="s">
        <v>1716</v>
      </c>
      <c r="J237" t="s">
        <v>28</v>
      </c>
      <c r="K237" t="s">
        <v>1717</v>
      </c>
      <c r="L237" t="s">
        <v>453</v>
      </c>
      <c r="M237" s="2" t="s">
        <v>1718</v>
      </c>
      <c r="N237" t="s">
        <v>31</v>
      </c>
      <c r="O237" t="s">
        <v>7879</v>
      </c>
      <c r="P237" t="s">
        <v>7940</v>
      </c>
      <c r="Q237" t="s">
        <v>455</v>
      </c>
      <c r="R237" t="s">
        <v>130</v>
      </c>
      <c r="S237" t="s">
        <v>131</v>
      </c>
      <c r="T237">
        <v>150</v>
      </c>
      <c r="U237">
        <v>0</v>
      </c>
      <c r="V237">
        <v>0</v>
      </c>
      <c r="W237" t="s">
        <v>1719</v>
      </c>
    </row>
    <row r="238" spans="1:23" x14ac:dyDescent="0.25">
      <c r="A238">
        <v>24265</v>
      </c>
      <c r="B238" t="s">
        <v>23</v>
      </c>
      <c r="D238">
        <v>241</v>
      </c>
      <c r="E238" t="s">
        <v>1720</v>
      </c>
      <c r="F238" t="s">
        <v>1721</v>
      </c>
      <c r="G238" t="s">
        <v>1722</v>
      </c>
      <c r="I238" t="s">
        <v>1723</v>
      </c>
      <c r="J238" t="s">
        <v>28</v>
      </c>
      <c r="K238" t="s">
        <v>1724</v>
      </c>
      <c r="L238" t="s">
        <v>43</v>
      </c>
      <c r="M238" s="2" t="s">
        <v>1725</v>
      </c>
      <c r="N238" t="s">
        <v>31</v>
      </c>
      <c r="O238" t="s">
        <v>7879</v>
      </c>
      <c r="P238" t="s">
        <v>7893</v>
      </c>
      <c r="Q238" t="s">
        <v>46</v>
      </c>
      <c r="R238" t="s">
        <v>33</v>
      </c>
      <c r="S238" t="s">
        <v>34</v>
      </c>
      <c r="T238" s="1">
        <v>195000</v>
      </c>
      <c r="U238">
        <v>0</v>
      </c>
      <c r="V238">
        <v>0</v>
      </c>
      <c r="W238" t="s">
        <v>1726</v>
      </c>
    </row>
    <row r="239" spans="1:23" x14ac:dyDescent="0.25">
      <c r="A239">
        <v>24202</v>
      </c>
      <c r="B239" t="s">
        <v>23</v>
      </c>
      <c r="D239">
        <v>242</v>
      </c>
      <c r="E239" t="s">
        <v>1727</v>
      </c>
      <c r="F239" t="s">
        <v>1728</v>
      </c>
      <c r="G239" t="s">
        <v>1432</v>
      </c>
      <c r="I239" t="s">
        <v>1729</v>
      </c>
      <c r="J239" t="s">
        <v>28</v>
      </c>
      <c r="K239" t="s">
        <v>236</v>
      </c>
      <c r="L239" t="s">
        <v>43</v>
      </c>
      <c r="M239" s="2" t="s">
        <v>1730</v>
      </c>
      <c r="N239" t="s">
        <v>31</v>
      </c>
      <c r="O239" t="s">
        <v>7879</v>
      </c>
      <c r="P239" t="s">
        <v>7981</v>
      </c>
      <c r="Q239" t="s">
        <v>46</v>
      </c>
      <c r="R239" t="s">
        <v>33</v>
      </c>
      <c r="S239" t="s">
        <v>34</v>
      </c>
      <c r="T239" s="1">
        <v>195000</v>
      </c>
      <c r="U239">
        <v>0</v>
      </c>
      <c r="V239">
        <v>0</v>
      </c>
      <c r="W239" t="s">
        <v>1731</v>
      </c>
    </row>
    <row r="240" spans="1:23" x14ac:dyDescent="0.25">
      <c r="A240">
        <v>21037</v>
      </c>
      <c r="B240" t="s">
        <v>23</v>
      </c>
      <c r="D240">
        <v>243</v>
      </c>
      <c r="E240" t="s">
        <v>1732</v>
      </c>
      <c r="F240" t="s">
        <v>1733</v>
      </c>
      <c r="G240" t="s">
        <v>1734</v>
      </c>
      <c r="H240" t="s">
        <v>1735</v>
      </c>
      <c r="I240" t="s">
        <v>1736</v>
      </c>
      <c r="J240" t="s">
        <v>53</v>
      </c>
      <c r="K240" t="s">
        <v>1737</v>
      </c>
      <c r="L240" t="s">
        <v>43</v>
      </c>
      <c r="M240" s="2" t="s">
        <v>1738</v>
      </c>
      <c r="N240" t="s">
        <v>31</v>
      </c>
      <c r="O240" t="s">
        <v>7881</v>
      </c>
      <c r="P240" t="s">
        <v>8028</v>
      </c>
      <c r="Q240" t="s">
        <v>87</v>
      </c>
      <c r="R240" t="s">
        <v>33</v>
      </c>
      <c r="S240" t="s">
        <v>34</v>
      </c>
      <c r="T240" s="1">
        <v>552500</v>
      </c>
      <c r="U240">
        <v>0</v>
      </c>
      <c r="V240">
        <v>0</v>
      </c>
      <c r="W240" t="s">
        <v>1739</v>
      </c>
    </row>
    <row r="241" spans="1:23" x14ac:dyDescent="0.25">
      <c r="A241">
        <v>23092</v>
      </c>
      <c r="B241" t="s">
        <v>23</v>
      </c>
      <c r="D241">
        <v>244</v>
      </c>
      <c r="E241" t="s">
        <v>1740</v>
      </c>
      <c r="F241" t="s">
        <v>1741</v>
      </c>
      <c r="G241" t="s">
        <v>1742</v>
      </c>
      <c r="I241" t="s">
        <v>1743</v>
      </c>
      <c r="J241" t="s">
        <v>28</v>
      </c>
      <c r="K241" t="s">
        <v>480</v>
      </c>
      <c r="L241" t="s">
        <v>453</v>
      </c>
      <c r="M241" s="2" t="s">
        <v>1744</v>
      </c>
      <c r="N241" t="s">
        <v>31</v>
      </c>
      <c r="O241" t="s">
        <v>7879</v>
      </c>
      <c r="P241" t="s">
        <v>7981</v>
      </c>
      <c r="Q241" t="s">
        <v>455</v>
      </c>
      <c r="R241" t="s">
        <v>33</v>
      </c>
      <c r="S241" t="s">
        <v>34</v>
      </c>
      <c r="T241" s="1">
        <v>195000</v>
      </c>
      <c r="U241">
        <v>0</v>
      </c>
      <c r="V241">
        <v>0</v>
      </c>
      <c r="W241" t="s">
        <v>1745</v>
      </c>
    </row>
    <row r="242" spans="1:23" x14ac:dyDescent="0.25">
      <c r="A242">
        <v>6207</v>
      </c>
      <c r="B242" t="s">
        <v>23</v>
      </c>
      <c r="D242">
        <v>245</v>
      </c>
      <c r="E242" t="s">
        <v>1746</v>
      </c>
      <c r="F242" t="s">
        <v>1747</v>
      </c>
      <c r="G242" t="s">
        <v>1748</v>
      </c>
      <c r="H242" t="s">
        <v>1686</v>
      </c>
      <c r="I242" t="s">
        <v>7946</v>
      </c>
      <c r="J242" t="s">
        <v>28</v>
      </c>
      <c r="K242" t="s">
        <v>1749</v>
      </c>
      <c r="L242" t="s">
        <v>43</v>
      </c>
      <c r="M242" s="2" t="s">
        <v>1750</v>
      </c>
      <c r="N242" t="s">
        <v>1207</v>
      </c>
      <c r="O242" t="s">
        <v>7886</v>
      </c>
      <c r="P242" t="s">
        <v>7940</v>
      </c>
      <c r="Q242" t="s">
        <v>63</v>
      </c>
      <c r="R242" t="s">
        <v>33</v>
      </c>
      <c r="S242" t="s">
        <v>34</v>
      </c>
      <c r="T242" s="1">
        <v>812500</v>
      </c>
      <c r="U242">
        <v>0</v>
      </c>
      <c r="V242" s="1">
        <v>162500</v>
      </c>
      <c r="W242" t="s">
        <v>1751</v>
      </c>
    </row>
    <row r="243" spans="1:23" x14ac:dyDescent="0.25">
      <c r="A243">
        <v>19512</v>
      </c>
      <c r="B243" t="s">
        <v>23</v>
      </c>
      <c r="D243">
        <v>246</v>
      </c>
      <c r="E243" t="s">
        <v>1752</v>
      </c>
      <c r="F243" t="s">
        <v>1753</v>
      </c>
      <c r="G243" t="s">
        <v>1754</v>
      </c>
      <c r="H243" t="s">
        <v>1755</v>
      </c>
      <c r="I243" t="s">
        <v>1756</v>
      </c>
      <c r="J243" t="s">
        <v>53</v>
      </c>
      <c r="K243" t="s">
        <v>1757</v>
      </c>
      <c r="L243" t="s">
        <v>43</v>
      </c>
      <c r="M243" s="2" t="s">
        <v>1758</v>
      </c>
      <c r="N243" t="s">
        <v>31</v>
      </c>
      <c r="O243" t="s">
        <v>7881</v>
      </c>
      <c r="P243" t="s">
        <v>7940</v>
      </c>
      <c r="Q243" t="s">
        <v>63</v>
      </c>
      <c r="R243" t="s">
        <v>33</v>
      </c>
      <c r="S243" t="s">
        <v>34</v>
      </c>
      <c r="T243" s="1">
        <v>552500</v>
      </c>
      <c r="U243">
        <v>0</v>
      </c>
      <c r="V243">
        <v>0</v>
      </c>
      <c r="W243" t="s">
        <v>1759</v>
      </c>
    </row>
    <row r="244" spans="1:23" x14ac:dyDescent="0.25">
      <c r="A244">
        <v>24266</v>
      </c>
      <c r="B244" t="s">
        <v>23</v>
      </c>
      <c r="D244">
        <v>247</v>
      </c>
      <c r="E244" t="s">
        <v>1760</v>
      </c>
      <c r="F244" t="s">
        <v>1761</v>
      </c>
      <c r="G244" t="s">
        <v>1762</v>
      </c>
      <c r="H244" t="s">
        <v>1763</v>
      </c>
      <c r="I244" t="s">
        <v>1764</v>
      </c>
      <c r="J244" t="s">
        <v>28</v>
      </c>
      <c r="K244" t="s">
        <v>1765</v>
      </c>
      <c r="L244" t="s">
        <v>43</v>
      </c>
      <c r="M244">
        <v>2348058534173</v>
      </c>
      <c r="N244" t="s">
        <v>31</v>
      </c>
      <c r="O244" t="s">
        <v>7879</v>
      </c>
      <c r="P244" t="s">
        <v>7893</v>
      </c>
      <c r="Q244" t="s">
        <v>87</v>
      </c>
      <c r="R244" t="s">
        <v>33</v>
      </c>
      <c r="S244" t="s">
        <v>34</v>
      </c>
      <c r="T244" s="1">
        <v>195000</v>
      </c>
      <c r="U244">
        <v>0</v>
      </c>
      <c r="V244">
        <v>0</v>
      </c>
      <c r="W244" t="s">
        <v>1766</v>
      </c>
    </row>
    <row r="245" spans="1:23" x14ac:dyDescent="0.25">
      <c r="A245">
        <v>23275</v>
      </c>
      <c r="B245" t="s">
        <v>23</v>
      </c>
      <c r="D245">
        <v>248</v>
      </c>
      <c r="E245" t="s">
        <v>1767</v>
      </c>
      <c r="F245" t="s">
        <v>1768</v>
      </c>
      <c r="G245" t="s">
        <v>1769</v>
      </c>
      <c r="H245" t="s">
        <v>1770</v>
      </c>
      <c r="I245" t="s">
        <v>1771</v>
      </c>
      <c r="J245" t="s">
        <v>28</v>
      </c>
      <c r="K245" t="s">
        <v>1772</v>
      </c>
      <c r="L245" t="s">
        <v>43</v>
      </c>
      <c r="M245" s="2" t="s">
        <v>1773</v>
      </c>
      <c r="N245" t="s">
        <v>45</v>
      </c>
      <c r="O245" t="s">
        <v>7879</v>
      </c>
      <c r="P245" t="s">
        <v>7940</v>
      </c>
      <c r="Q245" t="s">
        <v>87</v>
      </c>
      <c r="R245" t="s">
        <v>33</v>
      </c>
      <c r="S245" t="s">
        <v>34</v>
      </c>
      <c r="T245" s="1">
        <v>195000</v>
      </c>
      <c r="U245">
        <v>0</v>
      </c>
      <c r="V245">
        <v>0</v>
      </c>
      <c r="W245" t="s">
        <v>1774</v>
      </c>
    </row>
    <row r="246" spans="1:23" x14ac:dyDescent="0.25">
      <c r="A246">
        <v>24307</v>
      </c>
      <c r="B246" t="s">
        <v>23</v>
      </c>
      <c r="D246">
        <v>249</v>
      </c>
      <c r="E246" t="s">
        <v>1775</v>
      </c>
      <c r="F246" t="s">
        <v>1520</v>
      </c>
      <c r="G246" t="s">
        <v>1776</v>
      </c>
      <c r="I246" t="s">
        <v>1777</v>
      </c>
      <c r="J246" t="s">
        <v>53</v>
      </c>
      <c r="K246" t="s">
        <v>1521</v>
      </c>
      <c r="L246" t="s">
        <v>765</v>
      </c>
      <c r="M246">
        <f>23272271111/23279613868</f>
        <v>0.99968458424432494</v>
      </c>
      <c r="N246" t="s">
        <v>31</v>
      </c>
      <c r="O246" t="s">
        <v>7881</v>
      </c>
      <c r="P246" t="s">
        <v>8028</v>
      </c>
      <c r="Q246" t="s">
        <v>1480</v>
      </c>
      <c r="R246" t="s">
        <v>130</v>
      </c>
      <c r="S246" t="s">
        <v>131</v>
      </c>
      <c r="T246">
        <v>425</v>
      </c>
      <c r="U246">
        <v>0</v>
      </c>
      <c r="V246">
        <v>0</v>
      </c>
      <c r="W246" t="s">
        <v>1778</v>
      </c>
    </row>
    <row r="247" spans="1:23" x14ac:dyDescent="0.25">
      <c r="A247">
        <v>24275</v>
      </c>
      <c r="B247" t="s">
        <v>23</v>
      </c>
      <c r="D247">
        <v>250</v>
      </c>
      <c r="E247" t="s">
        <v>1779</v>
      </c>
      <c r="F247" t="s">
        <v>1780</v>
      </c>
      <c r="G247" t="s">
        <v>1781</v>
      </c>
      <c r="H247" t="s">
        <v>1782</v>
      </c>
      <c r="I247" t="s">
        <v>1783</v>
      </c>
      <c r="J247" t="s">
        <v>53</v>
      </c>
      <c r="K247" t="s">
        <v>1784</v>
      </c>
      <c r="L247" t="s">
        <v>43</v>
      </c>
      <c r="M247" s="2" t="s">
        <v>1785</v>
      </c>
      <c r="N247" t="s">
        <v>31</v>
      </c>
      <c r="O247" t="s">
        <v>7879</v>
      </c>
      <c r="P247" t="s">
        <v>7893</v>
      </c>
      <c r="Q247" t="s">
        <v>46</v>
      </c>
      <c r="R247" t="s">
        <v>33</v>
      </c>
      <c r="S247" t="s">
        <v>34</v>
      </c>
      <c r="T247" s="1">
        <v>195000</v>
      </c>
      <c r="U247">
        <v>0</v>
      </c>
      <c r="V247">
        <v>0</v>
      </c>
      <c r="W247" t="s">
        <v>1786</v>
      </c>
    </row>
    <row r="248" spans="1:23" x14ac:dyDescent="0.25">
      <c r="A248">
        <v>24298</v>
      </c>
      <c r="B248" t="s">
        <v>23</v>
      </c>
      <c r="D248">
        <v>251</v>
      </c>
      <c r="E248" t="s">
        <v>1787</v>
      </c>
      <c r="F248" t="s">
        <v>1788</v>
      </c>
      <c r="G248" t="s">
        <v>1440</v>
      </c>
      <c r="H248" t="s">
        <v>465</v>
      </c>
      <c r="I248" t="s">
        <v>1789</v>
      </c>
      <c r="J248" t="s">
        <v>28</v>
      </c>
      <c r="K248" t="s">
        <v>1790</v>
      </c>
      <c r="L248" t="s">
        <v>43</v>
      </c>
      <c r="M248" s="2" t="s">
        <v>1791</v>
      </c>
      <c r="N248" t="s">
        <v>31</v>
      </c>
      <c r="O248" t="s">
        <v>7879</v>
      </c>
      <c r="P248" t="s">
        <v>7893</v>
      </c>
      <c r="Q248" t="s">
        <v>46</v>
      </c>
      <c r="R248" t="s">
        <v>33</v>
      </c>
      <c r="S248" t="s">
        <v>34</v>
      </c>
      <c r="T248" s="1">
        <v>195000</v>
      </c>
      <c r="U248">
        <v>0</v>
      </c>
      <c r="V248">
        <v>0</v>
      </c>
      <c r="W248" t="s">
        <v>1792</v>
      </c>
    </row>
    <row r="249" spans="1:23" x14ac:dyDescent="0.25">
      <c r="A249">
        <v>20115</v>
      </c>
      <c r="B249" t="s">
        <v>23</v>
      </c>
      <c r="D249">
        <v>252</v>
      </c>
      <c r="E249" t="s">
        <v>1793</v>
      </c>
      <c r="F249" t="s">
        <v>1794</v>
      </c>
      <c r="G249" t="s">
        <v>769</v>
      </c>
      <c r="H249" t="s">
        <v>1795</v>
      </c>
      <c r="I249" t="s">
        <v>1796</v>
      </c>
      <c r="J249" t="s">
        <v>53</v>
      </c>
      <c r="K249" t="s">
        <v>1797</v>
      </c>
      <c r="L249" t="s">
        <v>453</v>
      </c>
      <c r="M249" s="2" t="s">
        <v>1798</v>
      </c>
      <c r="N249" t="s">
        <v>31</v>
      </c>
      <c r="O249" t="s">
        <v>7881</v>
      </c>
      <c r="P249" t="s">
        <v>8028</v>
      </c>
      <c r="Q249" t="s">
        <v>455</v>
      </c>
      <c r="R249" t="s">
        <v>130</v>
      </c>
      <c r="S249" t="s">
        <v>131</v>
      </c>
      <c r="T249">
        <v>425</v>
      </c>
      <c r="U249">
        <v>0</v>
      </c>
      <c r="V249">
        <v>0</v>
      </c>
      <c r="W249" t="s">
        <v>1799</v>
      </c>
    </row>
    <row r="250" spans="1:23" x14ac:dyDescent="0.25">
      <c r="A250">
        <v>23970</v>
      </c>
      <c r="B250" t="s">
        <v>23</v>
      </c>
      <c r="D250">
        <v>253</v>
      </c>
      <c r="E250" t="s">
        <v>1800</v>
      </c>
      <c r="F250" t="s">
        <v>1801</v>
      </c>
      <c r="G250" t="s">
        <v>1802</v>
      </c>
      <c r="H250" t="s">
        <v>1803</v>
      </c>
      <c r="I250" t="s">
        <v>1804</v>
      </c>
      <c r="J250" t="s">
        <v>28</v>
      </c>
      <c r="K250" t="s">
        <v>1805</v>
      </c>
      <c r="L250" t="s">
        <v>43</v>
      </c>
      <c r="M250">
        <v>2348139585826</v>
      </c>
      <c r="N250" t="s">
        <v>31</v>
      </c>
      <c r="O250" t="s">
        <v>7879</v>
      </c>
      <c r="P250" t="s">
        <v>7940</v>
      </c>
      <c r="Q250" t="s">
        <v>63</v>
      </c>
      <c r="R250" t="s">
        <v>33</v>
      </c>
      <c r="S250" t="s">
        <v>34</v>
      </c>
      <c r="T250" s="1">
        <v>195000</v>
      </c>
      <c r="U250">
        <v>0</v>
      </c>
      <c r="V250">
        <v>0</v>
      </c>
      <c r="W250" t="s">
        <v>1806</v>
      </c>
    </row>
    <row r="251" spans="1:23" x14ac:dyDescent="0.25">
      <c r="A251">
        <v>21046</v>
      </c>
      <c r="B251" t="s">
        <v>23</v>
      </c>
      <c r="D251">
        <v>254</v>
      </c>
      <c r="E251" t="s">
        <v>1807</v>
      </c>
      <c r="F251" t="s">
        <v>1808</v>
      </c>
      <c r="G251" t="s">
        <v>1809</v>
      </c>
      <c r="H251" t="s">
        <v>1810</v>
      </c>
      <c r="I251" t="s">
        <v>1811</v>
      </c>
      <c r="J251" t="s">
        <v>53</v>
      </c>
      <c r="K251" t="s">
        <v>1812</v>
      </c>
      <c r="L251" t="s">
        <v>43</v>
      </c>
      <c r="M251" s="2" t="s">
        <v>1813</v>
      </c>
      <c r="N251" t="s">
        <v>45</v>
      </c>
      <c r="O251" t="s">
        <v>7881</v>
      </c>
      <c r="P251" t="s">
        <v>7981</v>
      </c>
      <c r="Q251" t="s">
        <v>87</v>
      </c>
      <c r="R251" t="s">
        <v>33</v>
      </c>
      <c r="S251" t="s">
        <v>34</v>
      </c>
      <c r="T251" s="1">
        <v>552500</v>
      </c>
      <c r="U251">
        <v>0</v>
      </c>
      <c r="V251">
        <v>0</v>
      </c>
      <c r="W251" t="s">
        <v>1814</v>
      </c>
    </row>
    <row r="252" spans="1:23" x14ac:dyDescent="0.25">
      <c r="A252">
        <v>20150</v>
      </c>
      <c r="B252" t="s">
        <v>23</v>
      </c>
      <c r="D252">
        <v>255</v>
      </c>
      <c r="E252" t="s">
        <v>1815</v>
      </c>
      <c r="F252" t="s">
        <v>1816</v>
      </c>
      <c r="G252" t="s">
        <v>1817</v>
      </c>
      <c r="H252" t="s">
        <v>1818</v>
      </c>
      <c r="I252" t="s">
        <v>1819</v>
      </c>
      <c r="J252" t="s">
        <v>28</v>
      </c>
      <c r="K252" t="s">
        <v>1820</v>
      </c>
      <c r="L252" t="s">
        <v>453</v>
      </c>
      <c r="M252">
        <v>233509154852</v>
      </c>
      <c r="N252" t="s">
        <v>31</v>
      </c>
      <c r="O252" t="s">
        <v>7881</v>
      </c>
      <c r="P252" t="s">
        <v>8028</v>
      </c>
      <c r="Q252" t="s">
        <v>455</v>
      </c>
      <c r="R252" t="s">
        <v>130</v>
      </c>
      <c r="S252" t="s">
        <v>131</v>
      </c>
      <c r="T252">
        <v>425</v>
      </c>
      <c r="U252">
        <v>0</v>
      </c>
      <c r="V252">
        <v>0</v>
      </c>
      <c r="W252" t="s">
        <v>1821</v>
      </c>
    </row>
    <row r="253" spans="1:23" x14ac:dyDescent="0.25">
      <c r="A253">
        <v>4005</v>
      </c>
      <c r="B253" t="s">
        <v>23</v>
      </c>
      <c r="D253">
        <v>256</v>
      </c>
      <c r="E253" t="s">
        <v>1822</v>
      </c>
      <c r="F253" t="s">
        <v>1823</v>
      </c>
      <c r="G253" t="s">
        <v>1824</v>
      </c>
      <c r="H253" t="s">
        <v>1825</v>
      </c>
      <c r="I253" t="s">
        <v>7906</v>
      </c>
      <c r="J253" t="s">
        <v>53</v>
      </c>
      <c r="K253" t="s">
        <v>1826</v>
      </c>
      <c r="L253" t="s">
        <v>43</v>
      </c>
      <c r="M253" s="2" t="s">
        <v>1827</v>
      </c>
      <c r="N253" t="s">
        <v>244</v>
      </c>
      <c r="O253" t="s">
        <v>7886</v>
      </c>
      <c r="P253" t="s">
        <v>7898</v>
      </c>
      <c r="Q253" t="s">
        <v>46</v>
      </c>
      <c r="R253" t="s">
        <v>33</v>
      </c>
      <c r="S253" t="s">
        <v>34</v>
      </c>
      <c r="T253" s="1">
        <v>812500</v>
      </c>
      <c r="U253">
        <v>0</v>
      </c>
      <c r="V253">
        <v>0</v>
      </c>
      <c r="W253" t="s">
        <v>1828</v>
      </c>
    </row>
    <row r="254" spans="1:23" x14ac:dyDescent="0.25">
      <c r="A254">
        <v>7207</v>
      </c>
      <c r="B254" t="s">
        <v>23</v>
      </c>
      <c r="D254">
        <v>257</v>
      </c>
      <c r="E254" t="s">
        <v>1829</v>
      </c>
      <c r="F254" t="s">
        <v>1830</v>
      </c>
      <c r="G254" t="s">
        <v>1831</v>
      </c>
      <c r="H254" t="s">
        <v>1832</v>
      </c>
      <c r="I254" t="s">
        <v>1833</v>
      </c>
      <c r="J254" t="s">
        <v>28</v>
      </c>
      <c r="K254" t="s">
        <v>1834</v>
      </c>
      <c r="L254" t="s">
        <v>30</v>
      </c>
      <c r="M254">
        <f>2207884587/ 9466542</f>
        <v>233.23031651895698</v>
      </c>
      <c r="N254" t="s">
        <v>45</v>
      </c>
      <c r="O254" t="s">
        <v>7879</v>
      </c>
      <c r="P254" t="s">
        <v>7981</v>
      </c>
      <c r="Q254" t="s">
        <v>32</v>
      </c>
      <c r="R254" t="s">
        <v>33</v>
      </c>
      <c r="S254" t="s">
        <v>34</v>
      </c>
      <c r="T254" s="1">
        <v>195000</v>
      </c>
      <c r="U254">
        <v>0</v>
      </c>
      <c r="V254">
        <v>0</v>
      </c>
      <c r="W254" t="s">
        <v>1835</v>
      </c>
    </row>
    <row r="255" spans="1:23" x14ac:dyDescent="0.25">
      <c r="A255">
        <v>23392</v>
      </c>
      <c r="B255" t="s">
        <v>23</v>
      </c>
      <c r="D255">
        <v>258</v>
      </c>
      <c r="E255" t="s">
        <v>1836</v>
      </c>
      <c r="F255" t="s">
        <v>1837</v>
      </c>
      <c r="G255" t="s">
        <v>1838</v>
      </c>
      <c r="I255" t="s">
        <v>1839</v>
      </c>
      <c r="J255" t="s">
        <v>53</v>
      </c>
      <c r="K255" t="s">
        <v>1840</v>
      </c>
      <c r="L255" t="s">
        <v>43</v>
      </c>
      <c r="M255">
        <v>2348037481560</v>
      </c>
      <c r="N255" t="s">
        <v>45</v>
      </c>
      <c r="O255" t="s">
        <v>7879</v>
      </c>
      <c r="P255" t="s">
        <v>8028</v>
      </c>
      <c r="Q255" t="s">
        <v>46</v>
      </c>
      <c r="R255" t="s">
        <v>33</v>
      </c>
      <c r="S255" t="s">
        <v>34</v>
      </c>
      <c r="T255" s="1">
        <v>195000</v>
      </c>
      <c r="U255">
        <v>0</v>
      </c>
      <c r="V255">
        <v>0</v>
      </c>
      <c r="W255" t="s">
        <v>1841</v>
      </c>
    </row>
    <row r="256" spans="1:23" x14ac:dyDescent="0.25">
      <c r="A256">
        <v>9887</v>
      </c>
      <c r="B256" t="s">
        <v>23</v>
      </c>
      <c r="D256">
        <v>259</v>
      </c>
      <c r="E256" t="s">
        <v>1842</v>
      </c>
      <c r="F256" t="s">
        <v>1843</v>
      </c>
      <c r="G256" t="s">
        <v>1844</v>
      </c>
      <c r="H256" t="s">
        <v>1845</v>
      </c>
      <c r="I256" t="s">
        <v>1846</v>
      </c>
      <c r="J256" t="s">
        <v>28</v>
      </c>
      <c r="K256" t="s">
        <v>822</v>
      </c>
      <c r="L256" t="s">
        <v>43</v>
      </c>
      <c r="M256">
        <v>2348061635880</v>
      </c>
      <c r="N256" t="s">
        <v>31</v>
      </c>
      <c r="O256" t="s">
        <v>7886</v>
      </c>
      <c r="P256" t="s">
        <v>7979</v>
      </c>
      <c r="Q256" t="s">
        <v>63</v>
      </c>
      <c r="R256" t="s">
        <v>33</v>
      </c>
      <c r="S256" t="s">
        <v>34</v>
      </c>
      <c r="T256" s="1">
        <v>812500</v>
      </c>
      <c r="U256" s="1">
        <v>110500</v>
      </c>
      <c r="V256" s="1">
        <v>162500</v>
      </c>
      <c r="W256" t="s">
        <v>1847</v>
      </c>
    </row>
    <row r="257" spans="1:23" x14ac:dyDescent="0.25">
      <c r="A257">
        <v>3934</v>
      </c>
      <c r="B257" t="s">
        <v>23</v>
      </c>
      <c r="D257">
        <v>260</v>
      </c>
      <c r="E257" t="s">
        <v>1848</v>
      </c>
      <c r="F257" t="s">
        <v>1849</v>
      </c>
      <c r="G257" t="s">
        <v>1850</v>
      </c>
      <c r="H257" t="s">
        <v>1851</v>
      </c>
      <c r="I257" t="s">
        <v>1852</v>
      </c>
      <c r="J257" t="s">
        <v>28</v>
      </c>
      <c r="K257" t="s">
        <v>364</v>
      </c>
      <c r="L257" t="s">
        <v>43</v>
      </c>
      <c r="M257">
        <v>9036466550</v>
      </c>
      <c r="N257" t="s">
        <v>31</v>
      </c>
      <c r="O257" t="s">
        <v>7879</v>
      </c>
      <c r="P257" t="s">
        <v>7893</v>
      </c>
      <c r="Q257" t="s">
        <v>46</v>
      </c>
      <c r="R257" t="s">
        <v>33</v>
      </c>
      <c r="S257" t="s">
        <v>34</v>
      </c>
      <c r="T257" s="1">
        <v>195000</v>
      </c>
      <c r="U257">
        <v>0</v>
      </c>
      <c r="V257">
        <v>0</v>
      </c>
      <c r="W257" t="s">
        <v>1853</v>
      </c>
    </row>
    <row r="258" spans="1:23" x14ac:dyDescent="0.25">
      <c r="A258">
        <v>24263</v>
      </c>
      <c r="B258" t="s">
        <v>23</v>
      </c>
      <c r="D258">
        <v>261</v>
      </c>
      <c r="E258" t="s">
        <v>1854</v>
      </c>
      <c r="F258" t="s">
        <v>1855</v>
      </c>
      <c r="G258" t="s">
        <v>592</v>
      </c>
      <c r="I258" t="s">
        <v>1856</v>
      </c>
      <c r="J258" t="s">
        <v>28</v>
      </c>
      <c r="K258" t="s">
        <v>1857</v>
      </c>
      <c r="L258" t="s">
        <v>43</v>
      </c>
      <c r="M258">
        <v>2347087622221</v>
      </c>
      <c r="N258" t="s">
        <v>31</v>
      </c>
      <c r="O258" t="s">
        <v>7879</v>
      </c>
      <c r="P258" t="s">
        <v>8028</v>
      </c>
      <c r="Q258" t="s">
        <v>46</v>
      </c>
      <c r="R258" t="s">
        <v>33</v>
      </c>
      <c r="S258" t="s">
        <v>34</v>
      </c>
      <c r="T258" s="1">
        <v>195000</v>
      </c>
      <c r="U258">
        <v>0</v>
      </c>
      <c r="V258">
        <v>0</v>
      </c>
      <c r="W258" t="s">
        <v>1858</v>
      </c>
    </row>
    <row r="259" spans="1:23" x14ac:dyDescent="0.25">
      <c r="A259">
        <v>11419</v>
      </c>
      <c r="B259" t="s">
        <v>23</v>
      </c>
      <c r="D259">
        <v>262</v>
      </c>
      <c r="E259" t="s">
        <v>1859</v>
      </c>
      <c r="F259" t="s">
        <v>1860</v>
      </c>
      <c r="G259" t="s">
        <v>1861</v>
      </c>
      <c r="H259" t="s">
        <v>1862</v>
      </c>
      <c r="I259" t="s">
        <v>1863</v>
      </c>
      <c r="J259" t="s">
        <v>28</v>
      </c>
      <c r="K259" t="s">
        <v>1864</v>
      </c>
      <c r="L259" t="s">
        <v>43</v>
      </c>
      <c r="M259">
        <v>7060994629</v>
      </c>
      <c r="N259" t="s">
        <v>45</v>
      </c>
      <c r="O259" t="s">
        <v>7881</v>
      </c>
      <c r="P259" t="s">
        <v>7940</v>
      </c>
      <c r="Q259" t="s">
        <v>46</v>
      </c>
      <c r="R259" t="s">
        <v>33</v>
      </c>
      <c r="S259" t="s">
        <v>34</v>
      </c>
      <c r="T259" s="1">
        <v>552500</v>
      </c>
      <c r="U259">
        <v>0</v>
      </c>
      <c r="V259">
        <v>0</v>
      </c>
      <c r="W259" t="s">
        <v>1865</v>
      </c>
    </row>
    <row r="260" spans="1:23" x14ac:dyDescent="0.25">
      <c r="A260">
        <v>18611</v>
      </c>
      <c r="B260" t="s">
        <v>23</v>
      </c>
      <c r="D260">
        <v>263</v>
      </c>
      <c r="E260" t="s">
        <v>1866</v>
      </c>
      <c r="F260" t="s">
        <v>1867</v>
      </c>
      <c r="G260" t="s">
        <v>769</v>
      </c>
      <c r="H260" t="s">
        <v>1868</v>
      </c>
      <c r="I260" t="s">
        <v>1869</v>
      </c>
      <c r="J260" t="s">
        <v>53</v>
      </c>
      <c r="K260" t="s">
        <v>1870</v>
      </c>
      <c r="L260" t="s">
        <v>765</v>
      </c>
      <c r="M260">
        <v>23276128829</v>
      </c>
      <c r="N260" t="s">
        <v>31</v>
      </c>
      <c r="O260" t="s">
        <v>7881</v>
      </c>
      <c r="P260" t="s">
        <v>7893</v>
      </c>
      <c r="Q260" t="s">
        <v>46</v>
      </c>
      <c r="R260" t="s">
        <v>33</v>
      </c>
      <c r="S260" t="s">
        <v>34</v>
      </c>
      <c r="T260" s="1">
        <v>552500</v>
      </c>
      <c r="U260">
        <v>0</v>
      </c>
      <c r="V260">
        <v>0</v>
      </c>
      <c r="W260" t="s">
        <v>1871</v>
      </c>
    </row>
    <row r="261" spans="1:23" x14ac:dyDescent="0.25">
      <c r="A261">
        <v>5679</v>
      </c>
      <c r="B261" t="s">
        <v>23</v>
      </c>
      <c r="D261">
        <v>264</v>
      </c>
      <c r="E261" t="s">
        <v>1872</v>
      </c>
      <c r="F261" t="s">
        <v>1873</v>
      </c>
      <c r="G261" t="s">
        <v>1874</v>
      </c>
      <c r="H261" t="s">
        <v>1875</v>
      </c>
      <c r="I261" t="s">
        <v>1876</v>
      </c>
      <c r="J261" t="s">
        <v>53</v>
      </c>
      <c r="K261" t="s">
        <v>1877</v>
      </c>
      <c r="L261" t="s">
        <v>43</v>
      </c>
      <c r="M261" s="2" t="s">
        <v>1878</v>
      </c>
      <c r="N261" t="s">
        <v>31</v>
      </c>
      <c r="O261" t="s">
        <v>7886</v>
      </c>
      <c r="P261" t="s">
        <v>7940</v>
      </c>
      <c r="Q261" t="s">
        <v>63</v>
      </c>
      <c r="R261" t="s">
        <v>33</v>
      </c>
      <c r="S261" t="s">
        <v>34</v>
      </c>
      <c r="T261" s="1">
        <v>812500</v>
      </c>
      <c r="U261">
        <v>0</v>
      </c>
      <c r="V261" s="1">
        <v>162500</v>
      </c>
      <c r="W261" t="s">
        <v>1879</v>
      </c>
    </row>
    <row r="262" spans="1:23" x14ac:dyDescent="0.25">
      <c r="A262">
        <v>3787</v>
      </c>
      <c r="B262" t="s">
        <v>23</v>
      </c>
      <c r="D262">
        <v>265</v>
      </c>
      <c r="E262" t="s">
        <v>1880</v>
      </c>
      <c r="F262" t="s">
        <v>1881</v>
      </c>
      <c r="G262" t="s">
        <v>1882</v>
      </c>
      <c r="H262" t="s">
        <v>1883</v>
      </c>
      <c r="I262" t="s">
        <v>1884</v>
      </c>
      <c r="J262" t="s">
        <v>28</v>
      </c>
      <c r="K262" t="s">
        <v>778</v>
      </c>
      <c r="L262" t="s">
        <v>43</v>
      </c>
      <c r="M262" s="2" t="s">
        <v>1885</v>
      </c>
      <c r="N262" t="s">
        <v>31</v>
      </c>
      <c r="O262" t="s">
        <v>7886</v>
      </c>
      <c r="P262" t="s">
        <v>7981</v>
      </c>
      <c r="Q262" t="s">
        <v>46</v>
      </c>
      <c r="R262" t="s">
        <v>33</v>
      </c>
      <c r="S262" t="s">
        <v>34</v>
      </c>
      <c r="T262" s="1">
        <v>812500</v>
      </c>
      <c r="U262">
        <v>0</v>
      </c>
      <c r="V262" s="1">
        <v>162500</v>
      </c>
      <c r="W262" t="s">
        <v>1886</v>
      </c>
    </row>
    <row r="263" spans="1:23" x14ac:dyDescent="0.25">
      <c r="A263">
        <v>24317</v>
      </c>
      <c r="B263" t="s">
        <v>23</v>
      </c>
      <c r="D263">
        <v>266</v>
      </c>
      <c r="E263" t="s">
        <v>1887</v>
      </c>
      <c r="F263" t="s">
        <v>1888</v>
      </c>
      <c r="G263" t="s">
        <v>1742</v>
      </c>
      <c r="H263" t="s">
        <v>1889</v>
      </c>
      <c r="I263" t="s">
        <v>1890</v>
      </c>
      <c r="J263" t="s">
        <v>28</v>
      </c>
      <c r="K263" t="s">
        <v>1891</v>
      </c>
      <c r="L263" t="s">
        <v>43</v>
      </c>
      <c r="M263" s="2" t="s">
        <v>1892</v>
      </c>
      <c r="N263" t="s">
        <v>31</v>
      </c>
      <c r="O263" t="s">
        <v>7879</v>
      </c>
      <c r="P263" t="s">
        <v>7940</v>
      </c>
      <c r="Q263" t="s">
        <v>46</v>
      </c>
      <c r="R263" t="s">
        <v>33</v>
      </c>
      <c r="S263" t="s">
        <v>34</v>
      </c>
      <c r="T263" s="1">
        <v>195000</v>
      </c>
      <c r="U263">
        <v>0</v>
      </c>
      <c r="V263">
        <v>0</v>
      </c>
      <c r="W263" t="s">
        <v>1893</v>
      </c>
    </row>
    <row r="264" spans="1:23" x14ac:dyDescent="0.25">
      <c r="A264">
        <v>24088</v>
      </c>
      <c r="B264" t="s">
        <v>23</v>
      </c>
      <c r="D264">
        <v>267</v>
      </c>
      <c r="E264" t="s">
        <v>1894</v>
      </c>
      <c r="F264" t="s">
        <v>745</v>
      </c>
      <c r="G264" t="s">
        <v>1895</v>
      </c>
      <c r="H264" t="s">
        <v>1896</v>
      </c>
      <c r="I264" t="s">
        <v>1897</v>
      </c>
      <c r="J264" t="s">
        <v>28</v>
      </c>
      <c r="K264" t="s">
        <v>1898</v>
      </c>
      <c r="L264" t="s">
        <v>43</v>
      </c>
      <c r="M264" s="2" t="s">
        <v>1899</v>
      </c>
      <c r="N264" t="s">
        <v>31</v>
      </c>
      <c r="O264" t="s">
        <v>7879</v>
      </c>
      <c r="P264" t="s">
        <v>7940</v>
      </c>
      <c r="Q264" t="s">
        <v>63</v>
      </c>
      <c r="R264" t="s">
        <v>33</v>
      </c>
      <c r="S264" t="s">
        <v>34</v>
      </c>
      <c r="T264" s="1">
        <v>195000</v>
      </c>
      <c r="U264">
        <v>0</v>
      </c>
      <c r="V264">
        <v>0</v>
      </c>
      <c r="W264" t="s">
        <v>1900</v>
      </c>
    </row>
    <row r="265" spans="1:23" x14ac:dyDescent="0.25">
      <c r="A265">
        <v>24249</v>
      </c>
      <c r="B265" t="s">
        <v>23</v>
      </c>
      <c r="D265">
        <v>268</v>
      </c>
      <c r="E265" t="s">
        <v>1901</v>
      </c>
      <c r="F265" t="s">
        <v>1093</v>
      </c>
      <c r="G265" t="s">
        <v>672</v>
      </c>
      <c r="H265" t="s">
        <v>1902</v>
      </c>
      <c r="I265" t="s">
        <v>1903</v>
      </c>
      <c r="J265" t="s">
        <v>53</v>
      </c>
      <c r="K265" t="s">
        <v>1904</v>
      </c>
      <c r="L265" t="s">
        <v>453</v>
      </c>
      <c r="M265">
        <v>233557092338</v>
      </c>
      <c r="N265" t="s">
        <v>31</v>
      </c>
      <c r="O265" t="s">
        <v>7879</v>
      </c>
      <c r="P265" t="s">
        <v>7940</v>
      </c>
      <c r="Q265" t="s">
        <v>455</v>
      </c>
      <c r="R265" t="s">
        <v>130</v>
      </c>
      <c r="S265" t="s">
        <v>131</v>
      </c>
      <c r="T265">
        <v>150</v>
      </c>
      <c r="U265">
        <v>0</v>
      </c>
      <c r="V265">
        <v>0</v>
      </c>
      <c r="W265" t="s">
        <v>1905</v>
      </c>
    </row>
    <row r="266" spans="1:23" x14ac:dyDescent="0.25">
      <c r="A266">
        <v>18341</v>
      </c>
      <c r="B266" t="s">
        <v>23</v>
      </c>
      <c r="D266">
        <v>269</v>
      </c>
      <c r="E266" t="s">
        <v>1906</v>
      </c>
      <c r="F266" t="s">
        <v>664</v>
      </c>
      <c r="G266" t="s">
        <v>1907</v>
      </c>
      <c r="H266" t="s">
        <v>1908</v>
      </c>
      <c r="I266" t="s">
        <v>1909</v>
      </c>
      <c r="J266" t="s">
        <v>28</v>
      </c>
      <c r="K266" t="s">
        <v>1910</v>
      </c>
      <c r="L266" t="s">
        <v>43</v>
      </c>
      <c r="M266" s="2" t="s">
        <v>1911</v>
      </c>
      <c r="N266" t="s">
        <v>31</v>
      </c>
      <c r="O266" t="s">
        <v>7881</v>
      </c>
      <c r="P266" t="s">
        <v>7893</v>
      </c>
      <c r="Q266" t="s">
        <v>46</v>
      </c>
      <c r="R266" t="s">
        <v>33</v>
      </c>
      <c r="S266" t="s">
        <v>34</v>
      </c>
      <c r="T266" s="1">
        <v>552500</v>
      </c>
      <c r="U266">
        <v>0</v>
      </c>
      <c r="V266">
        <v>0</v>
      </c>
      <c r="W266" t="s">
        <v>1912</v>
      </c>
    </row>
    <row r="267" spans="1:23" x14ac:dyDescent="0.25">
      <c r="A267">
        <v>24321</v>
      </c>
      <c r="B267" t="s">
        <v>23</v>
      </c>
      <c r="D267">
        <v>270</v>
      </c>
      <c r="E267" t="s">
        <v>1913</v>
      </c>
      <c r="F267" t="s">
        <v>1914</v>
      </c>
      <c r="G267" t="s">
        <v>1915</v>
      </c>
      <c r="I267" t="s">
        <v>1916</v>
      </c>
      <c r="J267" t="s">
        <v>28</v>
      </c>
      <c r="K267" t="s">
        <v>1917</v>
      </c>
      <c r="L267" t="s">
        <v>43</v>
      </c>
      <c r="M267" s="2" t="s">
        <v>1918</v>
      </c>
      <c r="N267" t="s">
        <v>31</v>
      </c>
      <c r="O267" t="s">
        <v>7879</v>
      </c>
      <c r="P267" t="s">
        <v>7893</v>
      </c>
      <c r="Q267" t="s">
        <v>46</v>
      </c>
      <c r="R267" t="s">
        <v>33</v>
      </c>
      <c r="S267" t="s">
        <v>34</v>
      </c>
      <c r="T267" s="1">
        <v>195000</v>
      </c>
      <c r="U267">
        <v>0</v>
      </c>
      <c r="V267">
        <v>0</v>
      </c>
      <c r="W267" t="s">
        <v>1919</v>
      </c>
    </row>
    <row r="268" spans="1:23" x14ac:dyDescent="0.25">
      <c r="A268">
        <v>5238</v>
      </c>
      <c r="B268" t="s">
        <v>23</v>
      </c>
      <c r="D268">
        <v>271</v>
      </c>
      <c r="E268" t="s">
        <v>1920</v>
      </c>
      <c r="F268" t="s">
        <v>1921</v>
      </c>
      <c r="G268" t="s">
        <v>1922</v>
      </c>
      <c r="H268" t="s">
        <v>196</v>
      </c>
      <c r="I268" t="s">
        <v>7907</v>
      </c>
      <c r="J268" t="s">
        <v>28</v>
      </c>
      <c r="K268" t="s">
        <v>1923</v>
      </c>
      <c r="L268" t="s">
        <v>43</v>
      </c>
      <c r="M268" s="2" t="s">
        <v>1924</v>
      </c>
      <c r="N268" t="s">
        <v>45</v>
      </c>
      <c r="O268" t="s">
        <v>7881</v>
      </c>
      <c r="P268" t="s">
        <v>7893</v>
      </c>
      <c r="Q268" t="s">
        <v>46</v>
      </c>
      <c r="R268" t="s">
        <v>33</v>
      </c>
      <c r="S268" t="s">
        <v>34</v>
      </c>
      <c r="T268" s="1">
        <v>552500</v>
      </c>
      <c r="U268">
        <v>0</v>
      </c>
      <c r="V268">
        <v>0</v>
      </c>
      <c r="W268" t="s">
        <v>1925</v>
      </c>
    </row>
    <row r="269" spans="1:23" x14ac:dyDescent="0.25">
      <c r="A269">
        <v>19038</v>
      </c>
      <c r="B269" t="s">
        <v>23</v>
      </c>
      <c r="D269">
        <v>272</v>
      </c>
      <c r="E269" t="s">
        <v>1926</v>
      </c>
      <c r="F269" t="s">
        <v>1927</v>
      </c>
      <c r="G269" t="s">
        <v>1928</v>
      </c>
      <c r="H269" t="s">
        <v>1929</v>
      </c>
      <c r="I269" t="s">
        <v>1930</v>
      </c>
      <c r="J269" t="s">
        <v>53</v>
      </c>
      <c r="K269" t="s">
        <v>1931</v>
      </c>
      <c r="L269" t="s">
        <v>765</v>
      </c>
      <c r="M269" t="s">
        <v>1932</v>
      </c>
      <c r="N269" t="s">
        <v>31</v>
      </c>
      <c r="O269" t="s">
        <v>7881</v>
      </c>
      <c r="P269" t="s">
        <v>7893</v>
      </c>
      <c r="Q269" t="s">
        <v>455</v>
      </c>
      <c r="R269" t="s">
        <v>130</v>
      </c>
      <c r="S269" t="s">
        <v>131</v>
      </c>
      <c r="T269">
        <v>425</v>
      </c>
      <c r="U269">
        <v>0</v>
      </c>
      <c r="V269">
        <v>0</v>
      </c>
      <c r="W269" t="s">
        <v>1933</v>
      </c>
    </row>
    <row r="270" spans="1:23" x14ac:dyDescent="0.25">
      <c r="A270">
        <v>24003</v>
      </c>
      <c r="B270" t="s">
        <v>23</v>
      </c>
      <c r="D270">
        <v>273</v>
      </c>
      <c r="E270" t="s">
        <v>1934</v>
      </c>
      <c r="F270" t="s">
        <v>1935</v>
      </c>
      <c r="G270" t="s">
        <v>1936</v>
      </c>
      <c r="H270" t="s">
        <v>1937</v>
      </c>
      <c r="I270" t="s">
        <v>1938</v>
      </c>
      <c r="J270" t="s">
        <v>28</v>
      </c>
      <c r="K270" t="s">
        <v>236</v>
      </c>
      <c r="L270" t="s">
        <v>43</v>
      </c>
      <c r="M270" s="2" t="s">
        <v>1939</v>
      </c>
      <c r="N270" t="s">
        <v>31</v>
      </c>
      <c r="O270" t="s">
        <v>7879</v>
      </c>
      <c r="P270" t="s">
        <v>7893</v>
      </c>
      <c r="Q270" t="s">
        <v>46</v>
      </c>
      <c r="R270" t="s">
        <v>33</v>
      </c>
      <c r="S270" t="s">
        <v>34</v>
      </c>
      <c r="T270" s="1">
        <v>195000</v>
      </c>
      <c r="U270">
        <v>0</v>
      </c>
      <c r="V270">
        <v>0</v>
      </c>
      <c r="W270" t="s">
        <v>1940</v>
      </c>
    </row>
    <row r="271" spans="1:23" x14ac:dyDescent="0.25">
      <c r="A271">
        <v>18691</v>
      </c>
      <c r="B271" t="s">
        <v>23</v>
      </c>
      <c r="D271">
        <v>274</v>
      </c>
      <c r="E271" t="s">
        <v>1941</v>
      </c>
      <c r="F271" t="s">
        <v>591</v>
      </c>
      <c r="G271" t="s">
        <v>1942</v>
      </c>
      <c r="H271" t="s">
        <v>1943</v>
      </c>
      <c r="I271" t="s">
        <v>1944</v>
      </c>
      <c r="J271" t="s">
        <v>53</v>
      </c>
      <c r="K271" t="s">
        <v>1945</v>
      </c>
      <c r="L271" t="s">
        <v>43</v>
      </c>
      <c r="M271" s="2" t="s">
        <v>1946</v>
      </c>
      <c r="N271" t="s">
        <v>31</v>
      </c>
      <c r="O271" t="s">
        <v>7881</v>
      </c>
      <c r="P271" t="s">
        <v>7888</v>
      </c>
      <c r="Q271" t="s">
        <v>46</v>
      </c>
      <c r="R271" t="s">
        <v>33</v>
      </c>
      <c r="S271" t="s">
        <v>34</v>
      </c>
      <c r="T271" s="1">
        <v>552500</v>
      </c>
      <c r="U271" s="1">
        <v>110500</v>
      </c>
      <c r="V271">
        <v>0</v>
      </c>
      <c r="W271" t="s">
        <v>1947</v>
      </c>
    </row>
    <row r="272" spans="1:23" x14ac:dyDescent="0.25">
      <c r="A272">
        <v>24190</v>
      </c>
      <c r="B272" t="s">
        <v>23</v>
      </c>
      <c r="D272">
        <v>275</v>
      </c>
      <c r="E272" t="s">
        <v>1948</v>
      </c>
      <c r="F272" t="s">
        <v>1949</v>
      </c>
      <c r="G272" t="s">
        <v>1950</v>
      </c>
      <c r="H272" t="s">
        <v>1951</v>
      </c>
      <c r="I272" t="s">
        <v>1952</v>
      </c>
      <c r="J272" t="s">
        <v>28</v>
      </c>
      <c r="K272" t="s">
        <v>1953</v>
      </c>
      <c r="L272" t="s">
        <v>43</v>
      </c>
      <c r="M272" s="2" t="s">
        <v>1954</v>
      </c>
      <c r="N272" t="s">
        <v>31</v>
      </c>
      <c r="O272" t="s">
        <v>7879</v>
      </c>
      <c r="P272" t="s">
        <v>7940</v>
      </c>
      <c r="Q272" t="s">
        <v>46</v>
      </c>
      <c r="R272" t="s">
        <v>33</v>
      </c>
      <c r="S272" t="s">
        <v>34</v>
      </c>
      <c r="T272" s="1">
        <v>195000</v>
      </c>
      <c r="U272">
        <v>0</v>
      </c>
      <c r="V272">
        <v>0</v>
      </c>
      <c r="W272" t="s">
        <v>1955</v>
      </c>
    </row>
    <row r="273" spans="1:23" ht="273" customHeight="1" x14ac:dyDescent="0.25">
      <c r="A273">
        <v>3301</v>
      </c>
      <c r="B273" t="s">
        <v>1956</v>
      </c>
      <c r="C273" s="3" t="s">
        <v>7882</v>
      </c>
      <c r="D273">
        <v>276</v>
      </c>
      <c r="E273" t="s">
        <v>1957</v>
      </c>
      <c r="F273" t="s">
        <v>1958</v>
      </c>
      <c r="G273" t="s">
        <v>1959</v>
      </c>
      <c r="H273" t="s">
        <v>1960</v>
      </c>
      <c r="I273" t="s">
        <v>1961</v>
      </c>
      <c r="J273" t="s">
        <v>53</v>
      </c>
      <c r="K273" t="s">
        <v>1962</v>
      </c>
      <c r="L273" t="s">
        <v>43</v>
      </c>
      <c r="M273">
        <v>8056102887</v>
      </c>
      <c r="N273" t="s">
        <v>45</v>
      </c>
      <c r="O273" t="s">
        <v>7886</v>
      </c>
      <c r="P273" t="s">
        <v>7978</v>
      </c>
      <c r="Q273" t="s">
        <v>63</v>
      </c>
      <c r="R273" t="s">
        <v>33</v>
      </c>
      <c r="S273" t="s">
        <v>34</v>
      </c>
      <c r="T273" s="1">
        <v>812500</v>
      </c>
      <c r="U273" s="1">
        <v>110500</v>
      </c>
      <c r="V273" s="1">
        <v>162500</v>
      </c>
      <c r="W273" t="s">
        <v>1963</v>
      </c>
    </row>
    <row r="274" spans="1:23" x14ac:dyDescent="0.25">
      <c r="A274">
        <v>24222</v>
      </c>
      <c r="B274" t="s">
        <v>23</v>
      </c>
      <c r="D274">
        <v>277</v>
      </c>
      <c r="E274" t="s">
        <v>1964</v>
      </c>
      <c r="F274" t="s">
        <v>1965</v>
      </c>
      <c r="G274" t="s">
        <v>1966</v>
      </c>
      <c r="H274" t="s">
        <v>1967</v>
      </c>
      <c r="I274" t="s">
        <v>1968</v>
      </c>
      <c r="J274" t="s">
        <v>28</v>
      </c>
      <c r="K274" t="s">
        <v>1969</v>
      </c>
      <c r="L274" t="s">
        <v>43</v>
      </c>
      <c r="M274" s="2" t="s">
        <v>1970</v>
      </c>
      <c r="N274" t="s">
        <v>31</v>
      </c>
      <c r="O274" t="s">
        <v>7879</v>
      </c>
      <c r="P274" t="s">
        <v>8028</v>
      </c>
      <c r="Q274" t="s">
        <v>87</v>
      </c>
      <c r="R274" t="s">
        <v>33</v>
      </c>
      <c r="S274" t="s">
        <v>34</v>
      </c>
      <c r="T274" s="1">
        <v>195000</v>
      </c>
      <c r="U274">
        <v>0</v>
      </c>
      <c r="V274">
        <v>0</v>
      </c>
      <c r="W274" t="s">
        <v>1971</v>
      </c>
    </row>
    <row r="275" spans="1:23" x14ac:dyDescent="0.25">
      <c r="A275">
        <v>24262</v>
      </c>
      <c r="B275" t="s">
        <v>23</v>
      </c>
      <c r="D275">
        <v>278</v>
      </c>
      <c r="E275" t="s">
        <v>1972</v>
      </c>
      <c r="F275" t="s">
        <v>368</v>
      </c>
      <c r="G275" t="s">
        <v>1973</v>
      </c>
      <c r="I275" t="s">
        <v>1974</v>
      </c>
      <c r="J275" t="s">
        <v>28</v>
      </c>
      <c r="K275" t="s">
        <v>1975</v>
      </c>
      <c r="L275" t="s">
        <v>43</v>
      </c>
      <c r="M275">
        <v>2348164973810</v>
      </c>
      <c r="N275" t="s">
        <v>31</v>
      </c>
      <c r="O275" t="s">
        <v>7879</v>
      </c>
      <c r="P275" t="s">
        <v>8028</v>
      </c>
      <c r="Q275" t="s">
        <v>46</v>
      </c>
      <c r="R275" t="s">
        <v>33</v>
      </c>
      <c r="S275" t="s">
        <v>34</v>
      </c>
      <c r="T275" s="1">
        <v>195000</v>
      </c>
      <c r="U275">
        <v>0</v>
      </c>
      <c r="V275">
        <v>0</v>
      </c>
      <c r="W275" t="s">
        <v>1976</v>
      </c>
    </row>
    <row r="276" spans="1:23" x14ac:dyDescent="0.25">
      <c r="A276">
        <v>22153</v>
      </c>
      <c r="B276" t="s">
        <v>23</v>
      </c>
      <c r="D276">
        <v>279</v>
      </c>
      <c r="E276" t="s">
        <v>1977</v>
      </c>
      <c r="F276" t="s">
        <v>1978</v>
      </c>
      <c r="G276" t="s">
        <v>1979</v>
      </c>
      <c r="H276" t="s">
        <v>196</v>
      </c>
      <c r="I276" t="s">
        <v>1980</v>
      </c>
      <c r="J276" t="s">
        <v>53</v>
      </c>
      <c r="K276" t="s">
        <v>1981</v>
      </c>
      <c r="L276" t="s">
        <v>43</v>
      </c>
      <c r="M276">
        <v>2348031843444</v>
      </c>
      <c r="N276" t="s">
        <v>45</v>
      </c>
      <c r="O276" t="s">
        <v>7879</v>
      </c>
      <c r="P276" t="s">
        <v>7893</v>
      </c>
      <c r="Q276" t="s">
        <v>46</v>
      </c>
      <c r="R276" t="s">
        <v>33</v>
      </c>
      <c r="S276" t="s">
        <v>34</v>
      </c>
      <c r="T276" s="1">
        <v>195000</v>
      </c>
      <c r="U276">
        <v>0</v>
      </c>
      <c r="V276">
        <v>0</v>
      </c>
      <c r="W276" t="s">
        <v>1982</v>
      </c>
    </row>
    <row r="277" spans="1:23" x14ac:dyDescent="0.25">
      <c r="A277">
        <v>24309</v>
      </c>
      <c r="B277" t="s">
        <v>23</v>
      </c>
      <c r="D277">
        <v>280</v>
      </c>
      <c r="E277" t="s">
        <v>1983</v>
      </c>
      <c r="F277" t="s">
        <v>1984</v>
      </c>
      <c r="G277" t="s">
        <v>1299</v>
      </c>
      <c r="H277" t="s">
        <v>1985</v>
      </c>
      <c r="I277" t="s">
        <v>1986</v>
      </c>
      <c r="J277" t="s">
        <v>28</v>
      </c>
      <c r="K277" t="s">
        <v>1987</v>
      </c>
      <c r="L277" t="s">
        <v>43</v>
      </c>
      <c r="M277" s="2" t="s">
        <v>1988</v>
      </c>
      <c r="N277" t="s">
        <v>31</v>
      </c>
      <c r="O277" t="s">
        <v>7879</v>
      </c>
      <c r="P277" t="s">
        <v>7981</v>
      </c>
      <c r="Q277" t="s">
        <v>63</v>
      </c>
      <c r="R277" t="s">
        <v>33</v>
      </c>
      <c r="S277" t="s">
        <v>34</v>
      </c>
      <c r="T277" s="1">
        <v>195000</v>
      </c>
      <c r="U277">
        <v>0</v>
      </c>
      <c r="V277">
        <v>0</v>
      </c>
      <c r="W277" t="s">
        <v>1989</v>
      </c>
    </row>
    <row r="278" spans="1:23" x14ac:dyDescent="0.25">
      <c r="A278">
        <v>21527</v>
      </c>
      <c r="B278" t="s">
        <v>23</v>
      </c>
      <c r="D278">
        <v>281</v>
      </c>
      <c r="E278" t="s">
        <v>1990</v>
      </c>
      <c r="F278" t="s">
        <v>980</v>
      </c>
      <c r="G278" t="s">
        <v>1991</v>
      </c>
      <c r="H278" t="s">
        <v>1992</v>
      </c>
      <c r="I278" t="s">
        <v>1993</v>
      </c>
      <c r="J278" t="s">
        <v>28</v>
      </c>
      <c r="K278" t="s">
        <v>1994</v>
      </c>
      <c r="L278" t="s">
        <v>43</v>
      </c>
      <c r="M278" s="2" t="s">
        <v>1995</v>
      </c>
      <c r="N278" t="s">
        <v>45</v>
      </c>
      <c r="O278" t="s">
        <v>7879</v>
      </c>
      <c r="P278" t="s">
        <v>7888</v>
      </c>
      <c r="Q278" t="s">
        <v>46</v>
      </c>
      <c r="R278" t="s">
        <v>33</v>
      </c>
      <c r="S278" t="s">
        <v>34</v>
      </c>
      <c r="T278" s="1">
        <v>195000</v>
      </c>
      <c r="U278">
        <v>0</v>
      </c>
      <c r="V278">
        <v>0</v>
      </c>
      <c r="W278" t="s">
        <v>1996</v>
      </c>
    </row>
    <row r="279" spans="1:23" x14ac:dyDescent="0.25">
      <c r="A279">
        <v>23407</v>
      </c>
      <c r="B279" t="s">
        <v>23</v>
      </c>
      <c r="D279">
        <v>282</v>
      </c>
      <c r="E279" t="s">
        <v>1997</v>
      </c>
      <c r="F279" t="s">
        <v>1998</v>
      </c>
      <c r="G279" t="s">
        <v>1566</v>
      </c>
      <c r="H279" t="s">
        <v>1999</v>
      </c>
      <c r="I279" t="s">
        <v>2000</v>
      </c>
      <c r="J279" t="s">
        <v>28</v>
      </c>
      <c r="K279" t="s">
        <v>2001</v>
      </c>
      <c r="L279" t="s">
        <v>43</v>
      </c>
      <c r="M279" s="2" t="s">
        <v>2002</v>
      </c>
      <c r="N279" t="s">
        <v>31</v>
      </c>
      <c r="O279" t="s">
        <v>7879</v>
      </c>
      <c r="P279" t="s">
        <v>7888</v>
      </c>
      <c r="Q279" t="s">
        <v>46</v>
      </c>
      <c r="R279" t="s">
        <v>33</v>
      </c>
      <c r="S279" t="s">
        <v>34</v>
      </c>
      <c r="T279" s="1">
        <v>195000</v>
      </c>
      <c r="U279">
        <v>0</v>
      </c>
      <c r="V279">
        <v>0</v>
      </c>
      <c r="W279" t="s">
        <v>2003</v>
      </c>
    </row>
    <row r="280" spans="1:23" x14ac:dyDescent="0.25">
      <c r="A280">
        <v>23674</v>
      </c>
      <c r="B280" t="s">
        <v>23</v>
      </c>
      <c r="D280">
        <v>283</v>
      </c>
      <c r="E280" t="s">
        <v>2004</v>
      </c>
      <c r="F280" t="s">
        <v>2005</v>
      </c>
      <c r="G280" t="s">
        <v>2006</v>
      </c>
      <c r="I280" t="s">
        <v>2007</v>
      </c>
      <c r="J280" t="s">
        <v>28</v>
      </c>
      <c r="K280" t="s">
        <v>2008</v>
      </c>
      <c r="L280" t="s">
        <v>43</v>
      </c>
      <c r="M280" s="2" t="s">
        <v>2009</v>
      </c>
      <c r="N280" t="s">
        <v>31</v>
      </c>
      <c r="O280" t="s">
        <v>7879</v>
      </c>
      <c r="P280" t="s">
        <v>7893</v>
      </c>
      <c r="Q280" t="s">
        <v>46</v>
      </c>
      <c r="R280" t="s">
        <v>33</v>
      </c>
      <c r="S280" t="s">
        <v>34</v>
      </c>
      <c r="T280" s="1">
        <v>195000</v>
      </c>
      <c r="U280">
        <v>0</v>
      </c>
      <c r="V280">
        <v>0</v>
      </c>
      <c r="W280" t="s">
        <v>2010</v>
      </c>
    </row>
    <row r="281" spans="1:23" x14ac:dyDescent="0.25">
      <c r="A281">
        <v>24329</v>
      </c>
      <c r="B281" t="s">
        <v>23</v>
      </c>
      <c r="D281">
        <v>284</v>
      </c>
      <c r="E281" t="s">
        <v>2011</v>
      </c>
      <c r="F281" t="s">
        <v>2012</v>
      </c>
      <c r="G281" t="s">
        <v>2013</v>
      </c>
      <c r="H281" t="s">
        <v>1299</v>
      </c>
      <c r="I281" t="s">
        <v>2014</v>
      </c>
      <c r="J281" t="s">
        <v>28</v>
      </c>
      <c r="K281" t="s">
        <v>2015</v>
      </c>
      <c r="L281" t="s">
        <v>43</v>
      </c>
      <c r="M281" s="2" t="s">
        <v>2016</v>
      </c>
      <c r="N281" t="s">
        <v>31</v>
      </c>
      <c r="O281" t="s">
        <v>7879</v>
      </c>
      <c r="P281" t="s">
        <v>7893</v>
      </c>
      <c r="Q281" t="s">
        <v>87</v>
      </c>
      <c r="R281" t="s">
        <v>33</v>
      </c>
      <c r="S281" t="s">
        <v>34</v>
      </c>
      <c r="T281" s="1">
        <v>195000</v>
      </c>
      <c r="U281">
        <v>0</v>
      </c>
      <c r="V281">
        <v>0</v>
      </c>
      <c r="W281" t="s">
        <v>2017</v>
      </c>
    </row>
    <row r="282" spans="1:23" x14ac:dyDescent="0.25">
      <c r="A282">
        <v>20255</v>
      </c>
      <c r="B282" t="s">
        <v>23</v>
      </c>
      <c r="D282">
        <v>285</v>
      </c>
      <c r="E282" t="s">
        <v>2018</v>
      </c>
      <c r="F282" t="s">
        <v>2019</v>
      </c>
      <c r="G282" t="s">
        <v>90</v>
      </c>
      <c r="H282" t="s">
        <v>2020</v>
      </c>
      <c r="I282" t="s">
        <v>2021</v>
      </c>
      <c r="J282" t="s">
        <v>53</v>
      </c>
      <c r="K282" t="s">
        <v>2022</v>
      </c>
      <c r="L282" t="s">
        <v>43</v>
      </c>
      <c r="M282" s="2" t="s">
        <v>2023</v>
      </c>
      <c r="N282" t="s">
        <v>45</v>
      </c>
      <c r="O282" t="s">
        <v>7881</v>
      </c>
      <c r="P282" t="s">
        <v>7981</v>
      </c>
      <c r="Q282" t="s">
        <v>46</v>
      </c>
      <c r="R282" t="s">
        <v>33</v>
      </c>
      <c r="S282" t="s">
        <v>34</v>
      </c>
      <c r="T282" s="1">
        <v>552500</v>
      </c>
      <c r="U282">
        <v>0</v>
      </c>
      <c r="V282">
        <v>0</v>
      </c>
      <c r="W282" t="s">
        <v>2024</v>
      </c>
    </row>
    <row r="283" spans="1:23" x14ac:dyDescent="0.25">
      <c r="A283">
        <v>24208</v>
      </c>
      <c r="B283" t="s">
        <v>23</v>
      </c>
      <c r="D283">
        <v>286</v>
      </c>
      <c r="E283" t="s">
        <v>2025</v>
      </c>
      <c r="F283" t="s">
        <v>2026</v>
      </c>
      <c r="G283" t="s">
        <v>2027</v>
      </c>
      <c r="H283" t="s">
        <v>2028</v>
      </c>
      <c r="I283" t="s">
        <v>2029</v>
      </c>
      <c r="J283" t="s">
        <v>53</v>
      </c>
      <c r="K283" t="s">
        <v>2030</v>
      </c>
      <c r="L283" t="s">
        <v>43</v>
      </c>
      <c r="M283" s="2" t="s">
        <v>2031</v>
      </c>
      <c r="N283" t="s">
        <v>31</v>
      </c>
      <c r="O283" t="s">
        <v>7879</v>
      </c>
      <c r="P283" t="s">
        <v>7940</v>
      </c>
      <c r="Q283" t="s">
        <v>63</v>
      </c>
      <c r="R283" t="s">
        <v>33</v>
      </c>
      <c r="S283" t="s">
        <v>34</v>
      </c>
      <c r="T283" s="1">
        <v>195000</v>
      </c>
      <c r="U283">
        <v>0</v>
      </c>
      <c r="V283">
        <v>0</v>
      </c>
      <c r="W283" t="s">
        <v>2032</v>
      </c>
    </row>
    <row r="284" spans="1:23" x14ac:dyDescent="0.25">
      <c r="A284">
        <v>11287</v>
      </c>
      <c r="B284" t="s">
        <v>23</v>
      </c>
      <c r="D284">
        <v>287</v>
      </c>
      <c r="E284" t="s">
        <v>2033</v>
      </c>
      <c r="F284" t="s">
        <v>2034</v>
      </c>
      <c r="G284" t="s">
        <v>2035</v>
      </c>
      <c r="I284" t="s">
        <v>2036</v>
      </c>
      <c r="J284" t="s">
        <v>28</v>
      </c>
      <c r="K284" t="s">
        <v>2037</v>
      </c>
      <c r="L284" t="s">
        <v>43</v>
      </c>
      <c r="M284" s="2" t="s">
        <v>2038</v>
      </c>
      <c r="N284" t="s">
        <v>31</v>
      </c>
      <c r="O284" t="s">
        <v>7881</v>
      </c>
      <c r="P284" t="s">
        <v>7893</v>
      </c>
      <c r="Q284" t="s">
        <v>63</v>
      </c>
      <c r="R284" t="s">
        <v>33</v>
      </c>
      <c r="S284" t="s">
        <v>34</v>
      </c>
      <c r="T284" s="1">
        <v>552500</v>
      </c>
      <c r="U284">
        <v>0</v>
      </c>
      <c r="V284">
        <v>0</v>
      </c>
      <c r="W284" t="s">
        <v>2039</v>
      </c>
    </row>
    <row r="285" spans="1:23" x14ac:dyDescent="0.25">
      <c r="A285">
        <v>24189</v>
      </c>
      <c r="B285" t="s">
        <v>23</v>
      </c>
      <c r="D285">
        <v>288</v>
      </c>
      <c r="E285" t="s">
        <v>2040</v>
      </c>
      <c r="F285" t="s">
        <v>2041</v>
      </c>
      <c r="G285" t="s">
        <v>827</v>
      </c>
      <c r="H285" t="s">
        <v>2042</v>
      </c>
      <c r="I285" t="s">
        <v>2043</v>
      </c>
      <c r="J285" t="s">
        <v>28</v>
      </c>
      <c r="K285" t="s">
        <v>2044</v>
      </c>
      <c r="L285" t="s">
        <v>43</v>
      </c>
      <c r="M285" s="2" t="s">
        <v>2045</v>
      </c>
      <c r="N285" t="s">
        <v>31</v>
      </c>
      <c r="O285" t="s">
        <v>7879</v>
      </c>
      <c r="P285" t="s">
        <v>7893</v>
      </c>
      <c r="Q285" t="s">
        <v>63</v>
      </c>
      <c r="R285" t="s">
        <v>33</v>
      </c>
      <c r="S285" t="s">
        <v>34</v>
      </c>
      <c r="T285" s="1">
        <v>195000</v>
      </c>
      <c r="U285">
        <v>0</v>
      </c>
      <c r="V285">
        <v>0</v>
      </c>
      <c r="W285" t="s">
        <v>2046</v>
      </c>
    </row>
    <row r="286" spans="1:23" x14ac:dyDescent="0.25">
      <c r="A286">
        <v>18555</v>
      </c>
      <c r="B286" t="s">
        <v>23</v>
      </c>
      <c r="D286">
        <v>289</v>
      </c>
      <c r="E286" t="s">
        <v>2047</v>
      </c>
      <c r="F286" t="s">
        <v>2048</v>
      </c>
      <c r="G286" t="s">
        <v>2049</v>
      </c>
      <c r="H286" t="s">
        <v>68</v>
      </c>
      <c r="I286" t="s">
        <v>2050</v>
      </c>
      <c r="J286" t="s">
        <v>28</v>
      </c>
      <c r="K286" t="s">
        <v>2051</v>
      </c>
      <c r="L286" t="s">
        <v>43</v>
      </c>
      <c r="M286" s="2" t="s">
        <v>2052</v>
      </c>
      <c r="N286" t="s">
        <v>31</v>
      </c>
      <c r="O286" t="s">
        <v>7881</v>
      </c>
      <c r="P286" t="s">
        <v>7888</v>
      </c>
      <c r="Q286" t="s">
        <v>63</v>
      </c>
      <c r="R286" t="s">
        <v>33</v>
      </c>
      <c r="S286" t="s">
        <v>34</v>
      </c>
      <c r="T286" s="1">
        <v>552500</v>
      </c>
      <c r="U286" s="1">
        <v>110500</v>
      </c>
      <c r="V286">
        <v>0</v>
      </c>
      <c r="W286" t="s">
        <v>2053</v>
      </c>
    </row>
    <row r="287" spans="1:23" x14ac:dyDescent="0.25">
      <c r="A287">
        <v>19944</v>
      </c>
      <c r="B287" t="s">
        <v>23</v>
      </c>
      <c r="D287">
        <v>290</v>
      </c>
      <c r="E287" t="s">
        <v>2054</v>
      </c>
      <c r="F287" t="s">
        <v>2055</v>
      </c>
      <c r="G287" t="s">
        <v>2056</v>
      </c>
      <c r="H287" t="s">
        <v>2057</v>
      </c>
      <c r="I287" t="s">
        <v>2058</v>
      </c>
      <c r="J287" t="s">
        <v>53</v>
      </c>
      <c r="K287" t="s">
        <v>772</v>
      </c>
      <c r="L287" t="s">
        <v>43</v>
      </c>
      <c r="M287" s="2" t="s">
        <v>2059</v>
      </c>
      <c r="N287" t="s">
        <v>31</v>
      </c>
      <c r="O287" t="s">
        <v>7879</v>
      </c>
      <c r="P287" t="s">
        <v>7893</v>
      </c>
      <c r="Q287" t="s">
        <v>46</v>
      </c>
      <c r="R287" t="s">
        <v>33</v>
      </c>
      <c r="S287" t="s">
        <v>34</v>
      </c>
      <c r="T287" s="1">
        <v>195000</v>
      </c>
      <c r="U287">
        <v>0</v>
      </c>
      <c r="V287">
        <v>0</v>
      </c>
      <c r="W287" t="s">
        <v>2060</v>
      </c>
    </row>
    <row r="288" spans="1:23" x14ac:dyDescent="0.25">
      <c r="A288">
        <v>24000</v>
      </c>
      <c r="B288" t="s">
        <v>23</v>
      </c>
      <c r="D288">
        <v>291</v>
      </c>
      <c r="E288" t="s">
        <v>2061</v>
      </c>
      <c r="F288" t="s">
        <v>1914</v>
      </c>
      <c r="G288" t="s">
        <v>981</v>
      </c>
      <c r="H288" t="s">
        <v>2062</v>
      </c>
      <c r="I288" t="s">
        <v>2063</v>
      </c>
      <c r="J288" t="s">
        <v>28</v>
      </c>
      <c r="K288" t="s">
        <v>2064</v>
      </c>
      <c r="L288" t="s">
        <v>43</v>
      </c>
      <c r="M288" s="2" t="s">
        <v>2065</v>
      </c>
      <c r="N288" t="s">
        <v>31</v>
      </c>
      <c r="O288" t="s">
        <v>7879</v>
      </c>
      <c r="P288" t="s">
        <v>7893</v>
      </c>
      <c r="Q288" t="s">
        <v>46</v>
      </c>
      <c r="R288" t="s">
        <v>33</v>
      </c>
      <c r="S288" t="s">
        <v>34</v>
      </c>
      <c r="T288" s="1">
        <v>195000</v>
      </c>
      <c r="U288">
        <v>0</v>
      </c>
      <c r="V288">
        <v>0</v>
      </c>
      <c r="W288" t="s">
        <v>2066</v>
      </c>
    </row>
    <row r="289" spans="1:23" x14ac:dyDescent="0.25">
      <c r="A289">
        <v>23389</v>
      </c>
      <c r="B289" t="s">
        <v>23</v>
      </c>
      <c r="D289">
        <v>292</v>
      </c>
      <c r="E289" t="s">
        <v>2067</v>
      </c>
      <c r="F289" t="s">
        <v>2068</v>
      </c>
      <c r="G289" t="s">
        <v>2069</v>
      </c>
      <c r="H289" t="s">
        <v>2070</v>
      </c>
      <c r="I289" t="s">
        <v>2071</v>
      </c>
      <c r="J289" t="s">
        <v>28</v>
      </c>
      <c r="K289" t="s">
        <v>2072</v>
      </c>
      <c r="L289" t="s">
        <v>43</v>
      </c>
      <c r="M289" s="2" t="s">
        <v>2073</v>
      </c>
      <c r="N289" t="s">
        <v>45</v>
      </c>
      <c r="O289" t="s">
        <v>7879</v>
      </c>
      <c r="P289" t="s">
        <v>7893</v>
      </c>
      <c r="Q289" t="s">
        <v>87</v>
      </c>
      <c r="R289" t="s">
        <v>33</v>
      </c>
      <c r="S289" t="s">
        <v>34</v>
      </c>
      <c r="T289" s="1">
        <v>195000</v>
      </c>
      <c r="U289">
        <v>0</v>
      </c>
      <c r="V289">
        <v>0</v>
      </c>
      <c r="W289" t="s">
        <v>2074</v>
      </c>
    </row>
    <row r="290" spans="1:23" x14ac:dyDescent="0.25">
      <c r="A290">
        <v>24193</v>
      </c>
      <c r="B290" t="s">
        <v>23</v>
      </c>
      <c r="D290">
        <v>293</v>
      </c>
      <c r="E290" t="s">
        <v>2075</v>
      </c>
      <c r="F290" t="s">
        <v>2076</v>
      </c>
      <c r="G290" t="s">
        <v>2077</v>
      </c>
      <c r="H290" t="s">
        <v>2078</v>
      </c>
      <c r="I290" t="s">
        <v>2079</v>
      </c>
      <c r="J290" t="s">
        <v>28</v>
      </c>
      <c r="K290" t="s">
        <v>289</v>
      </c>
      <c r="L290" t="s">
        <v>43</v>
      </c>
      <c r="M290" s="2" t="s">
        <v>2080</v>
      </c>
      <c r="N290" t="s">
        <v>31</v>
      </c>
      <c r="O290" t="s">
        <v>7879</v>
      </c>
      <c r="P290" t="s">
        <v>7981</v>
      </c>
      <c r="Q290" t="s">
        <v>87</v>
      </c>
      <c r="R290" t="s">
        <v>33</v>
      </c>
      <c r="S290" t="s">
        <v>34</v>
      </c>
      <c r="T290" s="1">
        <v>195000</v>
      </c>
      <c r="U290">
        <v>0</v>
      </c>
      <c r="V290">
        <v>0</v>
      </c>
      <c r="W290" t="s">
        <v>2081</v>
      </c>
    </row>
    <row r="291" spans="1:23" x14ac:dyDescent="0.25">
      <c r="A291">
        <v>11184</v>
      </c>
      <c r="B291" t="s">
        <v>23</v>
      </c>
      <c r="D291">
        <v>294</v>
      </c>
      <c r="E291" t="s">
        <v>2082</v>
      </c>
      <c r="F291" t="s">
        <v>2083</v>
      </c>
      <c r="G291" t="s">
        <v>2084</v>
      </c>
      <c r="H291" t="s">
        <v>1660</v>
      </c>
      <c r="I291" t="s">
        <v>2085</v>
      </c>
      <c r="J291" t="s">
        <v>28</v>
      </c>
      <c r="K291" t="s">
        <v>2086</v>
      </c>
      <c r="L291" t="s">
        <v>43</v>
      </c>
      <c r="M291" s="2" t="s">
        <v>2087</v>
      </c>
      <c r="N291" t="s">
        <v>45</v>
      </c>
      <c r="O291" t="s">
        <v>7881</v>
      </c>
      <c r="P291" t="s">
        <v>7981</v>
      </c>
      <c r="Q291" t="s">
        <v>63</v>
      </c>
      <c r="R291" t="s">
        <v>33</v>
      </c>
      <c r="S291" t="s">
        <v>34</v>
      </c>
      <c r="T291" s="1">
        <v>552500</v>
      </c>
      <c r="U291">
        <v>0</v>
      </c>
      <c r="V291">
        <v>0</v>
      </c>
      <c r="W291" t="s">
        <v>2088</v>
      </c>
    </row>
    <row r="292" spans="1:23" x14ac:dyDescent="0.25">
      <c r="A292">
        <v>9069</v>
      </c>
      <c r="B292" t="s">
        <v>23</v>
      </c>
      <c r="D292">
        <v>295</v>
      </c>
      <c r="E292" t="s">
        <v>2089</v>
      </c>
      <c r="F292" t="s">
        <v>2090</v>
      </c>
      <c r="G292" t="s">
        <v>2091</v>
      </c>
      <c r="H292" t="s">
        <v>2092</v>
      </c>
      <c r="I292" t="s">
        <v>7947</v>
      </c>
      <c r="J292" t="s">
        <v>28</v>
      </c>
      <c r="K292" t="s">
        <v>2093</v>
      </c>
      <c r="L292" t="s">
        <v>43</v>
      </c>
      <c r="M292">
        <v>8065666897</v>
      </c>
      <c r="N292" t="s">
        <v>1207</v>
      </c>
      <c r="O292" t="s">
        <v>7886</v>
      </c>
      <c r="P292" t="s">
        <v>7940</v>
      </c>
      <c r="Q292" t="s">
        <v>46</v>
      </c>
      <c r="R292" t="s">
        <v>33</v>
      </c>
      <c r="S292" t="s">
        <v>34</v>
      </c>
      <c r="T292" s="1">
        <v>812500</v>
      </c>
      <c r="U292">
        <v>0</v>
      </c>
      <c r="V292" s="1">
        <v>162500</v>
      </c>
      <c r="W292" t="s">
        <v>2094</v>
      </c>
    </row>
    <row r="293" spans="1:23" x14ac:dyDescent="0.25">
      <c r="A293">
        <v>24273</v>
      </c>
      <c r="B293" t="s">
        <v>23</v>
      </c>
      <c r="D293">
        <v>296</v>
      </c>
      <c r="E293" t="s">
        <v>2095</v>
      </c>
      <c r="F293" t="s">
        <v>2096</v>
      </c>
      <c r="G293" t="s">
        <v>2097</v>
      </c>
      <c r="H293" t="s">
        <v>2098</v>
      </c>
      <c r="I293" t="s">
        <v>2099</v>
      </c>
      <c r="J293" t="s">
        <v>53</v>
      </c>
      <c r="K293" t="s">
        <v>2100</v>
      </c>
      <c r="L293" t="s">
        <v>43</v>
      </c>
      <c r="M293">
        <v>2348060709361</v>
      </c>
      <c r="N293" t="s">
        <v>31</v>
      </c>
      <c r="O293" t="s">
        <v>7879</v>
      </c>
      <c r="P293" t="s">
        <v>7893</v>
      </c>
      <c r="Q293" t="s">
        <v>63</v>
      </c>
      <c r="R293" t="s">
        <v>33</v>
      </c>
      <c r="S293" t="s">
        <v>34</v>
      </c>
      <c r="T293" s="1">
        <v>195000</v>
      </c>
      <c r="U293">
        <v>0</v>
      </c>
      <c r="V293">
        <v>0</v>
      </c>
      <c r="W293" t="s">
        <v>2101</v>
      </c>
    </row>
    <row r="294" spans="1:23" x14ac:dyDescent="0.25">
      <c r="A294">
        <v>24289</v>
      </c>
      <c r="B294" t="s">
        <v>23</v>
      </c>
      <c r="D294">
        <v>297</v>
      </c>
      <c r="E294" t="s">
        <v>2102</v>
      </c>
      <c r="F294" t="s">
        <v>2103</v>
      </c>
      <c r="G294" t="s">
        <v>2104</v>
      </c>
      <c r="I294" t="s">
        <v>2105</v>
      </c>
      <c r="J294" t="s">
        <v>28</v>
      </c>
      <c r="K294" t="s">
        <v>2106</v>
      </c>
      <c r="L294" t="s">
        <v>43</v>
      </c>
      <c r="M294">
        <v>2348135096970</v>
      </c>
      <c r="N294" t="s">
        <v>31</v>
      </c>
      <c r="O294" t="s">
        <v>7879</v>
      </c>
      <c r="P294" t="s">
        <v>7940</v>
      </c>
      <c r="Q294" t="s">
        <v>87</v>
      </c>
      <c r="R294" t="s">
        <v>33</v>
      </c>
      <c r="S294" t="s">
        <v>34</v>
      </c>
      <c r="T294" s="1">
        <v>195000</v>
      </c>
      <c r="U294">
        <v>0</v>
      </c>
      <c r="V294">
        <v>0</v>
      </c>
      <c r="W294" t="s">
        <v>2107</v>
      </c>
    </row>
    <row r="295" spans="1:23" x14ac:dyDescent="0.25">
      <c r="A295">
        <v>18121</v>
      </c>
      <c r="B295" t="s">
        <v>23</v>
      </c>
      <c r="D295">
        <v>298</v>
      </c>
      <c r="E295" t="s">
        <v>2108</v>
      </c>
      <c r="F295" t="s">
        <v>2109</v>
      </c>
      <c r="G295" t="s">
        <v>664</v>
      </c>
      <c r="H295" t="s">
        <v>368</v>
      </c>
      <c r="I295" t="s">
        <v>2110</v>
      </c>
      <c r="J295" t="s">
        <v>53</v>
      </c>
      <c r="K295" t="s">
        <v>2110</v>
      </c>
      <c r="L295" t="s">
        <v>43</v>
      </c>
      <c r="M295" s="2" t="s">
        <v>2111</v>
      </c>
      <c r="N295" t="s">
        <v>31</v>
      </c>
      <c r="O295" t="s">
        <v>7879</v>
      </c>
      <c r="P295" t="s">
        <v>7888</v>
      </c>
      <c r="Q295" t="s">
        <v>46</v>
      </c>
      <c r="R295" t="s">
        <v>33</v>
      </c>
      <c r="S295" t="s">
        <v>34</v>
      </c>
      <c r="T295" s="1">
        <v>195000</v>
      </c>
      <c r="U295">
        <v>0</v>
      </c>
      <c r="V295">
        <v>0</v>
      </c>
      <c r="W295" t="s">
        <v>2112</v>
      </c>
    </row>
    <row r="296" spans="1:23" x14ac:dyDescent="0.25">
      <c r="A296">
        <v>24343</v>
      </c>
      <c r="B296" t="s">
        <v>23</v>
      </c>
      <c r="D296">
        <v>299</v>
      </c>
      <c r="E296" t="s">
        <v>2113</v>
      </c>
      <c r="F296" t="s">
        <v>2114</v>
      </c>
      <c r="G296" t="s">
        <v>2115</v>
      </c>
      <c r="H296" t="s">
        <v>406</v>
      </c>
      <c r="I296" t="s">
        <v>2116</v>
      </c>
      <c r="J296" t="s">
        <v>28</v>
      </c>
      <c r="K296" t="s">
        <v>2117</v>
      </c>
      <c r="L296" t="s">
        <v>43</v>
      </c>
      <c r="M296" s="2" t="s">
        <v>2118</v>
      </c>
      <c r="N296" t="s">
        <v>31</v>
      </c>
      <c r="O296" t="s">
        <v>7879</v>
      </c>
      <c r="P296" t="s">
        <v>7940</v>
      </c>
      <c r="Q296" t="s">
        <v>63</v>
      </c>
      <c r="R296" t="s">
        <v>33</v>
      </c>
      <c r="S296" t="s">
        <v>34</v>
      </c>
      <c r="T296" s="1">
        <v>195000</v>
      </c>
      <c r="U296">
        <v>0</v>
      </c>
      <c r="V296">
        <v>0</v>
      </c>
      <c r="W296" t="s">
        <v>2119</v>
      </c>
    </row>
    <row r="297" spans="1:23" x14ac:dyDescent="0.25">
      <c r="A297">
        <v>24318</v>
      </c>
      <c r="B297" t="s">
        <v>23</v>
      </c>
      <c r="D297">
        <v>300</v>
      </c>
      <c r="E297" t="s">
        <v>2120</v>
      </c>
      <c r="F297" t="s">
        <v>2121</v>
      </c>
      <c r="G297" t="s">
        <v>465</v>
      </c>
      <c r="H297" t="s">
        <v>2122</v>
      </c>
      <c r="I297" t="s">
        <v>2123</v>
      </c>
      <c r="J297" t="s">
        <v>53</v>
      </c>
      <c r="K297" t="s">
        <v>2124</v>
      </c>
      <c r="L297" t="s">
        <v>43</v>
      </c>
      <c r="M297" s="2" t="s">
        <v>2125</v>
      </c>
      <c r="N297" t="s">
        <v>31</v>
      </c>
      <c r="O297" t="s">
        <v>7879</v>
      </c>
      <c r="P297" t="s">
        <v>7940</v>
      </c>
      <c r="Q297" t="s">
        <v>46</v>
      </c>
      <c r="R297" t="s">
        <v>33</v>
      </c>
      <c r="S297" t="s">
        <v>34</v>
      </c>
      <c r="T297" s="1">
        <v>195000</v>
      </c>
      <c r="U297">
        <v>0</v>
      </c>
      <c r="V297">
        <v>0</v>
      </c>
      <c r="W297" t="s">
        <v>2126</v>
      </c>
    </row>
    <row r="298" spans="1:23" x14ac:dyDescent="0.25">
      <c r="A298">
        <v>24256</v>
      </c>
      <c r="B298" t="s">
        <v>23</v>
      </c>
      <c r="D298">
        <v>301</v>
      </c>
      <c r="E298" t="s">
        <v>2127</v>
      </c>
      <c r="F298" t="s">
        <v>2128</v>
      </c>
      <c r="G298" t="s">
        <v>2129</v>
      </c>
      <c r="H298" t="s">
        <v>2130</v>
      </c>
      <c r="I298" t="s">
        <v>2131</v>
      </c>
      <c r="J298" t="s">
        <v>28</v>
      </c>
      <c r="K298" t="s">
        <v>2132</v>
      </c>
      <c r="L298" t="s">
        <v>43</v>
      </c>
      <c r="M298" s="2" t="s">
        <v>2133</v>
      </c>
      <c r="N298" t="s">
        <v>31</v>
      </c>
      <c r="O298" t="s">
        <v>7879</v>
      </c>
      <c r="P298" t="s">
        <v>7893</v>
      </c>
      <c r="Q298" t="s">
        <v>63</v>
      </c>
      <c r="R298" t="s">
        <v>33</v>
      </c>
      <c r="S298" t="s">
        <v>34</v>
      </c>
      <c r="T298" s="1">
        <v>195000</v>
      </c>
      <c r="U298">
        <v>0</v>
      </c>
      <c r="V298">
        <v>0</v>
      </c>
      <c r="W298" t="s">
        <v>2134</v>
      </c>
    </row>
    <row r="299" spans="1:23" x14ac:dyDescent="0.25">
      <c r="A299">
        <v>24336</v>
      </c>
      <c r="B299" t="s">
        <v>23</v>
      </c>
      <c r="D299">
        <v>302</v>
      </c>
      <c r="E299" t="s">
        <v>2135</v>
      </c>
      <c r="F299" t="s">
        <v>2136</v>
      </c>
      <c r="G299" t="s">
        <v>2137</v>
      </c>
      <c r="H299" t="s">
        <v>2138</v>
      </c>
      <c r="I299" t="s">
        <v>2139</v>
      </c>
      <c r="J299" t="s">
        <v>28</v>
      </c>
      <c r="K299" t="s">
        <v>2140</v>
      </c>
      <c r="L299" t="s">
        <v>43</v>
      </c>
      <c r="M299" s="2" t="s">
        <v>2141</v>
      </c>
      <c r="N299" t="s">
        <v>31</v>
      </c>
      <c r="O299" t="s">
        <v>7879</v>
      </c>
      <c r="P299" t="s">
        <v>7981</v>
      </c>
      <c r="Q299" t="s">
        <v>46</v>
      </c>
      <c r="R299" t="s">
        <v>33</v>
      </c>
      <c r="S299" t="s">
        <v>34</v>
      </c>
      <c r="T299" s="1">
        <v>195000</v>
      </c>
      <c r="U299">
        <v>0</v>
      </c>
      <c r="V299">
        <v>0</v>
      </c>
      <c r="W299" t="s">
        <v>2142</v>
      </c>
    </row>
    <row r="300" spans="1:23" x14ac:dyDescent="0.25">
      <c r="A300">
        <v>22641</v>
      </c>
      <c r="B300" t="s">
        <v>23</v>
      </c>
      <c r="D300">
        <v>303</v>
      </c>
      <c r="E300" t="s">
        <v>2143</v>
      </c>
      <c r="F300" t="s">
        <v>1984</v>
      </c>
      <c r="G300" t="s">
        <v>2144</v>
      </c>
      <c r="H300" t="s">
        <v>2145</v>
      </c>
      <c r="I300" t="s">
        <v>2146</v>
      </c>
      <c r="J300" t="s">
        <v>53</v>
      </c>
      <c r="K300" t="s">
        <v>2147</v>
      </c>
      <c r="L300" t="s">
        <v>43</v>
      </c>
      <c r="M300">
        <v>2347030101515</v>
      </c>
      <c r="N300" t="s">
        <v>31</v>
      </c>
      <c r="O300" t="s">
        <v>7879</v>
      </c>
      <c r="P300" t="s">
        <v>7893</v>
      </c>
      <c r="Q300" t="s">
        <v>46</v>
      </c>
      <c r="R300" t="s">
        <v>33</v>
      </c>
      <c r="S300" t="s">
        <v>34</v>
      </c>
      <c r="T300" s="1">
        <v>195000</v>
      </c>
      <c r="U300">
        <v>0</v>
      </c>
      <c r="V300">
        <v>0</v>
      </c>
      <c r="W300" t="s">
        <v>2148</v>
      </c>
    </row>
    <row r="301" spans="1:23" x14ac:dyDescent="0.25">
      <c r="A301">
        <v>20026</v>
      </c>
      <c r="B301" t="s">
        <v>23</v>
      </c>
      <c r="D301">
        <v>304</v>
      </c>
      <c r="E301" t="s">
        <v>2149</v>
      </c>
      <c r="F301" t="s">
        <v>2150</v>
      </c>
      <c r="G301" t="s">
        <v>2151</v>
      </c>
      <c r="H301" t="s">
        <v>2152</v>
      </c>
      <c r="I301" t="s">
        <v>2153</v>
      </c>
      <c r="J301" t="s">
        <v>28</v>
      </c>
      <c r="K301" t="s">
        <v>289</v>
      </c>
      <c r="L301" t="s">
        <v>43</v>
      </c>
      <c r="M301" s="2" t="s">
        <v>2154</v>
      </c>
      <c r="N301" t="s">
        <v>31</v>
      </c>
      <c r="O301" t="s">
        <v>7881</v>
      </c>
      <c r="P301" t="s">
        <v>7940</v>
      </c>
      <c r="Q301" t="s">
        <v>63</v>
      </c>
      <c r="R301" t="s">
        <v>33</v>
      </c>
      <c r="S301" t="s">
        <v>34</v>
      </c>
      <c r="T301" s="1">
        <v>552500</v>
      </c>
      <c r="U301">
        <v>0</v>
      </c>
      <c r="V301">
        <v>0</v>
      </c>
      <c r="W301" t="s">
        <v>2155</v>
      </c>
    </row>
    <row r="302" spans="1:23" x14ac:dyDescent="0.25">
      <c r="A302">
        <v>7190</v>
      </c>
      <c r="B302" t="s">
        <v>23</v>
      </c>
      <c r="D302">
        <v>305</v>
      </c>
      <c r="E302" t="s">
        <v>2156</v>
      </c>
      <c r="F302" t="s">
        <v>2157</v>
      </c>
      <c r="G302" t="s">
        <v>2158</v>
      </c>
      <c r="H302" t="s">
        <v>2159</v>
      </c>
      <c r="I302" t="s">
        <v>2160</v>
      </c>
      <c r="J302" t="s">
        <v>53</v>
      </c>
      <c r="K302" t="s">
        <v>2161</v>
      </c>
      <c r="L302" t="s">
        <v>43</v>
      </c>
      <c r="M302">
        <v>7083469647</v>
      </c>
      <c r="N302" t="s">
        <v>45</v>
      </c>
      <c r="O302" t="s">
        <v>7881</v>
      </c>
      <c r="P302" t="s">
        <v>7893</v>
      </c>
      <c r="Q302" t="s">
        <v>46</v>
      </c>
      <c r="R302" t="s">
        <v>33</v>
      </c>
      <c r="S302" t="s">
        <v>34</v>
      </c>
      <c r="T302" s="1">
        <v>552500</v>
      </c>
      <c r="U302">
        <v>0</v>
      </c>
      <c r="V302">
        <v>0</v>
      </c>
      <c r="W302" t="s">
        <v>2162</v>
      </c>
    </row>
    <row r="303" spans="1:23" x14ac:dyDescent="0.25">
      <c r="A303">
        <v>23216</v>
      </c>
      <c r="B303" t="s">
        <v>23</v>
      </c>
      <c r="D303">
        <v>306</v>
      </c>
      <c r="E303" t="s">
        <v>2163</v>
      </c>
      <c r="F303" t="s">
        <v>2164</v>
      </c>
      <c r="G303" t="s">
        <v>2165</v>
      </c>
      <c r="I303" t="s">
        <v>2166</v>
      </c>
      <c r="J303" t="s">
        <v>28</v>
      </c>
      <c r="K303" t="s">
        <v>1152</v>
      </c>
      <c r="L303" t="s">
        <v>30</v>
      </c>
      <c r="M303">
        <v>3132333</v>
      </c>
      <c r="N303" t="s">
        <v>31</v>
      </c>
      <c r="O303" t="s">
        <v>7879</v>
      </c>
      <c r="P303" t="s">
        <v>7940</v>
      </c>
      <c r="Q303" t="s">
        <v>32</v>
      </c>
      <c r="R303" t="s">
        <v>130</v>
      </c>
      <c r="S303" t="s">
        <v>131</v>
      </c>
      <c r="T303">
        <v>150</v>
      </c>
      <c r="U303">
        <v>0</v>
      </c>
      <c r="V303">
        <v>0</v>
      </c>
      <c r="W303" t="s">
        <v>2167</v>
      </c>
    </row>
    <row r="304" spans="1:23" x14ac:dyDescent="0.25">
      <c r="A304">
        <v>23550</v>
      </c>
      <c r="B304" t="s">
        <v>23</v>
      </c>
      <c r="D304">
        <v>307</v>
      </c>
      <c r="E304" t="s">
        <v>2168</v>
      </c>
      <c r="F304" t="s">
        <v>2169</v>
      </c>
      <c r="G304" t="s">
        <v>2170</v>
      </c>
      <c r="H304" t="s">
        <v>2171</v>
      </c>
      <c r="I304" t="s">
        <v>2172</v>
      </c>
      <c r="J304" t="s">
        <v>28</v>
      </c>
      <c r="K304" t="s">
        <v>2173</v>
      </c>
      <c r="L304" t="s">
        <v>43</v>
      </c>
      <c r="M304">
        <v>2348070522436</v>
      </c>
      <c r="N304" t="s">
        <v>45</v>
      </c>
      <c r="O304" t="s">
        <v>7879</v>
      </c>
      <c r="P304" t="s">
        <v>7940</v>
      </c>
      <c r="Q304" t="s">
        <v>46</v>
      </c>
      <c r="R304" t="s">
        <v>33</v>
      </c>
      <c r="S304" t="s">
        <v>34</v>
      </c>
      <c r="T304" s="1">
        <v>195000</v>
      </c>
      <c r="U304">
        <v>0</v>
      </c>
      <c r="V304">
        <v>0</v>
      </c>
      <c r="W304" t="s">
        <v>2174</v>
      </c>
    </row>
    <row r="305" spans="1:23" x14ac:dyDescent="0.25">
      <c r="A305">
        <v>24245</v>
      </c>
      <c r="B305" t="s">
        <v>23</v>
      </c>
      <c r="D305">
        <v>308</v>
      </c>
      <c r="E305" t="s">
        <v>2175</v>
      </c>
      <c r="F305" t="s">
        <v>2176</v>
      </c>
      <c r="G305" t="s">
        <v>2177</v>
      </c>
      <c r="H305" t="s">
        <v>2178</v>
      </c>
      <c r="I305" t="s">
        <v>2179</v>
      </c>
      <c r="J305" t="s">
        <v>53</v>
      </c>
      <c r="K305" t="s">
        <v>2180</v>
      </c>
      <c r="L305" t="s">
        <v>43</v>
      </c>
      <c r="M305" s="2" t="s">
        <v>2181</v>
      </c>
      <c r="N305" t="s">
        <v>31</v>
      </c>
      <c r="O305" t="s">
        <v>7879</v>
      </c>
      <c r="P305" t="s">
        <v>7940</v>
      </c>
      <c r="Q305" t="s">
        <v>87</v>
      </c>
      <c r="R305" t="s">
        <v>33</v>
      </c>
      <c r="S305" t="s">
        <v>34</v>
      </c>
      <c r="T305" s="1">
        <v>195000</v>
      </c>
      <c r="U305">
        <v>0</v>
      </c>
      <c r="V305">
        <v>0</v>
      </c>
      <c r="W305" t="s">
        <v>2182</v>
      </c>
    </row>
    <row r="306" spans="1:23" x14ac:dyDescent="0.25">
      <c r="A306">
        <v>1118</v>
      </c>
      <c r="B306" t="s">
        <v>23</v>
      </c>
      <c r="D306">
        <v>309</v>
      </c>
      <c r="E306" t="s">
        <v>2183</v>
      </c>
      <c r="F306" t="s">
        <v>1223</v>
      </c>
      <c r="G306" t="s">
        <v>2184</v>
      </c>
      <c r="H306" t="s">
        <v>2185</v>
      </c>
      <c r="I306" t="s">
        <v>7908</v>
      </c>
      <c r="J306" t="s">
        <v>53</v>
      </c>
      <c r="K306" t="s">
        <v>2186</v>
      </c>
      <c r="L306" t="s">
        <v>43</v>
      </c>
      <c r="M306">
        <v>2348035233130</v>
      </c>
      <c r="N306" t="s">
        <v>244</v>
      </c>
      <c r="O306" t="s">
        <v>7886</v>
      </c>
      <c r="P306" t="s">
        <v>7901</v>
      </c>
      <c r="Q306" t="s">
        <v>63</v>
      </c>
      <c r="R306" t="s">
        <v>33</v>
      </c>
      <c r="S306" t="s">
        <v>34</v>
      </c>
      <c r="T306" s="1">
        <v>812500</v>
      </c>
      <c r="U306">
        <v>0</v>
      </c>
      <c r="V306">
        <v>0</v>
      </c>
      <c r="W306" t="s">
        <v>2187</v>
      </c>
    </row>
    <row r="307" spans="1:23" x14ac:dyDescent="0.25">
      <c r="A307">
        <v>18025</v>
      </c>
      <c r="B307" t="s">
        <v>23</v>
      </c>
      <c r="D307">
        <v>310</v>
      </c>
      <c r="E307" t="s">
        <v>2188</v>
      </c>
      <c r="F307" t="s">
        <v>2189</v>
      </c>
      <c r="G307" t="s">
        <v>2190</v>
      </c>
      <c r="H307" t="s">
        <v>2191</v>
      </c>
      <c r="I307" t="s">
        <v>7909</v>
      </c>
      <c r="J307" t="s">
        <v>53</v>
      </c>
      <c r="K307" t="s">
        <v>7909</v>
      </c>
      <c r="L307" t="s">
        <v>43</v>
      </c>
      <c r="M307" s="2" t="s">
        <v>2192</v>
      </c>
      <c r="N307" t="s">
        <v>31</v>
      </c>
      <c r="O307" t="s">
        <v>7881</v>
      </c>
      <c r="P307" t="s">
        <v>7893</v>
      </c>
      <c r="Q307" t="s">
        <v>87</v>
      </c>
      <c r="R307" t="s">
        <v>33</v>
      </c>
      <c r="S307" t="s">
        <v>34</v>
      </c>
      <c r="T307" s="1">
        <v>552500</v>
      </c>
      <c r="U307">
        <v>0</v>
      </c>
      <c r="V307">
        <v>0</v>
      </c>
      <c r="W307" t="s">
        <v>2193</v>
      </c>
    </row>
    <row r="308" spans="1:23" x14ac:dyDescent="0.25">
      <c r="A308">
        <v>11177</v>
      </c>
      <c r="B308" t="s">
        <v>23</v>
      </c>
      <c r="D308">
        <v>311</v>
      </c>
      <c r="E308" t="s">
        <v>2194</v>
      </c>
      <c r="F308" t="s">
        <v>1380</v>
      </c>
      <c r="G308" t="s">
        <v>234</v>
      </c>
      <c r="H308" t="s">
        <v>2195</v>
      </c>
      <c r="I308" t="s">
        <v>2196</v>
      </c>
      <c r="J308" t="s">
        <v>28</v>
      </c>
      <c r="K308" t="s">
        <v>2197</v>
      </c>
      <c r="L308" t="s">
        <v>43</v>
      </c>
      <c r="M308">
        <v>8036543484</v>
      </c>
      <c r="N308" t="s">
        <v>31</v>
      </c>
      <c r="O308" t="s">
        <v>7881</v>
      </c>
      <c r="P308" t="s">
        <v>7893</v>
      </c>
      <c r="Q308" t="s">
        <v>46</v>
      </c>
      <c r="R308" t="s">
        <v>33</v>
      </c>
      <c r="S308" t="s">
        <v>34</v>
      </c>
      <c r="T308" s="1">
        <v>552500</v>
      </c>
      <c r="U308">
        <v>0</v>
      </c>
      <c r="V308">
        <v>0</v>
      </c>
      <c r="W308" t="s">
        <v>2198</v>
      </c>
    </row>
    <row r="309" spans="1:23" x14ac:dyDescent="0.25">
      <c r="A309">
        <v>19298</v>
      </c>
      <c r="B309" t="s">
        <v>23</v>
      </c>
      <c r="D309">
        <v>313</v>
      </c>
      <c r="E309" t="s">
        <v>2202</v>
      </c>
      <c r="F309" t="s">
        <v>2203</v>
      </c>
      <c r="G309" t="s">
        <v>1566</v>
      </c>
      <c r="H309" t="s">
        <v>90</v>
      </c>
      <c r="I309" t="s">
        <v>2204</v>
      </c>
      <c r="J309" t="s">
        <v>28</v>
      </c>
      <c r="K309" t="s">
        <v>2205</v>
      </c>
      <c r="L309" t="s">
        <v>43</v>
      </c>
      <c r="M309" s="2" t="s">
        <v>2206</v>
      </c>
      <c r="N309" t="s">
        <v>45</v>
      </c>
      <c r="O309" t="s">
        <v>7881</v>
      </c>
      <c r="P309" t="s">
        <v>7981</v>
      </c>
      <c r="Q309" t="s">
        <v>46</v>
      </c>
      <c r="R309" t="s">
        <v>33</v>
      </c>
      <c r="S309" t="s">
        <v>34</v>
      </c>
      <c r="T309" s="1">
        <v>552500</v>
      </c>
      <c r="U309">
        <v>0</v>
      </c>
      <c r="V309">
        <v>0</v>
      </c>
      <c r="W309" t="s">
        <v>2207</v>
      </c>
    </row>
    <row r="310" spans="1:23" x14ac:dyDescent="0.25">
      <c r="A310">
        <v>20751</v>
      </c>
      <c r="B310" t="s">
        <v>23</v>
      </c>
      <c r="D310">
        <v>314</v>
      </c>
      <c r="E310" t="s">
        <v>2208</v>
      </c>
      <c r="F310" t="s">
        <v>2209</v>
      </c>
      <c r="G310" t="s">
        <v>2210</v>
      </c>
      <c r="H310" t="s">
        <v>599</v>
      </c>
      <c r="I310" t="s">
        <v>2211</v>
      </c>
      <c r="J310" t="s">
        <v>28</v>
      </c>
      <c r="K310" t="s">
        <v>2212</v>
      </c>
      <c r="L310" t="s">
        <v>43</v>
      </c>
      <c r="M310" s="2" t="s">
        <v>2213</v>
      </c>
      <c r="N310" t="s">
        <v>31</v>
      </c>
      <c r="O310" t="s">
        <v>7881</v>
      </c>
      <c r="P310" t="s">
        <v>7893</v>
      </c>
      <c r="Q310" t="s">
        <v>87</v>
      </c>
      <c r="R310" t="s">
        <v>33</v>
      </c>
      <c r="S310" t="s">
        <v>34</v>
      </c>
      <c r="T310" s="1">
        <v>552500</v>
      </c>
      <c r="U310">
        <v>0</v>
      </c>
      <c r="V310">
        <v>0</v>
      </c>
      <c r="W310" t="s">
        <v>2214</v>
      </c>
    </row>
    <row r="311" spans="1:23" x14ac:dyDescent="0.25">
      <c r="A311">
        <v>24337</v>
      </c>
      <c r="B311" t="s">
        <v>23</v>
      </c>
      <c r="D311">
        <v>315</v>
      </c>
      <c r="E311" t="s">
        <v>2215</v>
      </c>
      <c r="F311" t="s">
        <v>2216</v>
      </c>
      <c r="G311" t="s">
        <v>2217</v>
      </c>
      <c r="H311" t="s">
        <v>2218</v>
      </c>
      <c r="I311" t="s">
        <v>2219</v>
      </c>
      <c r="J311" t="s">
        <v>28</v>
      </c>
      <c r="K311" t="s">
        <v>2220</v>
      </c>
      <c r="L311" t="s">
        <v>43</v>
      </c>
      <c r="M311">
        <v>2348037848480</v>
      </c>
      <c r="N311" t="s">
        <v>31</v>
      </c>
      <c r="O311" t="s">
        <v>7879</v>
      </c>
      <c r="P311" t="s">
        <v>7888</v>
      </c>
      <c r="Q311" t="s">
        <v>87</v>
      </c>
      <c r="R311" t="s">
        <v>33</v>
      </c>
      <c r="S311" t="s">
        <v>34</v>
      </c>
      <c r="T311" s="1">
        <v>195000</v>
      </c>
      <c r="U311">
        <v>0</v>
      </c>
      <c r="V311">
        <v>0</v>
      </c>
      <c r="W311" t="s">
        <v>2221</v>
      </c>
    </row>
    <row r="312" spans="1:23" x14ac:dyDescent="0.25">
      <c r="A312">
        <v>20824</v>
      </c>
      <c r="B312" t="s">
        <v>23</v>
      </c>
      <c r="D312">
        <v>316</v>
      </c>
      <c r="E312" t="s">
        <v>2222</v>
      </c>
      <c r="F312" t="s">
        <v>2223</v>
      </c>
      <c r="G312" t="s">
        <v>2224</v>
      </c>
      <c r="H312" t="s">
        <v>2225</v>
      </c>
      <c r="I312" t="s">
        <v>2226</v>
      </c>
      <c r="J312" t="s">
        <v>53</v>
      </c>
      <c r="K312" t="s">
        <v>2227</v>
      </c>
      <c r="L312" t="s">
        <v>43</v>
      </c>
      <c r="M312">
        <v>2347063609161</v>
      </c>
      <c r="N312" t="s">
        <v>31</v>
      </c>
      <c r="O312" t="s">
        <v>7881</v>
      </c>
      <c r="P312" t="s">
        <v>7893</v>
      </c>
      <c r="Q312" t="s">
        <v>87</v>
      </c>
      <c r="R312" t="s">
        <v>33</v>
      </c>
      <c r="S312" t="s">
        <v>34</v>
      </c>
      <c r="T312" s="1">
        <v>552500</v>
      </c>
      <c r="U312">
        <v>0</v>
      </c>
      <c r="V312">
        <v>0</v>
      </c>
      <c r="W312" t="s">
        <v>2228</v>
      </c>
    </row>
    <row r="313" spans="1:23" x14ac:dyDescent="0.25">
      <c r="A313">
        <v>5088</v>
      </c>
      <c r="B313" t="s">
        <v>23</v>
      </c>
      <c r="D313">
        <v>317</v>
      </c>
      <c r="E313" t="s">
        <v>2229</v>
      </c>
      <c r="F313" t="s">
        <v>2230</v>
      </c>
      <c r="G313" t="s">
        <v>769</v>
      </c>
      <c r="H313" t="s">
        <v>2231</v>
      </c>
      <c r="I313" t="s">
        <v>2232</v>
      </c>
      <c r="J313" t="s">
        <v>53</v>
      </c>
      <c r="K313" t="s">
        <v>2233</v>
      </c>
      <c r="L313" t="s">
        <v>43</v>
      </c>
      <c r="M313">
        <v>8036593895</v>
      </c>
      <c r="N313" t="s">
        <v>31</v>
      </c>
      <c r="O313" t="s">
        <v>7886</v>
      </c>
      <c r="P313" t="s">
        <v>7940</v>
      </c>
      <c r="Q313" t="s">
        <v>46</v>
      </c>
      <c r="R313" t="s">
        <v>33</v>
      </c>
      <c r="S313" t="s">
        <v>34</v>
      </c>
      <c r="T313" s="1">
        <v>812500</v>
      </c>
      <c r="U313">
        <v>0</v>
      </c>
      <c r="V313" s="1">
        <v>162500</v>
      </c>
      <c r="W313" t="s">
        <v>2234</v>
      </c>
    </row>
    <row r="314" spans="1:23" x14ac:dyDescent="0.25">
      <c r="A314">
        <v>24287</v>
      </c>
      <c r="B314" t="s">
        <v>23</v>
      </c>
      <c r="D314">
        <v>318</v>
      </c>
      <c r="E314" t="s">
        <v>2235</v>
      </c>
      <c r="F314" t="s">
        <v>2236</v>
      </c>
      <c r="G314" t="s">
        <v>783</v>
      </c>
      <c r="H314" t="s">
        <v>2237</v>
      </c>
      <c r="I314" s="2" t="s">
        <v>2238</v>
      </c>
      <c r="J314" t="s">
        <v>28</v>
      </c>
      <c r="K314" t="s">
        <v>2239</v>
      </c>
      <c r="L314" t="s">
        <v>43</v>
      </c>
      <c r="M314" s="2" t="s">
        <v>2238</v>
      </c>
      <c r="N314" t="s">
        <v>31</v>
      </c>
      <c r="O314" t="s">
        <v>7879</v>
      </c>
      <c r="P314" t="s">
        <v>7940</v>
      </c>
      <c r="Q314" t="s">
        <v>46</v>
      </c>
      <c r="R314" t="s">
        <v>33</v>
      </c>
      <c r="S314" t="s">
        <v>34</v>
      </c>
      <c r="T314" s="1">
        <v>195000</v>
      </c>
      <c r="U314">
        <v>0</v>
      </c>
      <c r="V314">
        <v>0</v>
      </c>
      <c r="W314" t="s">
        <v>2240</v>
      </c>
    </row>
    <row r="315" spans="1:23" x14ac:dyDescent="0.25">
      <c r="A315">
        <v>18429</v>
      </c>
      <c r="B315" t="s">
        <v>23</v>
      </c>
      <c r="D315">
        <v>319</v>
      </c>
      <c r="E315" t="s">
        <v>2241</v>
      </c>
      <c r="F315" t="s">
        <v>2242</v>
      </c>
      <c r="G315" t="s">
        <v>2020</v>
      </c>
      <c r="H315" t="s">
        <v>2243</v>
      </c>
      <c r="I315" t="s">
        <v>2244</v>
      </c>
      <c r="J315" t="s">
        <v>53</v>
      </c>
      <c r="K315" t="s">
        <v>2245</v>
      </c>
      <c r="L315" t="s">
        <v>43</v>
      </c>
      <c r="M315" s="2" t="s">
        <v>2246</v>
      </c>
      <c r="N315" t="s">
        <v>31</v>
      </c>
      <c r="O315" t="s">
        <v>7879</v>
      </c>
      <c r="P315" t="s">
        <v>7940</v>
      </c>
      <c r="Q315" t="s">
        <v>63</v>
      </c>
      <c r="R315" t="s">
        <v>33</v>
      </c>
      <c r="S315" t="s">
        <v>34</v>
      </c>
      <c r="T315" s="1">
        <v>195000</v>
      </c>
      <c r="U315">
        <v>0</v>
      </c>
      <c r="V315">
        <v>0</v>
      </c>
      <c r="W315" t="s">
        <v>2247</v>
      </c>
    </row>
    <row r="316" spans="1:23" x14ac:dyDescent="0.25">
      <c r="A316">
        <v>24361</v>
      </c>
      <c r="B316" t="s">
        <v>23</v>
      </c>
      <c r="D316">
        <v>320</v>
      </c>
      <c r="E316" t="s">
        <v>2248</v>
      </c>
      <c r="F316" t="s">
        <v>2249</v>
      </c>
      <c r="G316" t="s">
        <v>2250</v>
      </c>
      <c r="H316" t="s">
        <v>2251</v>
      </c>
      <c r="I316" t="s">
        <v>2252</v>
      </c>
      <c r="J316" t="s">
        <v>53</v>
      </c>
      <c r="K316" t="s">
        <v>2253</v>
      </c>
      <c r="L316" t="s">
        <v>43</v>
      </c>
      <c r="M316" s="2" t="s">
        <v>2254</v>
      </c>
      <c r="N316" t="s">
        <v>31</v>
      </c>
      <c r="O316" t="s">
        <v>7879</v>
      </c>
      <c r="P316" t="s">
        <v>7893</v>
      </c>
      <c r="Q316" t="s">
        <v>87</v>
      </c>
      <c r="R316" t="s">
        <v>33</v>
      </c>
      <c r="S316" t="s">
        <v>34</v>
      </c>
      <c r="T316" s="1">
        <v>195000</v>
      </c>
      <c r="U316">
        <v>0</v>
      </c>
      <c r="V316">
        <v>0</v>
      </c>
      <c r="W316" t="s">
        <v>2255</v>
      </c>
    </row>
    <row r="317" spans="1:23" x14ac:dyDescent="0.25">
      <c r="A317">
        <v>24365</v>
      </c>
      <c r="B317" t="s">
        <v>23</v>
      </c>
      <c r="D317">
        <v>321</v>
      </c>
      <c r="E317" t="s">
        <v>2256</v>
      </c>
      <c r="F317" t="s">
        <v>2257</v>
      </c>
      <c r="G317" t="s">
        <v>2258</v>
      </c>
      <c r="H317" t="s">
        <v>2259</v>
      </c>
      <c r="I317" t="s">
        <v>2260</v>
      </c>
      <c r="J317" t="s">
        <v>28</v>
      </c>
      <c r="K317" t="s">
        <v>2261</v>
      </c>
      <c r="L317" t="s">
        <v>43</v>
      </c>
      <c r="M317" s="2" t="s">
        <v>2262</v>
      </c>
      <c r="N317" t="s">
        <v>31</v>
      </c>
      <c r="O317" t="s">
        <v>7879</v>
      </c>
      <c r="P317" t="s">
        <v>7893</v>
      </c>
      <c r="Q317" t="s">
        <v>46</v>
      </c>
      <c r="R317" t="s">
        <v>33</v>
      </c>
      <c r="S317" t="s">
        <v>34</v>
      </c>
      <c r="T317" s="1">
        <v>195000</v>
      </c>
      <c r="U317">
        <v>0</v>
      </c>
      <c r="V317">
        <v>0</v>
      </c>
      <c r="W317" t="s">
        <v>2263</v>
      </c>
    </row>
    <row r="318" spans="1:23" x14ac:dyDescent="0.25">
      <c r="A318">
        <v>24322</v>
      </c>
      <c r="B318" t="s">
        <v>23</v>
      </c>
      <c r="D318">
        <v>322</v>
      </c>
      <c r="E318" t="s">
        <v>2264</v>
      </c>
      <c r="F318" t="s">
        <v>2265</v>
      </c>
      <c r="G318" t="s">
        <v>2266</v>
      </c>
      <c r="H318" t="s">
        <v>2267</v>
      </c>
      <c r="I318" t="s">
        <v>2268</v>
      </c>
      <c r="J318" t="s">
        <v>28</v>
      </c>
      <c r="K318" t="s">
        <v>2269</v>
      </c>
      <c r="L318" t="s">
        <v>43</v>
      </c>
      <c r="M318" s="2" t="s">
        <v>2270</v>
      </c>
      <c r="N318" t="s">
        <v>31</v>
      </c>
      <c r="O318" t="s">
        <v>7879</v>
      </c>
      <c r="P318" t="s">
        <v>7893</v>
      </c>
      <c r="Q318" t="s">
        <v>63</v>
      </c>
      <c r="R318" t="s">
        <v>33</v>
      </c>
      <c r="S318" t="s">
        <v>34</v>
      </c>
      <c r="T318" s="1">
        <v>195000</v>
      </c>
      <c r="U318">
        <v>0</v>
      </c>
      <c r="V318">
        <v>0</v>
      </c>
      <c r="W318" t="s">
        <v>2271</v>
      </c>
    </row>
    <row r="319" spans="1:23" x14ac:dyDescent="0.25">
      <c r="A319">
        <v>24106</v>
      </c>
      <c r="B319" t="s">
        <v>23</v>
      </c>
      <c r="D319">
        <v>323</v>
      </c>
      <c r="E319" t="s">
        <v>2272</v>
      </c>
      <c r="F319" t="s">
        <v>2273</v>
      </c>
      <c r="G319" t="s">
        <v>2274</v>
      </c>
      <c r="H319" t="s">
        <v>2275</v>
      </c>
      <c r="I319" t="s">
        <v>2276</v>
      </c>
      <c r="J319" t="s">
        <v>28</v>
      </c>
      <c r="K319" t="s">
        <v>923</v>
      </c>
      <c r="L319" t="s">
        <v>43</v>
      </c>
      <c r="M319" s="2" t="s">
        <v>2277</v>
      </c>
      <c r="N319" t="s">
        <v>31</v>
      </c>
      <c r="O319" t="s">
        <v>7879</v>
      </c>
      <c r="P319" t="s">
        <v>7981</v>
      </c>
      <c r="Q319" t="s">
        <v>46</v>
      </c>
      <c r="R319" t="s">
        <v>33</v>
      </c>
      <c r="S319" t="s">
        <v>34</v>
      </c>
      <c r="T319" s="1">
        <v>195000</v>
      </c>
      <c r="U319">
        <v>0</v>
      </c>
      <c r="V319">
        <v>0</v>
      </c>
      <c r="W319" t="s">
        <v>2278</v>
      </c>
    </row>
    <row r="320" spans="1:23" x14ac:dyDescent="0.25">
      <c r="A320">
        <v>19129</v>
      </c>
      <c r="B320" t="s">
        <v>23</v>
      </c>
      <c r="D320">
        <v>324</v>
      </c>
      <c r="E320" t="s">
        <v>2279</v>
      </c>
      <c r="F320" t="s">
        <v>2280</v>
      </c>
      <c r="G320" t="s">
        <v>465</v>
      </c>
      <c r="H320" t="s">
        <v>2281</v>
      </c>
      <c r="I320" t="s">
        <v>2282</v>
      </c>
      <c r="J320" t="s">
        <v>53</v>
      </c>
      <c r="K320" t="s">
        <v>2283</v>
      </c>
      <c r="L320" t="s">
        <v>43</v>
      </c>
      <c r="M320" s="2" t="s">
        <v>2284</v>
      </c>
      <c r="N320" t="s">
        <v>31</v>
      </c>
      <c r="O320" t="s">
        <v>7881</v>
      </c>
      <c r="P320" t="s">
        <v>7893</v>
      </c>
      <c r="Q320" t="s">
        <v>46</v>
      </c>
      <c r="R320" t="s">
        <v>33</v>
      </c>
      <c r="S320" t="s">
        <v>34</v>
      </c>
      <c r="T320" s="1">
        <v>552500</v>
      </c>
      <c r="U320">
        <v>0</v>
      </c>
      <c r="V320">
        <v>0</v>
      </c>
      <c r="W320" t="s">
        <v>2285</v>
      </c>
    </row>
    <row r="321" spans="1:23" x14ac:dyDescent="0.25">
      <c r="A321">
        <v>5695</v>
      </c>
      <c r="B321" t="s">
        <v>23</v>
      </c>
      <c r="D321">
        <v>325</v>
      </c>
      <c r="E321" t="s">
        <v>2286</v>
      </c>
      <c r="F321" t="s">
        <v>2287</v>
      </c>
      <c r="G321" t="s">
        <v>2288</v>
      </c>
      <c r="H321" t="s">
        <v>2289</v>
      </c>
      <c r="I321" t="s">
        <v>7910</v>
      </c>
      <c r="J321" t="s">
        <v>28</v>
      </c>
      <c r="K321" t="s">
        <v>717</v>
      </c>
      <c r="L321" t="s">
        <v>43</v>
      </c>
      <c r="M321">
        <v>8035503524</v>
      </c>
      <c r="N321" t="s">
        <v>244</v>
      </c>
      <c r="O321" t="s">
        <v>7886</v>
      </c>
      <c r="P321" t="s">
        <v>7898</v>
      </c>
      <c r="Q321" t="s">
        <v>46</v>
      </c>
      <c r="R321" t="s">
        <v>33</v>
      </c>
      <c r="S321" t="s">
        <v>34</v>
      </c>
      <c r="T321" s="1">
        <v>812500</v>
      </c>
      <c r="U321">
        <v>0</v>
      </c>
      <c r="V321">
        <v>0</v>
      </c>
      <c r="W321" t="s">
        <v>2290</v>
      </c>
    </row>
    <row r="322" spans="1:23" x14ac:dyDescent="0.25">
      <c r="A322">
        <v>20745</v>
      </c>
      <c r="B322" t="s">
        <v>23</v>
      </c>
      <c r="D322">
        <v>326</v>
      </c>
      <c r="E322" t="s">
        <v>2291</v>
      </c>
      <c r="F322" t="s">
        <v>2292</v>
      </c>
      <c r="G322" t="s">
        <v>1692</v>
      </c>
      <c r="H322" t="s">
        <v>2293</v>
      </c>
      <c r="I322" t="s">
        <v>2294</v>
      </c>
      <c r="J322" t="s">
        <v>28</v>
      </c>
      <c r="K322" t="s">
        <v>2295</v>
      </c>
      <c r="L322" t="s">
        <v>43</v>
      </c>
      <c r="M322" s="2" t="s">
        <v>2296</v>
      </c>
      <c r="N322" t="s">
        <v>31</v>
      </c>
      <c r="O322" t="s">
        <v>7881</v>
      </c>
      <c r="P322" t="s">
        <v>7888</v>
      </c>
      <c r="Q322" t="s">
        <v>63</v>
      </c>
      <c r="R322" t="s">
        <v>33</v>
      </c>
      <c r="S322" t="s">
        <v>34</v>
      </c>
      <c r="T322" s="1">
        <v>552500</v>
      </c>
      <c r="U322" s="1">
        <v>110500</v>
      </c>
      <c r="V322">
        <v>0</v>
      </c>
      <c r="W322" t="s">
        <v>2297</v>
      </c>
    </row>
    <row r="323" spans="1:23" x14ac:dyDescent="0.25">
      <c r="A323">
        <v>20040</v>
      </c>
      <c r="B323" t="s">
        <v>23</v>
      </c>
      <c r="D323">
        <v>327</v>
      </c>
      <c r="E323" t="s">
        <v>2298</v>
      </c>
      <c r="F323" t="s">
        <v>2299</v>
      </c>
      <c r="G323" t="s">
        <v>2300</v>
      </c>
      <c r="H323" t="s">
        <v>2301</v>
      </c>
      <c r="I323" t="s">
        <v>2302</v>
      </c>
      <c r="J323" t="s">
        <v>28</v>
      </c>
      <c r="K323" t="s">
        <v>2303</v>
      </c>
      <c r="L323" t="s">
        <v>43</v>
      </c>
      <c r="M323" s="2" t="s">
        <v>2304</v>
      </c>
      <c r="N323" t="s">
        <v>45</v>
      </c>
      <c r="O323" t="s">
        <v>7881</v>
      </c>
      <c r="P323" t="s">
        <v>7893</v>
      </c>
      <c r="Q323" t="s">
        <v>46</v>
      </c>
      <c r="R323" t="s">
        <v>33</v>
      </c>
      <c r="S323" t="s">
        <v>34</v>
      </c>
      <c r="T323" s="1">
        <v>552500</v>
      </c>
      <c r="U323">
        <v>0</v>
      </c>
      <c r="V323">
        <v>0</v>
      </c>
      <c r="W323" t="s">
        <v>2305</v>
      </c>
    </row>
    <row r="324" spans="1:23" x14ac:dyDescent="0.25">
      <c r="A324">
        <v>18517</v>
      </c>
      <c r="B324" t="s">
        <v>23</v>
      </c>
      <c r="D324">
        <v>328</v>
      </c>
      <c r="E324" t="s">
        <v>2306</v>
      </c>
      <c r="F324" t="s">
        <v>2307</v>
      </c>
      <c r="G324" t="s">
        <v>2308</v>
      </c>
      <c r="H324" t="s">
        <v>2309</v>
      </c>
      <c r="I324" t="s">
        <v>2310</v>
      </c>
      <c r="J324" t="s">
        <v>28</v>
      </c>
      <c r="K324" t="s">
        <v>2311</v>
      </c>
      <c r="L324" t="s">
        <v>43</v>
      </c>
      <c r="M324" s="2" t="s">
        <v>2312</v>
      </c>
      <c r="N324" t="s">
        <v>45</v>
      </c>
      <c r="O324" t="s">
        <v>7881</v>
      </c>
      <c r="P324" t="s">
        <v>7981</v>
      </c>
      <c r="Q324" t="s">
        <v>63</v>
      </c>
      <c r="R324" t="s">
        <v>33</v>
      </c>
      <c r="S324" t="s">
        <v>34</v>
      </c>
      <c r="T324" s="1">
        <v>552500</v>
      </c>
      <c r="U324">
        <v>0</v>
      </c>
      <c r="V324">
        <v>0</v>
      </c>
      <c r="W324" t="s">
        <v>2313</v>
      </c>
    </row>
    <row r="325" spans="1:23" x14ac:dyDescent="0.25">
      <c r="A325">
        <v>24355</v>
      </c>
      <c r="B325" t="s">
        <v>23</v>
      </c>
      <c r="D325">
        <v>329</v>
      </c>
      <c r="E325" t="s">
        <v>2314</v>
      </c>
      <c r="F325" t="s">
        <v>2315</v>
      </c>
      <c r="G325" t="s">
        <v>2316</v>
      </c>
      <c r="H325" t="s">
        <v>346</v>
      </c>
      <c r="I325" t="s">
        <v>2317</v>
      </c>
      <c r="J325" t="s">
        <v>28</v>
      </c>
      <c r="K325" t="s">
        <v>2318</v>
      </c>
      <c r="L325" t="s">
        <v>43</v>
      </c>
      <c r="M325" s="2" t="s">
        <v>2319</v>
      </c>
      <c r="N325" t="s">
        <v>31</v>
      </c>
      <c r="O325" t="s">
        <v>7879</v>
      </c>
      <c r="P325" t="s">
        <v>7888</v>
      </c>
      <c r="Q325" t="s">
        <v>63</v>
      </c>
      <c r="R325" t="s">
        <v>33</v>
      </c>
      <c r="S325" t="s">
        <v>34</v>
      </c>
      <c r="T325" s="1">
        <v>195000</v>
      </c>
      <c r="U325">
        <v>0</v>
      </c>
      <c r="V325">
        <v>0</v>
      </c>
      <c r="W325" t="s">
        <v>2320</v>
      </c>
    </row>
    <row r="326" spans="1:23" x14ac:dyDescent="0.25">
      <c r="A326">
        <v>368</v>
      </c>
      <c r="B326" t="s">
        <v>23</v>
      </c>
      <c r="D326">
        <v>330</v>
      </c>
      <c r="E326" t="s">
        <v>2321</v>
      </c>
      <c r="F326" t="s">
        <v>2322</v>
      </c>
      <c r="G326" t="s">
        <v>2323</v>
      </c>
      <c r="H326" t="s">
        <v>1219</v>
      </c>
      <c r="I326" t="s">
        <v>2324</v>
      </c>
      <c r="J326" t="s">
        <v>53</v>
      </c>
      <c r="K326" t="s">
        <v>2325</v>
      </c>
      <c r="L326" t="s">
        <v>43</v>
      </c>
      <c r="M326">
        <v>23408034998746</v>
      </c>
      <c r="N326" t="s">
        <v>31</v>
      </c>
      <c r="O326" t="s">
        <v>7886</v>
      </c>
      <c r="P326" t="s">
        <v>7888</v>
      </c>
      <c r="Q326" t="s">
        <v>46</v>
      </c>
      <c r="R326" t="s">
        <v>33</v>
      </c>
      <c r="S326" t="s">
        <v>34</v>
      </c>
      <c r="T326" s="1">
        <v>812500</v>
      </c>
      <c r="U326">
        <v>0</v>
      </c>
      <c r="V326" s="1">
        <v>162500</v>
      </c>
      <c r="W326" t="s">
        <v>2326</v>
      </c>
    </row>
    <row r="327" spans="1:23" x14ac:dyDescent="0.25">
      <c r="A327">
        <v>3097</v>
      </c>
      <c r="B327" t="s">
        <v>23</v>
      </c>
      <c r="D327">
        <v>331</v>
      </c>
      <c r="E327" t="s">
        <v>2327</v>
      </c>
      <c r="F327" t="s">
        <v>2328</v>
      </c>
      <c r="G327" t="s">
        <v>2329</v>
      </c>
      <c r="H327" t="s">
        <v>2330</v>
      </c>
      <c r="I327" t="s">
        <v>7911</v>
      </c>
      <c r="J327" t="s">
        <v>53</v>
      </c>
      <c r="K327" t="s">
        <v>2331</v>
      </c>
      <c r="L327" t="s">
        <v>43</v>
      </c>
      <c r="M327" s="2" t="s">
        <v>2332</v>
      </c>
      <c r="N327" t="s">
        <v>2333</v>
      </c>
      <c r="O327" t="s">
        <v>7886</v>
      </c>
      <c r="P327" t="s">
        <v>7894</v>
      </c>
      <c r="Q327" t="s">
        <v>63</v>
      </c>
      <c r="R327" t="s">
        <v>33</v>
      </c>
      <c r="S327" t="s">
        <v>34</v>
      </c>
      <c r="T327" s="1">
        <v>812500</v>
      </c>
      <c r="U327">
        <v>0</v>
      </c>
      <c r="V327" s="1">
        <v>162500</v>
      </c>
      <c r="W327" t="s">
        <v>2334</v>
      </c>
    </row>
    <row r="328" spans="1:23" x14ac:dyDescent="0.25">
      <c r="A328">
        <v>24370</v>
      </c>
      <c r="B328" t="s">
        <v>23</v>
      </c>
      <c r="D328">
        <v>332</v>
      </c>
      <c r="E328" t="s">
        <v>2335</v>
      </c>
      <c r="F328" t="s">
        <v>2336</v>
      </c>
      <c r="G328" t="s">
        <v>2337</v>
      </c>
      <c r="H328" t="s">
        <v>2338</v>
      </c>
      <c r="I328" t="s">
        <v>2339</v>
      </c>
      <c r="J328" t="s">
        <v>28</v>
      </c>
      <c r="K328" t="s">
        <v>2340</v>
      </c>
      <c r="L328" t="s">
        <v>43</v>
      </c>
      <c r="M328" s="2" t="s">
        <v>2341</v>
      </c>
      <c r="N328" t="s">
        <v>31</v>
      </c>
      <c r="O328" t="s">
        <v>7879</v>
      </c>
      <c r="P328" t="s">
        <v>7893</v>
      </c>
      <c r="Q328" t="s">
        <v>46</v>
      </c>
      <c r="R328" t="s">
        <v>33</v>
      </c>
      <c r="S328" t="s">
        <v>34</v>
      </c>
      <c r="T328" s="1">
        <v>195000</v>
      </c>
      <c r="U328">
        <v>0</v>
      </c>
      <c r="V328">
        <v>0</v>
      </c>
      <c r="W328" t="s">
        <v>2342</v>
      </c>
    </row>
    <row r="329" spans="1:23" x14ac:dyDescent="0.25">
      <c r="A329">
        <v>19427</v>
      </c>
      <c r="B329" t="s">
        <v>23</v>
      </c>
      <c r="D329">
        <v>333</v>
      </c>
      <c r="E329" t="s">
        <v>2343</v>
      </c>
      <c r="F329" t="s">
        <v>2344</v>
      </c>
      <c r="G329" t="s">
        <v>2345</v>
      </c>
      <c r="H329" t="s">
        <v>2346</v>
      </c>
      <c r="I329" t="s">
        <v>2347</v>
      </c>
      <c r="J329" t="s">
        <v>28</v>
      </c>
      <c r="K329" t="s">
        <v>393</v>
      </c>
      <c r="L329" t="s">
        <v>43</v>
      </c>
      <c r="M329" s="2" t="s">
        <v>2348</v>
      </c>
      <c r="N329" t="s">
        <v>31</v>
      </c>
      <c r="O329" t="s">
        <v>7881</v>
      </c>
      <c r="P329" t="s">
        <v>7888</v>
      </c>
      <c r="Q329" t="s">
        <v>63</v>
      </c>
      <c r="R329" t="s">
        <v>33</v>
      </c>
      <c r="S329" t="s">
        <v>34</v>
      </c>
      <c r="T329" s="1">
        <v>552500</v>
      </c>
      <c r="U329" s="1">
        <v>110500</v>
      </c>
      <c r="V329">
        <v>0</v>
      </c>
      <c r="W329" t="s">
        <v>2349</v>
      </c>
    </row>
    <row r="330" spans="1:23" x14ac:dyDescent="0.25">
      <c r="A330">
        <v>2933</v>
      </c>
      <c r="B330" t="s">
        <v>23</v>
      </c>
      <c r="D330">
        <v>334</v>
      </c>
      <c r="E330" t="s">
        <v>2350</v>
      </c>
      <c r="F330" t="s">
        <v>426</v>
      </c>
      <c r="G330" t="s">
        <v>2351</v>
      </c>
      <c r="H330" t="s">
        <v>507</v>
      </c>
      <c r="I330" t="s">
        <v>2352</v>
      </c>
      <c r="J330" t="s">
        <v>28</v>
      </c>
      <c r="K330" t="s">
        <v>2353</v>
      </c>
      <c r="L330" t="s">
        <v>43</v>
      </c>
      <c r="M330" s="2" t="s">
        <v>2354</v>
      </c>
      <c r="N330" t="s">
        <v>31</v>
      </c>
      <c r="O330" t="s">
        <v>7879</v>
      </c>
      <c r="P330" t="s">
        <v>7981</v>
      </c>
      <c r="Q330" t="s">
        <v>63</v>
      </c>
      <c r="R330" t="s">
        <v>33</v>
      </c>
      <c r="S330" t="s">
        <v>34</v>
      </c>
      <c r="T330" s="1">
        <v>195000</v>
      </c>
      <c r="U330">
        <v>0</v>
      </c>
      <c r="V330">
        <v>0</v>
      </c>
      <c r="W330" t="s">
        <v>2355</v>
      </c>
    </row>
    <row r="331" spans="1:23" x14ac:dyDescent="0.25">
      <c r="A331">
        <v>24211</v>
      </c>
      <c r="B331" t="s">
        <v>23</v>
      </c>
      <c r="D331">
        <v>335</v>
      </c>
      <c r="E331" t="s">
        <v>2356</v>
      </c>
      <c r="F331" t="s">
        <v>2357</v>
      </c>
      <c r="G331" t="s">
        <v>2358</v>
      </c>
      <c r="H331" t="s">
        <v>2359</v>
      </c>
      <c r="I331" t="s">
        <v>2360</v>
      </c>
      <c r="J331" t="s">
        <v>28</v>
      </c>
      <c r="K331" t="s">
        <v>2361</v>
      </c>
      <c r="L331" t="s">
        <v>43</v>
      </c>
      <c r="M331" s="2" t="s">
        <v>2362</v>
      </c>
      <c r="N331" t="s">
        <v>31</v>
      </c>
      <c r="O331" t="s">
        <v>7879</v>
      </c>
      <c r="P331" t="s">
        <v>7893</v>
      </c>
      <c r="Q331" t="s">
        <v>63</v>
      </c>
      <c r="R331" t="s">
        <v>33</v>
      </c>
      <c r="S331" t="s">
        <v>34</v>
      </c>
      <c r="T331" s="1">
        <v>195000</v>
      </c>
      <c r="U331">
        <v>0</v>
      </c>
      <c r="V331">
        <v>0</v>
      </c>
      <c r="W331" t="s">
        <v>2363</v>
      </c>
    </row>
    <row r="332" spans="1:23" x14ac:dyDescent="0.25">
      <c r="A332">
        <v>23948</v>
      </c>
      <c r="B332" t="s">
        <v>23</v>
      </c>
      <c r="D332">
        <v>336</v>
      </c>
      <c r="E332" t="s">
        <v>2364</v>
      </c>
      <c r="F332" t="s">
        <v>2365</v>
      </c>
      <c r="G332" t="s">
        <v>2346</v>
      </c>
      <c r="H332" t="s">
        <v>2366</v>
      </c>
      <c r="I332" t="s">
        <v>2367</v>
      </c>
      <c r="J332" t="s">
        <v>28</v>
      </c>
      <c r="K332" t="s">
        <v>2368</v>
      </c>
      <c r="L332" t="s">
        <v>43</v>
      </c>
      <c r="M332" s="2" t="s">
        <v>2369</v>
      </c>
      <c r="N332" t="s">
        <v>31</v>
      </c>
      <c r="O332" t="s">
        <v>7879</v>
      </c>
      <c r="P332" t="s">
        <v>7940</v>
      </c>
      <c r="Q332" t="s">
        <v>87</v>
      </c>
      <c r="R332" t="s">
        <v>33</v>
      </c>
      <c r="S332" t="s">
        <v>34</v>
      </c>
      <c r="T332" s="1">
        <v>195000</v>
      </c>
      <c r="U332">
        <v>0</v>
      </c>
      <c r="V332">
        <v>0</v>
      </c>
      <c r="W332" t="s">
        <v>2370</v>
      </c>
    </row>
    <row r="333" spans="1:23" x14ac:dyDescent="0.25">
      <c r="A333">
        <v>6630</v>
      </c>
      <c r="B333" t="s">
        <v>23</v>
      </c>
      <c r="D333">
        <v>337</v>
      </c>
      <c r="E333" t="s">
        <v>2371</v>
      </c>
      <c r="F333" t="s">
        <v>2372</v>
      </c>
      <c r="G333" t="s">
        <v>2373</v>
      </c>
      <c r="H333" t="s">
        <v>672</v>
      </c>
      <c r="I333" t="s">
        <v>2374</v>
      </c>
      <c r="J333" t="s">
        <v>53</v>
      </c>
      <c r="K333" t="s">
        <v>2375</v>
      </c>
      <c r="L333" t="s">
        <v>43</v>
      </c>
      <c r="M333" s="2" t="s">
        <v>2376</v>
      </c>
      <c r="N333" t="s">
        <v>45</v>
      </c>
      <c r="O333" t="s">
        <v>7881</v>
      </c>
      <c r="P333" t="s">
        <v>7893</v>
      </c>
      <c r="Q333" t="s">
        <v>46</v>
      </c>
      <c r="R333" t="s">
        <v>33</v>
      </c>
      <c r="S333" t="s">
        <v>34</v>
      </c>
      <c r="T333" s="1">
        <v>552500</v>
      </c>
      <c r="U333">
        <v>0</v>
      </c>
      <c r="V333">
        <v>0</v>
      </c>
      <c r="W333" t="s">
        <v>2377</v>
      </c>
    </row>
    <row r="334" spans="1:23" x14ac:dyDescent="0.25">
      <c r="A334">
        <v>21307</v>
      </c>
      <c r="B334" t="s">
        <v>23</v>
      </c>
      <c r="D334">
        <v>338</v>
      </c>
      <c r="E334" t="s">
        <v>2378</v>
      </c>
      <c r="F334" t="s">
        <v>2379</v>
      </c>
      <c r="G334" t="s">
        <v>1421</v>
      </c>
      <c r="H334" t="s">
        <v>196</v>
      </c>
      <c r="I334" t="s">
        <v>2380</v>
      </c>
      <c r="J334" t="s">
        <v>28</v>
      </c>
      <c r="K334" t="s">
        <v>2381</v>
      </c>
      <c r="L334" t="s">
        <v>43</v>
      </c>
      <c r="M334" s="2" t="s">
        <v>2382</v>
      </c>
      <c r="N334" t="s">
        <v>45</v>
      </c>
      <c r="O334" t="s">
        <v>7879</v>
      </c>
      <c r="P334" t="s">
        <v>7893</v>
      </c>
      <c r="Q334" t="s">
        <v>46</v>
      </c>
      <c r="R334" t="s">
        <v>33</v>
      </c>
      <c r="S334" t="s">
        <v>34</v>
      </c>
      <c r="T334" s="1">
        <v>195000</v>
      </c>
      <c r="U334">
        <v>0</v>
      </c>
      <c r="V334">
        <v>0</v>
      </c>
      <c r="W334" t="s">
        <v>2383</v>
      </c>
    </row>
    <row r="335" spans="1:23" x14ac:dyDescent="0.25">
      <c r="A335">
        <v>24040</v>
      </c>
      <c r="B335" t="s">
        <v>23</v>
      </c>
      <c r="D335">
        <v>339</v>
      </c>
      <c r="E335" t="s">
        <v>2384</v>
      </c>
      <c r="F335" t="s">
        <v>2385</v>
      </c>
      <c r="G335" t="s">
        <v>1769</v>
      </c>
      <c r="H335" t="s">
        <v>2217</v>
      </c>
      <c r="I335" t="s">
        <v>2386</v>
      </c>
      <c r="J335" t="s">
        <v>28</v>
      </c>
      <c r="K335" t="s">
        <v>2387</v>
      </c>
      <c r="L335" t="s">
        <v>43</v>
      </c>
      <c r="M335" s="2" t="s">
        <v>2388</v>
      </c>
      <c r="N335" t="s">
        <v>31</v>
      </c>
      <c r="O335" t="s">
        <v>7879</v>
      </c>
      <c r="P335" t="s">
        <v>7893</v>
      </c>
      <c r="Q335" t="s">
        <v>87</v>
      </c>
      <c r="R335" t="s">
        <v>33</v>
      </c>
      <c r="S335" t="s">
        <v>34</v>
      </c>
      <c r="T335" s="1">
        <v>195000</v>
      </c>
      <c r="U335">
        <v>0</v>
      </c>
      <c r="V335">
        <v>0</v>
      </c>
      <c r="W335" t="s">
        <v>2389</v>
      </c>
    </row>
    <row r="336" spans="1:23" x14ac:dyDescent="0.25">
      <c r="A336">
        <v>24331</v>
      </c>
      <c r="B336" t="s">
        <v>23</v>
      </c>
      <c r="D336">
        <v>340</v>
      </c>
      <c r="E336" t="s">
        <v>2390</v>
      </c>
      <c r="F336" t="s">
        <v>2391</v>
      </c>
      <c r="G336" t="s">
        <v>2392</v>
      </c>
      <c r="H336" t="s">
        <v>2393</v>
      </c>
      <c r="I336" t="s">
        <v>2394</v>
      </c>
      <c r="J336" t="s">
        <v>53</v>
      </c>
      <c r="K336" t="s">
        <v>2395</v>
      </c>
      <c r="L336" t="s">
        <v>43</v>
      </c>
      <c r="M336" s="2" t="s">
        <v>2396</v>
      </c>
      <c r="N336" t="s">
        <v>31</v>
      </c>
      <c r="O336" t="s">
        <v>7879</v>
      </c>
      <c r="P336" t="s">
        <v>7893</v>
      </c>
      <c r="Q336" t="s">
        <v>63</v>
      </c>
      <c r="R336" t="s">
        <v>33</v>
      </c>
      <c r="S336" t="s">
        <v>34</v>
      </c>
      <c r="T336" s="1">
        <v>195000</v>
      </c>
      <c r="U336">
        <v>0</v>
      </c>
      <c r="V336">
        <v>0</v>
      </c>
      <c r="W336" t="s">
        <v>2397</v>
      </c>
    </row>
    <row r="337" spans="1:23" x14ac:dyDescent="0.25">
      <c r="A337">
        <v>24232</v>
      </c>
      <c r="B337" t="s">
        <v>23</v>
      </c>
      <c r="D337">
        <v>341</v>
      </c>
      <c r="E337" t="s">
        <v>2398</v>
      </c>
      <c r="F337" t="s">
        <v>1353</v>
      </c>
      <c r="G337" t="s">
        <v>784</v>
      </c>
      <c r="H337" t="s">
        <v>2399</v>
      </c>
      <c r="I337" t="s">
        <v>2400</v>
      </c>
      <c r="J337" t="s">
        <v>28</v>
      </c>
      <c r="K337" t="s">
        <v>2401</v>
      </c>
      <c r="L337" t="s">
        <v>43</v>
      </c>
      <c r="M337" s="2" t="s">
        <v>2402</v>
      </c>
      <c r="N337" t="s">
        <v>31</v>
      </c>
      <c r="O337" t="s">
        <v>7879</v>
      </c>
      <c r="P337" t="s">
        <v>7940</v>
      </c>
      <c r="Q337" t="s">
        <v>87</v>
      </c>
      <c r="R337" t="s">
        <v>33</v>
      </c>
      <c r="S337" t="s">
        <v>34</v>
      </c>
      <c r="T337" s="1">
        <v>195000</v>
      </c>
      <c r="U337">
        <v>0</v>
      </c>
      <c r="V337">
        <v>0</v>
      </c>
      <c r="W337" t="s">
        <v>2403</v>
      </c>
    </row>
    <row r="338" spans="1:23" x14ac:dyDescent="0.25">
      <c r="A338">
        <v>18684</v>
      </c>
      <c r="B338" t="s">
        <v>23</v>
      </c>
      <c r="D338">
        <v>342</v>
      </c>
      <c r="E338" t="s">
        <v>2404</v>
      </c>
      <c r="F338" t="s">
        <v>2405</v>
      </c>
      <c r="G338" t="s">
        <v>2406</v>
      </c>
      <c r="H338" t="s">
        <v>2407</v>
      </c>
      <c r="I338" t="s">
        <v>2408</v>
      </c>
      <c r="J338" t="s">
        <v>28</v>
      </c>
      <c r="K338" t="s">
        <v>2409</v>
      </c>
      <c r="L338" t="s">
        <v>43</v>
      </c>
      <c r="M338" s="2" t="s">
        <v>2410</v>
      </c>
      <c r="N338" t="s">
        <v>31</v>
      </c>
      <c r="O338" t="s">
        <v>7881</v>
      </c>
      <c r="P338" t="s">
        <v>7981</v>
      </c>
      <c r="Q338" t="s">
        <v>46</v>
      </c>
      <c r="R338" t="s">
        <v>33</v>
      </c>
      <c r="S338" t="s">
        <v>34</v>
      </c>
      <c r="T338" s="1">
        <v>552500</v>
      </c>
      <c r="U338">
        <v>0</v>
      </c>
      <c r="V338">
        <v>0</v>
      </c>
      <c r="W338" t="s">
        <v>2411</v>
      </c>
    </row>
    <row r="339" spans="1:23" x14ac:dyDescent="0.25">
      <c r="A339">
        <v>23968</v>
      </c>
      <c r="B339" t="s">
        <v>23</v>
      </c>
      <c r="D339">
        <v>343</v>
      </c>
      <c r="E339" t="s">
        <v>2412</v>
      </c>
      <c r="F339" t="s">
        <v>1319</v>
      </c>
      <c r="G339" t="s">
        <v>384</v>
      </c>
      <c r="H339" t="s">
        <v>2413</v>
      </c>
      <c r="I339" t="s">
        <v>2414</v>
      </c>
      <c r="J339" t="s">
        <v>53</v>
      </c>
      <c r="K339" t="s">
        <v>2415</v>
      </c>
      <c r="L339" t="s">
        <v>43</v>
      </c>
      <c r="M339" s="2" t="s">
        <v>2416</v>
      </c>
      <c r="N339" t="s">
        <v>31</v>
      </c>
      <c r="O339" t="s">
        <v>7879</v>
      </c>
      <c r="P339" t="s">
        <v>7893</v>
      </c>
      <c r="Q339" t="s">
        <v>46</v>
      </c>
      <c r="R339" t="s">
        <v>33</v>
      </c>
      <c r="S339" t="s">
        <v>34</v>
      </c>
      <c r="T339" s="1">
        <v>195000</v>
      </c>
      <c r="U339">
        <v>0</v>
      </c>
      <c r="V339">
        <v>0</v>
      </c>
      <c r="W339" t="s">
        <v>2417</v>
      </c>
    </row>
    <row r="340" spans="1:23" x14ac:dyDescent="0.25">
      <c r="A340">
        <v>24330</v>
      </c>
      <c r="B340" t="s">
        <v>23</v>
      </c>
      <c r="D340">
        <v>344</v>
      </c>
      <c r="E340" t="s">
        <v>2418</v>
      </c>
      <c r="F340" t="s">
        <v>2419</v>
      </c>
      <c r="G340" t="s">
        <v>2420</v>
      </c>
      <c r="H340" t="s">
        <v>1257</v>
      </c>
      <c r="I340" t="s">
        <v>2421</v>
      </c>
      <c r="J340" t="s">
        <v>28</v>
      </c>
      <c r="K340" t="s">
        <v>923</v>
      </c>
      <c r="L340" t="s">
        <v>43</v>
      </c>
      <c r="M340" s="2" t="s">
        <v>2422</v>
      </c>
      <c r="N340" t="s">
        <v>31</v>
      </c>
      <c r="O340" t="s">
        <v>7879</v>
      </c>
      <c r="P340" t="s">
        <v>7893</v>
      </c>
      <c r="Q340" t="s">
        <v>46</v>
      </c>
      <c r="R340" t="s">
        <v>33</v>
      </c>
      <c r="S340" t="s">
        <v>34</v>
      </c>
      <c r="T340" s="1">
        <v>195000</v>
      </c>
      <c r="U340">
        <v>0</v>
      </c>
      <c r="V340">
        <v>0</v>
      </c>
      <c r="W340" t="s">
        <v>2423</v>
      </c>
    </row>
    <row r="341" spans="1:23" x14ac:dyDescent="0.25">
      <c r="A341">
        <v>24280</v>
      </c>
      <c r="B341" t="s">
        <v>23</v>
      </c>
      <c r="D341">
        <v>345</v>
      </c>
      <c r="E341" t="s">
        <v>2424</v>
      </c>
      <c r="F341" t="s">
        <v>2425</v>
      </c>
      <c r="G341" t="s">
        <v>2426</v>
      </c>
      <c r="H341" t="s">
        <v>2427</v>
      </c>
      <c r="I341" t="s">
        <v>2428</v>
      </c>
      <c r="J341" t="s">
        <v>53</v>
      </c>
      <c r="K341" t="s">
        <v>2429</v>
      </c>
      <c r="L341" t="s">
        <v>43</v>
      </c>
      <c r="M341" s="2" t="s">
        <v>2430</v>
      </c>
      <c r="N341" t="s">
        <v>31</v>
      </c>
      <c r="O341" t="s">
        <v>7879</v>
      </c>
      <c r="P341" t="s">
        <v>7940</v>
      </c>
      <c r="Q341" t="s">
        <v>87</v>
      </c>
      <c r="R341" t="s">
        <v>33</v>
      </c>
      <c r="S341" t="s">
        <v>34</v>
      </c>
      <c r="T341" s="1">
        <v>195000</v>
      </c>
      <c r="U341">
        <v>0</v>
      </c>
      <c r="V341">
        <v>0</v>
      </c>
      <c r="W341" t="s">
        <v>2431</v>
      </c>
    </row>
    <row r="342" spans="1:23" x14ac:dyDescent="0.25">
      <c r="A342">
        <v>12218</v>
      </c>
      <c r="B342" t="s">
        <v>23</v>
      </c>
      <c r="D342">
        <v>346</v>
      </c>
      <c r="E342" t="s">
        <v>2432</v>
      </c>
      <c r="F342" t="s">
        <v>2433</v>
      </c>
      <c r="G342" t="s">
        <v>679</v>
      </c>
      <c r="H342" t="s">
        <v>2434</v>
      </c>
      <c r="I342" t="s">
        <v>2435</v>
      </c>
      <c r="J342" t="s">
        <v>53</v>
      </c>
      <c r="K342" t="s">
        <v>2436</v>
      </c>
      <c r="L342">
        <v>0</v>
      </c>
      <c r="M342" s="2" t="s">
        <v>2437</v>
      </c>
      <c r="N342" t="s">
        <v>31</v>
      </c>
      <c r="O342" t="s">
        <v>7886</v>
      </c>
      <c r="P342" t="s">
        <v>7888</v>
      </c>
      <c r="Q342" t="s">
        <v>63</v>
      </c>
      <c r="R342" t="s">
        <v>33</v>
      </c>
      <c r="S342" t="s">
        <v>34</v>
      </c>
      <c r="T342" s="1">
        <v>812500</v>
      </c>
      <c r="U342">
        <v>0</v>
      </c>
      <c r="V342" s="1">
        <v>162500</v>
      </c>
      <c r="W342" t="s">
        <v>2438</v>
      </c>
    </row>
    <row r="343" spans="1:23" x14ac:dyDescent="0.25">
      <c r="A343">
        <v>4098</v>
      </c>
      <c r="B343" t="s">
        <v>23</v>
      </c>
      <c r="D343">
        <v>347</v>
      </c>
      <c r="E343" t="s">
        <v>2439</v>
      </c>
      <c r="F343" t="s">
        <v>2440</v>
      </c>
      <c r="G343" t="s">
        <v>2441</v>
      </c>
      <c r="H343" t="s">
        <v>2442</v>
      </c>
      <c r="I343" t="s">
        <v>7912</v>
      </c>
      <c r="J343" t="s">
        <v>28</v>
      </c>
      <c r="K343" t="s">
        <v>2443</v>
      </c>
      <c r="L343" t="s">
        <v>43</v>
      </c>
      <c r="M343">
        <v>8037330054</v>
      </c>
      <c r="N343" t="s">
        <v>31</v>
      </c>
      <c r="O343" t="s">
        <v>7886</v>
      </c>
      <c r="P343" t="s">
        <v>7894</v>
      </c>
      <c r="Q343" t="s">
        <v>46</v>
      </c>
      <c r="R343" t="s">
        <v>33</v>
      </c>
      <c r="S343" t="s">
        <v>34</v>
      </c>
      <c r="T343" s="1">
        <v>812500</v>
      </c>
      <c r="U343">
        <v>0</v>
      </c>
      <c r="V343" s="1">
        <v>162500</v>
      </c>
      <c r="W343" t="s">
        <v>2444</v>
      </c>
    </row>
    <row r="344" spans="1:23" x14ac:dyDescent="0.25">
      <c r="A344">
        <v>24133</v>
      </c>
      <c r="B344" t="s">
        <v>23</v>
      </c>
      <c r="D344">
        <v>348</v>
      </c>
      <c r="E344" t="s">
        <v>2445</v>
      </c>
      <c r="F344" t="s">
        <v>2446</v>
      </c>
      <c r="G344" t="s">
        <v>91</v>
      </c>
      <c r="H344" t="s">
        <v>2447</v>
      </c>
      <c r="I344">
        <v>2347032821160</v>
      </c>
      <c r="J344" t="s">
        <v>28</v>
      </c>
      <c r="K344" t="s">
        <v>2448</v>
      </c>
      <c r="L344" t="s">
        <v>43</v>
      </c>
      <c r="M344">
        <v>2347032821160</v>
      </c>
      <c r="N344" t="s">
        <v>31</v>
      </c>
      <c r="O344" t="s">
        <v>7879</v>
      </c>
      <c r="P344" t="s">
        <v>7893</v>
      </c>
      <c r="Q344" t="s">
        <v>46</v>
      </c>
      <c r="R344" t="s">
        <v>33</v>
      </c>
      <c r="S344" t="s">
        <v>34</v>
      </c>
      <c r="T344" s="1">
        <v>195000</v>
      </c>
      <c r="U344">
        <v>0</v>
      </c>
      <c r="V344">
        <v>0</v>
      </c>
      <c r="W344" t="s">
        <v>2449</v>
      </c>
    </row>
    <row r="345" spans="1:23" x14ac:dyDescent="0.25">
      <c r="A345">
        <v>23362</v>
      </c>
      <c r="B345" t="s">
        <v>23</v>
      </c>
      <c r="D345">
        <v>349</v>
      </c>
      <c r="E345" t="s">
        <v>2450</v>
      </c>
      <c r="F345" t="s">
        <v>2451</v>
      </c>
      <c r="G345" t="s">
        <v>2452</v>
      </c>
      <c r="H345" t="s">
        <v>2453</v>
      </c>
      <c r="I345" t="s">
        <v>2454</v>
      </c>
      <c r="J345" t="s">
        <v>28</v>
      </c>
      <c r="K345" t="s">
        <v>2455</v>
      </c>
      <c r="L345" t="s">
        <v>43</v>
      </c>
      <c r="M345" s="2" t="s">
        <v>2456</v>
      </c>
      <c r="N345" t="s">
        <v>45</v>
      </c>
      <c r="O345" t="s">
        <v>7879</v>
      </c>
      <c r="P345" t="s">
        <v>7981</v>
      </c>
      <c r="Q345" t="s">
        <v>87</v>
      </c>
      <c r="R345" t="s">
        <v>33</v>
      </c>
      <c r="S345" t="s">
        <v>34</v>
      </c>
      <c r="T345" s="1">
        <v>195000</v>
      </c>
      <c r="U345">
        <v>0</v>
      </c>
      <c r="V345">
        <v>0</v>
      </c>
      <c r="W345" t="s">
        <v>2457</v>
      </c>
    </row>
    <row r="346" spans="1:23" x14ac:dyDescent="0.25">
      <c r="A346">
        <v>24243</v>
      </c>
      <c r="B346" t="s">
        <v>23</v>
      </c>
      <c r="D346">
        <v>350</v>
      </c>
      <c r="E346" t="s">
        <v>2458</v>
      </c>
      <c r="F346" t="s">
        <v>2459</v>
      </c>
      <c r="G346" t="s">
        <v>2460</v>
      </c>
      <c r="H346" t="s">
        <v>2461</v>
      </c>
      <c r="I346" t="s">
        <v>2462</v>
      </c>
      <c r="J346" t="s">
        <v>53</v>
      </c>
      <c r="K346" t="s">
        <v>2463</v>
      </c>
      <c r="L346" t="s">
        <v>43</v>
      </c>
      <c r="M346" s="2" t="s">
        <v>2464</v>
      </c>
      <c r="N346" t="s">
        <v>31</v>
      </c>
      <c r="O346" t="s">
        <v>7879</v>
      </c>
      <c r="P346" t="s">
        <v>7940</v>
      </c>
      <c r="Q346" t="s">
        <v>63</v>
      </c>
      <c r="R346" t="s">
        <v>33</v>
      </c>
      <c r="S346" t="s">
        <v>34</v>
      </c>
      <c r="T346" s="1">
        <v>195000</v>
      </c>
      <c r="U346">
        <v>0</v>
      </c>
      <c r="V346">
        <v>0</v>
      </c>
      <c r="W346" t="s">
        <v>2465</v>
      </c>
    </row>
    <row r="347" spans="1:23" x14ac:dyDescent="0.25">
      <c r="A347">
        <v>19615</v>
      </c>
      <c r="B347" t="s">
        <v>23</v>
      </c>
      <c r="D347">
        <v>351</v>
      </c>
      <c r="E347" t="s">
        <v>2466</v>
      </c>
      <c r="F347" t="s">
        <v>2467</v>
      </c>
      <c r="G347" t="s">
        <v>847</v>
      </c>
      <c r="H347" t="s">
        <v>2468</v>
      </c>
      <c r="I347" t="s">
        <v>2469</v>
      </c>
      <c r="J347" t="s">
        <v>28</v>
      </c>
      <c r="K347" t="s">
        <v>2470</v>
      </c>
      <c r="L347" t="s">
        <v>43</v>
      </c>
      <c r="M347">
        <v>2348065007630</v>
      </c>
      <c r="N347" t="s">
        <v>31</v>
      </c>
      <c r="O347" t="s">
        <v>7881</v>
      </c>
      <c r="P347" t="s">
        <v>7888</v>
      </c>
      <c r="Q347" t="s">
        <v>63</v>
      </c>
      <c r="R347" t="s">
        <v>33</v>
      </c>
      <c r="S347" t="s">
        <v>34</v>
      </c>
      <c r="T347" s="1">
        <v>552500</v>
      </c>
      <c r="U347" s="1">
        <v>110500</v>
      </c>
      <c r="V347">
        <v>0</v>
      </c>
      <c r="W347" t="s">
        <v>2471</v>
      </c>
    </row>
    <row r="348" spans="1:23" x14ac:dyDescent="0.25">
      <c r="A348">
        <v>24209</v>
      </c>
      <c r="B348" t="s">
        <v>23</v>
      </c>
      <c r="D348">
        <v>352</v>
      </c>
      <c r="E348" t="s">
        <v>2472</v>
      </c>
      <c r="F348" t="s">
        <v>2473</v>
      </c>
      <c r="G348" t="s">
        <v>2474</v>
      </c>
      <c r="I348" t="s">
        <v>2475</v>
      </c>
      <c r="J348" t="s">
        <v>53</v>
      </c>
      <c r="K348" t="s">
        <v>2476</v>
      </c>
      <c r="L348" t="s">
        <v>43</v>
      </c>
      <c r="M348">
        <v>2349033355870</v>
      </c>
      <c r="N348" t="s">
        <v>31</v>
      </c>
      <c r="O348" t="s">
        <v>7879</v>
      </c>
      <c r="P348" t="s">
        <v>7940</v>
      </c>
      <c r="Q348" t="s">
        <v>46</v>
      </c>
      <c r="R348" t="s">
        <v>33</v>
      </c>
      <c r="S348" t="s">
        <v>34</v>
      </c>
      <c r="T348" s="1">
        <v>195000</v>
      </c>
      <c r="U348">
        <v>0</v>
      </c>
      <c r="V348">
        <v>0</v>
      </c>
      <c r="W348" t="s">
        <v>2477</v>
      </c>
    </row>
    <row r="349" spans="1:23" x14ac:dyDescent="0.25">
      <c r="A349">
        <v>24381</v>
      </c>
      <c r="B349" t="s">
        <v>23</v>
      </c>
      <c r="D349">
        <v>353</v>
      </c>
      <c r="E349" t="s">
        <v>2478</v>
      </c>
      <c r="F349" t="s">
        <v>2479</v>
      </c>
      <c r="G349" t="s">
        <v>2480</v>
      </c>
      <c r="H349" t="s">
        <v>2481</v>
      </c>
      <c r="I349" t="s">
        <v>2482</v>
      </c>
      <c r="J349" t="s">
        <v>28</v>
      </c>
      <c r="K349" t="s">
        <v>2483</v>
      </c>
      <c r="L349" t="s">
        <v>43</v>
      </c>
      <c r="M349">
        <v>2348133817280</v>
      </c>
      <c r="N349" t="s">
        <v>31</v>
      </c>
      <c r="O349" t="s">
        <v>7879</v>
      </c>
      <c r="P349" t="s">
        <v>8028</v>
      </c>
      <c r="Q349" t="s">
        <v>46</v>
      </c>
      <c r="R349" t="s">
        <v>33</v>
      </c>
      <c r="S349" t="s">
        <v>34</v>
      </c>
      <c r="T349" s="1">
        <v>195000</v>
      </c>
      <c r="U349">
        <v>0</v>
      </c>
      <c r="V349">
        <v>0</v>
      </c>
      <c r="W349" t="s">
        <v>2484</v>
      </c>
    </row>
    <row r="350" spans="1:23" x14ac:dyDescent="0.25">
      <c r="A350">
        <v>9398</v>
      </c>
      <c r="B350" t="s">
        <v>23</v>
      </c>
      <c r="D350">
        <v>354</v>
      </c>
      <c r="E350" t="s">
        <v>2485</v>
      </c>
      <c r="F350" t="s">
        <v>2486</v>
      </c>
      <c r="G350" t="s">
        <v>2487</v>
      </c>
      <c r="H350" t="s">
        <v>2488</v>
      </c>
      <c r="I350" t="s">
        <v>2489</v>
      </c>
      <c r="J350" t="s">
        <v>28</v>
      </c>
      <c r="K350" t="s">
        <v>2490</v>
      </c>
      <c r="L350" t="s">
        <v>43</v>
      </c>
      <c r="M350">
        <v>8160515771</v>
      </c>
      <c r="N350" t="s">
        <v>45</v>
      </c>
      <c r="O350" t="s">
        <v>7881</v>
      </c>
      <c r="P350" t="s">
        <v>7981</v>
      </c>
      <c r="Q350" t="s">
        <v>46</v>
      </c>
      <c r="R350" t="s">
        <v>33</v>
      </c>
      <c r="S350" t="s">
        <v>34</v>
      </c>
      <c r="T350" s="1">
        <v>552500</v>
      </c>
      <c r="U350">
        <v>0</v>
      </c>
      <c r="V350">
        <v>0</v>
      </c>
      <c r="W350" t="s">
        <v>2491</v>
      </c>
    </row>
    <row r="351" spans="1:23" x14ac:dyDescent="0.25">
      <c r="A351">
        <v>20584</v>
      </c>
      <c r="B351" t="s">
        <v>23</v>
      </c>
      <c r="D351">
        <v>355</v>
      </c>
      <c r="E351" t="s">
        <v>2492</v>
      </c>
      <c r="F351" t="s">
        <v>74</v>
      </c>
      <c r="G351" t="s">
        <v>2493</v>
      </c>
      <c r="H351" t="s">
        <v>2494</v>
      </c>
      <c r="I351" t="s">
        <v>2495</v>
      </c>
      <c r="J351" t="s">
        <v>28</v>
      </c>
      <c r="K351" t="s">
        <v>2496</v>
      </c>
      <c r="L351" t="s">
        <v>43</v>
      </c>
      <c r="M351" s="2" t="s">
        <v>2497</v>
      </c>
      <c r="N351" t="s">
        <v>31</v>
      </c>
      <c r="O351" t="s">
        <v>7886</v>
      </c>
      <c r="P351" t="s">
        <v>7981</v>
      </c>
      <c r="Q351" t="s">
        <v>46</v>
      </c>
      <c r="R351" t="s">
        <v>33</v>
      </c>
      <c r="S351" t="s">
        <v>34</v>
      </c>
      <c r="T351" s="1">
        <v>812500</v>
      </c>
      <c r="U351">
        <v>0</v>
      </c>
      <c r="V351" s="1">
        <v>162500</v>
      </c>
      <c r="W351" t="s">
        <v>2498</v>
      </c>
    </row>
    <row r="352" spans="1:23" x14ac:dyDescent="0.25">
      <c r="A352">
        <v>21620</v>
      </c>
      <c r="B352" t="s">
        <v>23</v>
      </c>
      <c r="D352">
        <v>356</v>
      </c>
      <c r="E352" t="s">
        <v>2499</v>
      </c>
      <c r="F352" t="s">
        <v>2500</v>
      </c>
      <c r="G352" t="s">
        <v>2501</v>
      </c>
      <c r="H352" t="s">
        <v>2502</v>
      </c>
      <c r="I352" t="s">
        <v>2503</v>
      </c>
      <c r="J352" t="s">
        <v>53</v>
      </c>
      <c r="K352" t="s">
        <v>2504</v>
      </c>
      <c r="L352" t="s">
        <v>43</v>
      </c>
      <c r="M352" s="2" t="s">
        <v>2505</v>
      </c>
      <c r="N352" t="s">
        <v>31</v>
      </c>
      <c r="O352" t="s">
        <v>7881</v>
      </c>
      <c r="P352" t="s">
        <v>7888</v>
      </c>
      <c r="Q352" t="s">
        <v>63</v>
      </c>
      <c r="R352" t="s">
        <v>33</v>
      </c>
      <c r="S352" t="s">
        <v>34</v>
      </c>
      <c r="T352" s="1">
        <v>552500</v>
      </c>
      <c r="U352" s="1">
        <v>110500</v>
      </c>
      <c r="V352">
        <v>0</v>
      </c>
      <c r="W352" t="s">
        <v>2506</v>
      </c>
    </row>
    <row r="353" spans="1:23" x14ac:dyDescent="0.25">
      <c r="A353">
        <v>21959</v>
      </c>
      <c r="B353" t="s">
        <v>23</v>
      </c>
      <c r="D353">
        <v>357</v>
      </c>
      <c r="E353" t="s">
        <v>2507</v>
      </c>
      <c r="F353" t="s">
        <v>2508</v>
      </c>
      <c r="G353" t="s">
        <v>2509</v>
      </c>
      <c r="H353" t="s">
        <v>2510</v>
      </c>
      <c r="I353" t="s">
        <v>2511</v>
      </c>
      <c r="J353" t="s">
        <v>53</v>
      </c>
      <c r="K353" t="s">
        <v>2512</v>
      </c>
      <c r="L353" t="s">
        <v>43</v>
      </c>
      <c r="M353" s="2" t="s">
        <v>2513</v>
      </c>
      <c r="N353" t="s">
        <v>31</v>
      </c>
      <c r="O353" t="s">
        <v>7879</v>
      </c>
      <c r="P353" t="s">
        <v>7981</v>
      </c>
      <c r="Q353" t="s">
        <v>63</v>
      </c>
      <c r="R353" t="s">
        <v>33</v>
      </c>
      <c r="S353" t="s">
        <v>34</v>
      </c>
      <c r="T353" s="1">
        <v>195000</v>
      </c>
      <c r="U353">
        <v>0</v>
      </c>
      <c r="V353">
        <v>0</v>
      </c>
      <c r="W353" t="s">
        <v>2514</v>
      </c>
    </row>
    <row r="354" spans="1:23" x14ac:dyDescent="0.25">
      <c r="A354">
        <v>24281</v>
      </c>
      <c r="B354" t="s">
        <v>23</v>
      </c>
      <c r="D354">
        <v>358</v>
      </c>
      <c r="E354" t="s">
        <v>2515</v>
      </c>
      <c r="F354" t="s">
        <v>2516</v>
      </c>
      <c r="G354" t="s">
        <v>2517</v>
      </c>
      <c r="H354" t="s">
        <v>2518</v>
      </c>
      <c r="I354" t="s">
        <v>2519</v>
      </c>
      <c r="J354" t="s">
        <v>28</v>
      </c>
      <c r="K354" t="s">
        <v>2520</v>
      </c>
      <c r="L354" t="s">
        <v>43</v>
      </c>
      <c r="M354" s="2" t="s">
        <v>2521</v>
      </c>
      <c r="N354" t="s">
        <v>31</v>
      </c>
      <c r="O354" t="s">
        <v>7879</v>
      </c>
      <c r="P354" t="s">
        <v>7940</v>
      </c>
      <c r="Q354" t="s">
        <v>63</v>
      </c>
      <c r="R354" t="s">
        <v>33</v>
      </c>
      <c r="S354" t="s">
        <v>34</v>
      </c>
      <c r="T354" s="1">
        <v>195000</v>
      </c>
      <c r="U354">
        <v>0</v>
      </c>
      <c r="V354">
        <v>0</v>
      </c>
      <c r="W354" t="s">
        <v>2522</v>
      </c>
    </row>
    <row r="355" spans="1:23" x14ac:dyDescent="0.25">
      <c r="A355">
        <v>24319</v>
      </c>
      <c r="B355" t="s">
        <v>23</v>
      </c>
      <c r="D355">
        <v>359</v>
      </c>
      <c r="E355" t="s">
        <v>2523</v>
      </c>
      <c r="F355" t="s">
        <v>2524</v>
      </c>
      <c r="G355" t="s">
        <v>2525</v>
      </c>
      <c r="I355" t="s">
        <v>2526</v>
      </c>
      <c r="J355" t="s">
        <v>53</v>
      </c>
      <c r="K355" t="s">
        <v>2527</v>
      </c>
      <c r="L355" t="s">
        <v>453</v>
      </c>
      <c r="M355" s="2" t="s">
        <v>2528</v>
      </c>
      <c r="N355" t="s">
        <v>31</v>
      </c>
      <c r="O355" t="s">
        <v>7879</v>
      </c>
      <c r="P355" t="s">
        <v>7893</v>
      </c>
      <c r="Q355" t="s">
        <v>455</v>
      </c>
      <c r="R355" t="s">
        <v>130</v>
      </c>
      <c r="S355" t="s">
        <v>131</v>
      </c>
      <c r="T355">
        <v>150</v>
      </c>
      <c r="U355">
        <v>0</v>
      </c>
      <c r="V355">
        <v>0</v>
      </c>
      <c r="W355" t="s">
        <v>2529</v>
      </c>
    </row>
    <row r="356" spans="1:23" x14ac:dyDescent="0.25">
      <c r="A356">
        <v>8708</v>
      </c>
      <c r="B356" t="s">
        <v>23</v>
      </c>
      <c r="D356">
        <v>360</v>
      </c>
      <c r="E356" t="s">
        <v>2530</v>
      </c>
      <c r="F356" t="s">
        <v>2531</v>
      </c>
      <c r="G356" t="s">
        <v>608</v>
      </c>
      <c r="H356" t="s">
        <v>2532</v>
      </c>
      <c r="I356" t="s">
        <v>2533</v>
      </c>
      <c r="J356" t="s">
        <v>28</v>
      </c>
      <c r="K356" t="s">
        <v>2534</v>
      </c>
      <c r="L356" t="s">
        <v>43</v>
      </c>
      <c r="M356">
        <v>7017046761</v>
      </c>
      <c r="N356" t="s">
        <v>31</v>
      </c>
      <c r="O356" t="s">
        <v>7881</v>
      </c>
      <c r="P356" t="s">
        <v>7981</v>
      </c>
      <c r="Q356" t="s">
        <v>63</v>
      </c>
      <c r="R356" t="s">
        <v>33</v>
      </c>
      <c r="S356" t="s">
        <v>34</v>
      </c>
      <c r="T356" s="1">
        <v>552500</v>
      </c>
      <c r="U356">
        <v>0</v>
      </c>
      <c r="V356">
        <v>0</v>
      </c>
      <c r="W356" t="s">
        <v>2535</v>
      </c>
    </row>
    <row r="357" spans="1:23" x14ac:dyDescent="0.25">
      <c r="A357">
        <v>24324</v>
      </c>
      <c r="B357" t="s">
        <v>23</v>
      </c>
      <c r="D357">
        <v>361</v>
      </c>
      <c r="E357" t="s">
        <v>2536</v>
      </c>
      <c r="F357" t="s">
        <v>2537</v>
      </c>
      <c r="G357" t="s">
        <v>1462</v>
      </c>
      <c r="H357" t="s">
        <v>2538</v>
      </c>
      <c r="I357" t="s">
        <v>2539</v>
      </c>
      <c r="J357" t="s">
        <v>53</v>
      </c>
      <c r="K357" t="s">
        <v>524</v>
      </c>
      <c r="L357" t="s">
        <v>43</v>
      </c>
      <c r="M357" s="2" t="s">
        <v>2540</v>
      </c>
      <c r="N357" t="s">
        <v>31</v>
      </c>
      <c r="O357" t="s">
        <v>7879</v>
      </c>
      <c r="P357" t="s">
        <v>7940</v>
      </c>
      <c r="Q357" t="s">
        <v>87</v>
      </c>
      <c r="R357" t="s">
        <v>33</v>
      </c>
      <c r="S357" t="s">
        <v>34</v>
      </c>
      <c r="T357" s="1">
        <v>195000</v>
      </c>
      <c r="U357">
        <v>0</v>
      </c>
      <c r="V357">
        <v>0</v>
      </c>
      <c r="W357" t="s">
        <v>2541</v>
      </c>
    </row>
    <row r="358" spans="1:23" x14ac:dyDescent="0.25">
      <c r="A358">
        <v>24288</v>
      </c>
      <c r="B358" t="s">
        <v>23</v>
      </c>
      <c r="D358">
        <v>362</v>
      </c>
      <c r="E358" t="s">
        <v>2542</v>
      </c>
      <c r="F358" t="s">
        <v>2543</v>
      </c>
      <c r="G358" t="s">
        <v>2544</v>
      </c>
      <c r="H358" t="s">
        <v>2545</v>
      </c>
      <c r="I358" t="s">
        <v>2546</v>
      </c>
      <c r="J358" t="s">
        <v>28</v>
      </c>
      <c r="K358" t="s">
        <v>2547</v>
      </c>
      <c r="L358" t="s">
        <v>43</v>
      </c>
      <c r="M358" s="2" t="s">
        <v>2548</v>
      </c>
      <c r="N358" t="s">
        <v>31</v>
      </c>
      <c r="O358" t="s">
        <v>7879</v>
      </c>
      <c r="P358" t="s">
        <v>7981</v>
      </c>
      <c r="Q358" t="s">
        <v>87</v>
      </c>
      <c r="R358" t="s">
        <v>33</v>
      </c>
      <c r="S358" t="s">
        <v>34</v>
      </c>
      <c r="T358" s="1">
        <v>195000</v>
      </c>
      <c r="U358">
        <v>0</v>
      </c>
      <c r="V358">
        <v>0</v>
      </c>
      <c r="W358" t="s">
        <v>2549</v>
      </c>
    </row>
    <row r="359" spans="1:23" x14ac:dyDescent="0.25">
      <c r="A359">
        <v>1018</v>
      </c>
      <c r="B359" t="s">
        <v>23</v>
      </c>
      <c r="D359">
        <v>363</v>
      </c>
      <c r="E359" t="s">
        <v>2550</v>
      </c>
      <c r="F359" t="s">
        <v>2551</v>
      </c>
      <c r="G359" t="s">
        <v>2552</v>
      </c>
      <c r="H359" t="s">
        <v>2553</v>
      </c>
      <c r="I359" t="s">
        <v>2554</v>
      </c>
      <c r="J359" t="s">
        <v>53</v>
      </c>
      <c r="K359" t="s">
        <v>2555</v>
      </c>
      <c r="L359" t="s">
        <v>43</v>
      </c>
      <c r="M359">
        <v>8037829308</v>
      </c>
      <c r="N359" t="s">
        <v>31</v>
      </c>
      <c r="O359" t="s">
        <v>7886</v>
      </c>
      <c r="P359" t="s">
        <v>7913</v>
      </c>
      <c r="Q359" t="s">
        <v>46</v>
      </c>
      <c r="R359" t="s">
        <v>33</v>
      </c>
      <c r="S359" t="s">
        <v>34</v>
      </c>
      <c r="T359" s="1">
        <v>812500</v>
      </c>
      <c r="U359">
        <v>0</v>
      </c>
      <c r="V359" s="1">
        <v>162500</v>
      </c>
      <c r="W359" t="s">
        <v>2556</v>
      </c>
    </row>
    <row r="360" spans="1:23" x14ac:dyDescent="0.25">
      <c r="A360">
        <v>24391</v>
      </c>
      <c r="B360" t="s">
        <v>23</v>
      </c>
      <c r="D360">
        <v>364</v>
      </c>
      <c r="E360" t="s">
        <v>2557</v>
      </c>
      <c r="F360" t="s">
        <v>2558</v>
      </c>
      <c r="G360" t="s">
        <v>2559</v>
      </c>
      <c r="H360" t="s">
        <v>2560</v>
      </c>
      <c r="I360" t="s">
        <v>2561</v>
      </c>
      <c r="J360" t="s">
        <v>28</v>
      </c>
      <c r="K360" t="s">
        <v>378</v>
      </c>
      <c r="L360" t="s">
        <v>43</v>
      </c>
      <c r="M360" s="2" t="s">
        <v>2562</v>
      </c>
      <c r="N360" t="s">
        <v>31</v>
      </c>
      <c r="O360" t="s">
        <v>7879</v>
      </c>
      <c r="P360" t="s">
        <v>8028</v>
      </c>
      <c r="Q360" t="s">
        <v>46</v>
      </c>
      <c r="R360" t="s">
        <v>33</v>
      </c>
      <c r="S360" t="s">
        <v>34</v>
      </c>
      <c r="T360" s="1">
        <v>195000</v>
      </c>
      <c r="U360">
        <v>0</v>
      </c>
      <c r="V360">
        <v>0</v>
      </c>
      <c r="W360" t="s">
        <v>2563</v>
      </c>
    </row>
    <row r="361" spans="1:23" x14ac:dyDescent="0.25">
      <c r="A361">
        <v>5197</v>
      </c>
      <c r="B361" t="s">
        <v>23</v>
      </c>
      <c r="D361">
        <v>365</v>
      </c>
      <c r="E361" t="s">
        <v>2564</v>
      </c>
      <c r="F361" t="s">
        <v>2565</v>
      </c>
      <c r="G361" t="s">
        <v>2566</v>
      </c>
      <c r="H361" t="s">
        <v>2567</v>
      </c>
      <c r="I361" t="s">
        <v>7990</v>
      </c>
      <c r="J361" t="s">
        <v>53</v>
      </c>
      <c r="K361" t="s">
        <v>2568</v>
      </c>
      <c r="L361" t="s">
        <v>43</v>
      </c>
      <c r="M361">
        <v>8032646490</v>
      </c>
      <c r="N361" t="s">
        <v>2333</v>
      </c>
      <c r="O361" t="s">
        <v>7886</v>
      </c>
      <c r="P361" t="s">
        <v>7981</v>
      </c>
      <c r="Q361" t="s">
        <v>46</v>
      </c>
      <c r="R361" t="s">
        <v>33</v>
      </c>
      <c r="S361" t="s">
        <v>34</v>
      </c>
      <c r="T361" s="1">
        <v>812500</v>
      </c>
      <c r="U361">
        <v>0</v>
      </c>
      <c r="V361" s="1">
        <v>162500</v>
      </c>
      <c r="W361" t="s">
        <v>2569</v>
      </c>
    </row>
    <row r="362" spans="1:23" x14ac:dyDescent="0.25">
      <c r="A362">
        <v>19283</v>
      </c>
      <c r="B362" t="s">
        <v>23</v>
      </c>
      <c r="D362">
        <v>366</v>
      </c>
      <c r="E362" t="s">
        <v>2570</v>
      </c>
      <c r="F362" t="s">
        <v>2571</v>
      </c>
      <c r="G362" t="s">
        <v>2572</v>
      </c>
      <c r="H362" t="s">
        <v>2573</v>
      </c>
      <c r="I362" t="s">
        <v>2574</v>
      </c>
      <c r="J362" t="s">
        <v>28</v>
      </c>
      <c r="K362" t="s">
        <v>42</v>
      </c>
      <c r="L362" t="s">
        <v>43</v>
      </c>
      <c r="M362" s="2" t="s">
        <v>2575</v>
      </c>
      <c r="N362" t="s">
        <v>31</v>
      </c>
      <c r="O362" t="s">
        <v>7881</v>
      </c>
      <c r="P362" t="s">
        <v>8028</v>
      </c>
      <c r="Q362" t="s">
        <v>46</v>
      </c>
      <c r="R362" t="s">
        <v>33</v>
      </c>
      <c r="S362" t="s">
        <v>34</v>
      </c>
      <c r="T362" s="1">
        <v>552500</v>
      </c>
      <c r="U362">
        <v>0</v>
      </c>
      <c r="V362">
        <v>0</v>
      </c>
      <c r="W362" t="s">
        <v>2576</v>
      </c>
    </row>
    <row r="363" spans="1:23" x14ac:dyDescent="0.25">
      <c r="A363">
        <v>24308</v>
      </c>
      <c r="B363" t="s">
        <v>23</v>
      </c>
      <c r="D363">
        <v>367</v>
      </c>
      <c r="E363" t="s">
        <v>2577</v>
      </c>
      <c r="F363" t="s">
        <v>2578</v>
      </c>
      <c r="G363" t="s">
        <v>2579</v>
      </c>
      <c r="H363" t="s">
        <v>2580</v>
      </c>
      <c r="I363" t="s">
        <v>2581</v>
      </c>
      <c r="J363" t="s">
        <v>53</v>
      </c>
      <c r="K363" t="s">
        <v>2582</v>
      </c>
      <c r="L363" t="s">
        <v>43</v>
      </c>
      <c r="M363" s="2" t="s">
        <v>2583</v>
      </c>
      <c r="N363" t="s">
        <v>45</v>
      </c>
      <c r="O363" t="s">
        <v>7879</v>
      </c>
      <c r="P363" t="s">
        <v>7940</v>
      </c>
      <c r="Q363" t="s">
        <v>46</v>
      </c>
      <c r="R363" t="s">
        <v>33</v>
      </c>
      <c r="S363" t="s">
        <v>34</v>
      </c>
      <c r="T363" s="1">
        <v>195000</v>
      </c>
      <c r="U363">
        <v>0</v>
      </c>
      <c r="V363">
        <v>0</v>
      </c>
      <c r="W363" t="s">
        <v>2584</v>
      </c>
    </row>
    <row r="364" spans="1:23" x14ac:dyDescent="0.25">
      <c r="A364">
        <v>24366</v>
      </c>
      <c r="B364" t="s">
        <v>23</v>
      </c>
      <c r="D364">
        <v>368</v>
      </c>
      <c r="E364" t="s">
        <v>2585</v>
      </c>
      <c r="F364" t="s">
        <v>2586</v>
      </c>
      <c r="G364" t="s">
        <v>2587</v>
      </c>
      <c r="I364" t="s">
        <v>2588</v>
      </c>
      <c r="J364" t="s">
        <v>28</v>
      </c>
      <c r="K364" t="s">
        <v>2589</v>
      </c>
      <c r="L364" t="s">
        <v>43</v>
      </c>
      <c r="M364" s="2" t="s">
        <v>2590</v>
      </c>
      <c r="N364" t="s">
        <v>45</v>
      </c>
      <c r="O364" t="s">
        <v>7879</v>
      </c>
      <c r="P364" t="s">
        <v>7893</v>
      </c>
      <c r="Q364" t="s">
        <v>63</v>
      </c>
      <c r="R364" t="s">
        <v>33</v>
      </c>
      <c r="S364" t="s">
        <v>34</v>
      </c>
      <c r="T364" s="1">
        <v>195000</v>
      </c>
      <c r="U364">
        <v>0</v>
      </c>
      <c r="V364">
        <v>0</v>
      </c>
      <c r="W364" t="s">
        <v>2591</v>
      </c>
    </row>
    <row r="365" spans="1:23" x14ac:dyDescent="0.25">
      <c r="A365">
        <v>24155</v>
      </c>
      <c r="B365" t="s">
        <v>23</v>
      </c>
      <c r="D365">
        <v>369</v>
      </c>
      <c r="E365" t="s">
        <v>2592</v>
      </c>
      <c r="F365" t="s">
        <v>2593</v>
      </c>
      <c r="G365" t="s">
        <v>2594</v>
      </c>
      <c r="H365" t="s">
        <v>672</v>
      </c>
      <c r="I365" t="s">
        <v>2595</v>
      </c>
      <c r="J365" t="s">
        <v>53</v>
      </c>
      <c r="K365" t="s">
        <v>2596</v>
      </c>
      <c r="L365" t="s">
        <v>43</v>
      </c>
      <c r="M365" s="2" t="s">
        <v>2597</v>
      </c>
      <c r="N365" t="s">
        <v>31</v>
      </c>
      <c r="O365" t="s">
        <v>7879</v>
      </c>
      <c r="P365" t="s">
        <v>7981</v>
      </c>
      <c r="Q365" t="s">
        <v>63</v>
      </c>
      <c r="R365" t="s">
        <v>33</v>
      </c>
      <c r="S365" t="s">
        <v>34</v>
      </c>
      <c r="T365" s="1">
        <v>195000</v>
      </c>
      <c r="U365">
        <v>0</v>
      </c>
      <c r="V365">
        <v>0</v>
      </c>
      <c r="W365" t="s">
        <v>2598</v>
      </c>
    </row>
    <row r="366" spans="1:23" x14ac:dyDescent="0.25">
      <c r="A366">
        <v>8313</v>
      </c>
      <c r="B366" t="s">
        <v>23</v>
      </c>
      <c r="D366">
        <v>370</v>
      </c>
      <c r="E366" t="s">
        <v>2599</v>
      </c>
      <c r="F366" t="s">
        <v>2600</v>
      </c>
      <c r="G366" t="s">
        <v>2601</v>
      </c>
      <c r="H366" t="s">
        <v>2602</v>
      </c>
      <c r="I366" t="s">
        <v>7948</v>
      </c>
      <c r="J366" t="s">
        <v>53</v>
      </c>
      <c r="K366" t="s">
        <v>517</v>
      </c>
      <c r="L366" t="s">
        <v>43</v>
      </c>
      <c r="M366">
        <v>8032164860</v>
      </c>
      <c r="N366" t="s">
        <v>1207</v>
      </c>
      <c r="O366" t="s">
        <v>7886</v>
      </c>
      <c r="P366" t="s">
        <v>7940</v>
      </c>
      <c r="Q366" t="s">
        <v>46</v>
      </c>
      <c r="R366" t="s">
        <v>33</v>
      </c>
      <c r="S366" t="s">
        <v>34</v>
      </c>
      <c r="T366" s="1">
        <v>812500</v>
      </c>
      <c r="U366">
        <v>0</v>
      </c>
      <c r="V366" s="1">
        <v>162500</v>
      </c>
      <c r="W366" t="s">
        <v>2603</v>
      </c>
    </row>
    <row r="367" spans="1:23" x14ac:dyDescent="0.25">
      <c r="A367">
        <v>24402</v>
      </c>
      <c r="B367" t="s">
        <v>23</v>
      </c>
      <c r="D367">
        <v>371</v>
      </c>
      <c r="E367" t="s">
        <v>2604</v>
      </c>
      <c r="F367" t="s">
        <v>2605</v>
      </c>
      <c r="G367" t="s">
        <v>2606</v>
      </c>
      <c r="H367" t="s">
        <v>2607</v>
      </c>
      <c r="I367" t="s">
        <v>2608</v>
      </c>
      <c r="J367" t="s">
        <v>28</v>
      </c>
      <c r="K367" t="s">
        <v>2568</v>
      </c>
      <c r="L367" t="s">
        <v>43</v>
      </c>
      <c r="M367" s="2" t="s">
        <v>2609</v>
      </c>
      <c r="N367" t="s">
        <v>31</v>
      </c>
      <c r="O367" t="s">
        <v>7879</v>
      </c>
      <c r="P367" t="s">
        <v>7940</v>
      </c>
      <c r="Q367" t="s">
        <v>46</v>
      </c>
      <c r="R367" t="s">
        <v>33</v>
      </c>
      <c r="S367" t="s">
        <v>34</v>
      </c>
      <c r="T367" s="1">
        <v>195000</v>
      </c>
      <c r="U367">
        <v>0</v>
      </c>
      <c r="V367">
        <v>0</v>
      </c>
      <c r="W367" t="s">
        <v>2610</v>
      </c>
    </row>
    <row r="368" spans="1:23" x14ac:dyDescent="0.25">
      <c r="A368">
        <v>21328</v>
      </c>
      <c r="B368" t="s">
        <v>1627</v>
      </c>
      <c r="C368" t="s">
        <v>2611</v>
      </c>
      <c r="D368">
        <v>372</v>
      </c>
      <c r="E368" t="s">
        <v>2612</v>
      </c>
      <c r="F368" t="s">
        <v>2613</v>
      </c>
      <c r="G368" t="s">
        <v>2614</v>
      </c>
      <c r="H368" t="s">
        <v>2615</v>
      </c>
      <c r="I368" t="s">
        <v>2616</v>
      </c>
      <c r="J368" t="s">
        <v>28</v>
      </c>
      <c r="K368" t="s">
        <v>2617</v>
      </c>
      <c r="L368" t="s">
        <v>43</v>
      </c>
      <c r="M368" s="2" t="s">
        <v>2618</v>
      </c>
      <c r="N368" t="s">
        <v>45</v>
      </c>
      <c r="O368" t="s">
        <v>7879</v>
      </c>
      <c r="P368" t="s">
        <v>7981</v>
      </c>
      <c r="Q368" t="s">
        <v>87</v>
      </c>
      <c r="R368" t="s">
        <v>33</v>
      </c>
      <c r="S368" t="s">
        <v>34</v>
      </c>
      <c r="T368" s="1">
        <v>195000</v>
      </c>
      <c r="U368">
        <v>0</v>
      </c>
      <c r="V368">
        <v>0</v>
      </c>
      <c r="W368" t="s">
        <v>2619</v>
      </c>
    </row>
    <row r="369" spans="1:23" x14ac:dyDescent="0.25">
      <c r="A369">
        <v>20435</v>
      </c>
      <c r="B369" t="s">
        <v>23</v>
      </c>
      <c r="D369">
        <v>374</v>
      </c>
      <c r="E369" t="s">
        <v>2620</v>
      </c>
      <c r="F369" t="s">
        <v>2621</v>
      </c>
      <c r="G369" t="s">
        <v>2622</v>
      </c>
      <c r="I369" t="s">
        <v>2623</v>
      </c>
      <c r="J369" t="s">
        <v>28</v>
      </c>
      <c r="K369" t="s">
        <v>2624</v>
      </c>
      <c r="L369" t="s">
        <v>453</v>
      </c>
      <c r="M369" t="s">
        <v>2625</v>
      </c>
      <c r="N369" t="s">
        <v>31</v>
      </c>
      <c r="O369" t="s">
        <v>7879</v>
      </c>
      <c r="P369" t="s">
        <v>7981</v>
      </c>
      <c r="Q369" t="s">
        <v>455</v>
      </c>
      <c r="R369" t="s">
        <v>130</v>
      </c>
      <c r="S369" t="s">
        <v>131</v>
      </c>
      <c r="T369">
        <v>150</v>
      </c>
      <c r="U369">
        <v>0</v>
      </c>
      <c r="V369">
        <v>0</v>
      </c>
      <c r="W369" t="s">
        <v>2626</v>
      </c>
    </row>
    <row r="370" spans="1:23" x14ac:dyDescent="0.25">
      <c r="A370">
        <v>22533</v>
      </c>
      <c r="B370" t="s">
        <v>23</v>
      </c>
      <c r="D370">
        <v>375</v>
      </c>
      <c r="E370" t="s">
        <v>2627</v>
      </c>
      <c r="F370" t="s">
        <v>2628</v>
      </c>
      <c r="G370" t="s">
        <v>2629</v>
      </c>
      <c r="H370" t="s">
        <v>2259</v>
      </c>
      <c r="I370" t="s">
        <v>7914</v>
      </c>
      <c r="J370" t="s">
        <v>53</v>
      </c>
      <c r="K370" t="s">
        <v>2630</v>
      </c>
      <c r="L370" t="s">
        <v>43</v>
      </c>
      <c r="M370" s="2" t="s">
        <v>2631</v>
      </c>
      <c r="N370" t="s">
        <v>31</v>
      </c>
      <c r="O370" t="s">
        <v>7881</v>
      </c>
      <c r="P370" t="s">
        <v>7893</v>
      </c>
      <c r="Q370" t="s">
        <v>46</v>
      </c>
      <c r="R370" t="s">
        <v>33</v>
      </c>
      <c r="S370" t="s">
        <v>34</v>
      </c>
      <c r="T370" s="1">
        <v>552500</v>
      </c>
      <c r="U370">
        <v>0</v>
      </c>
      <c r="V370">
        <v>0</v>
      </c>
      <c r="W370" t="s">
        <v>2632</v>
      </c>
    </row>
    <row r="371" spans="1:23" x14ac:dyDescent="0.25">
      <c r="A371">
        <v>9326</v>
      </c>
      <c r="B371" t="s">
        <v>23</v>
      </c>
      <c r="D371">
        <v>376</v>
      </c>
      <c r="E371" t="s">
        <v>2633</v>
      </c>
      <c r="F371" t="s">
        <v>2634</v>
      </c>
      <c r="G371" t="s">
        <v>2635</v>
      </c>
      <c r="H371" t="s">
        <v>515</v>
      </c>
      <c r="I371" t="s">
        <v>2636</v>
      </c>
      <c r="J371" t="s">
        <v>28</v>
      </c>
      <c r="K371" t="s">
        <v>2637</v>
      </c>
      <c r="L371" t="s">
        <v>43</v>
      </c>
      <c r="M371">
        <v>8130592038</v>
      </c>
      <c r="N371" t="s">
        <v>31</v>
      </c>
      <c r="O371" t="s">
        <v>7881</v>
      </c>
      <c r="P371" t="s">
        <v>7940</v>
      </c>
      <c r="Q371" t="s">
        <v>63</v>
      </c>
      <c r="R371" t="s">
        <v>33</v>
      </c>
      <c r="S371" t="s">
        <v>34</v>
      </c>
      <c r="T371" s="1">
        <v>552500</v>
      </c>
      <c r="U371">
        <v>0</v>
      </c>
      <c r="V371">
        <v>0</v>
      </c>
      <c r="W371" t="s">
        <v>2638</v>
      </c>
    </row>
    <row r="372" spans="1:23" x14ac:dyDescent="0.25">
      <c r="A372">
        <v>5336</v>
      </c>
      <c r="B372" t="s">
        <v>23</v>
      </c>
      <c r="D372">
        <v>377</v>
      </c>
      <c r="E372" t="s">
        <v>2639</v>
      </c>
      <c r="F372" t="s">
        <v>664</v>
      </c>
      <c r="G372" t="s">
        <v>2640</v>
      </c>
      <c r="H372" t="s">
        <v>196</v>
      </c>
      <c r="I372" t="s">
        <v>2641</v>
      </c>
      <c r="J372" t="s">
        <v>53</v>
      </c>
      <c r="K372" t="s">
        <v>2642</v>
      </c>
      <c r="L372" t="s">
        <v>43</v>
      </c>
      <c r="M372">
        <v>2348030890891</v>
      </c>
      <c r="N372" t="s">
        <v>244</v>
      </c>
      <c r="O372" t="s">
        <v>7886</v>
      </c>
      <c r="P372" t="s">
        <v>7888</v>
      </c>
      <c r="Q372" t="s">
        <v>46</v>
      </c>
      <c r="R372" t="s">
        <v>33</v>
      </c>
      <c r="S372" t="s">
        <v>34</v>
      </c>
      <c r="T372" s="1">
        <v>812500</v>
      </c>
      <c r="U372">
        <v>0</v>
      </c>
      <c r="V372">
        <v>0</v>
      </c>
      <c r="W372" t="s">
        <v>2643</v>
      </c>
    </row>
    <row r="373" spans="1:23" x14ac:dyDescent="0.25">
      <c r="A373">
        <v>24395</v>
      </c>
      <c r="B373" t="s">
        <v>23</v>
      </c>
      <c r="D373">
        <v>378</v>
      </c>
      <c r="E373" t="s">
        <v>2644</v>
      </c>
      <c r="F373" t="s">
        <v>2645</v>
      </c>
      <c r="G373" t="s">
        <v>2358</v>
      </c>
      <c r="H373" t="s">
        <v>2646</v>
      </c>
      <c r="I373" t="s">
        <v>2647</v>
      </c>
      <c r="J373" t="s">
        <v>28</v>
      </c>
      <c r="K373" t="s">
        <v>1244</v>
      </c>
      <c r="L373" t="s">
        <v>43</v>
      </c>
      <c r="M373" s="2" t="s">
        <v>2648</v>
      </c>
      <c r="N373" t="s">
        <v>31</v>
      </c>
      <c r="O373" t="s">
        <v>7879</v>
      </c>
      <c r="P373" t="s">
        <v>7893</v>
      </c>
      <c r="Q373" t="s">
        <v>87</v>
      </c>
      <c r="R373" t="s">
        <v>33</v>
      </c>
      <c r="S373" t="s">
        <v>34</v>
      </c>
      <c r="T373" s="1">
        <v>195000</v>
      </c>
      <c r="U373">
        <v>0</v>
      </c>
      <c r="V373">
        <v>0</v>
      </c>
      <c r="W373" t="s">
        <v>2649</v>
      </c>
    </row>
    <row r="374" spans="1:23" x14ac:dyDescent="0.25">
      <c r="A374">
        <v>24382</v>
      </c>
      <c r="B374" t="s">
        <v>23</v>
      </c>
      <c r="D374">
        <v>379</v>
      </c>
      <c r="E374" t="s">
        <v>2650</v>
      </c>
      <c r="F374" t="s">
        <v>2651</v>
      </c>
      <c r="G374" t="s">
        <v>2652</v>
      </c>
      <c r="H374" t="s">
        <v>2653</v>
      </c>
      <c r="I374" s="2" t="s">
        <v>2654</v>
      </c>
      <c r="J374" t="s">
        <v>53</v>
      </c>
      <c r="K374" t="s">
        <v>2655</v>
      </c>
      <c r="L374" t="s">
        <v>453</v>
      </c>
      <c r="M374" s="2" t="s">
        <v>2656</v>
      </c>
      <c r="N374" t="s">
        <v>31</v>
      </c>
      <c r="O374" t="s">
        <v>7879</v>
      </c>
      <c r="P374" t="s">
        <v>7893</v>
      </c>
      <c r="Q374" t="s">
        <v>455</v>
      </c>
      <c r="R374" t="s">
        <v>33</v>
      </c>
      <c r="S374" t="s">
        <v>34</v>
      </c>
      <c r="T374" s="1">
        <v>195000</v>
      </c>
      <c r="U374">
        <v>0</v>
      </c>
      <c r="V374">
        <v>0</v>
      </c>
      <c r="W374" t="s">
        <v>2657</v>
      </c>
    </row>
    <row r="375" spans="1:23" x14ac:dyDescent="0.25">
      <c r="A375">
        <v>10847</v>
      </c>
      <c r="B375" t="s">
        <v>23</v>
      </c>
      <c r="D375">
        <v>380</v>
      </c>
      <c r="E375" t="s">
        <v>2658</v>
      </c>
      <c r="F375" t="s">
        <v>2659</v>
      </c>
      <c r="G375" t="s">
        <v>2660</v>
      </c>
      <c r="H375" t="s">
        <v>2661</v>
      </c>
      <c r="I375" t="s">
        <v>2662</v>
      </c>
      <c r="J375" t="s">
        <v>28</v>
      </c>
      <c r="K375" t="s">
        <v>2663</v>
      </c>
      <c r="L375" t="s">
        <v>43</v>
      </c>
      <c r="M375">
        <v>8136058376</v>
      </c>
      <c r="N375" t="s">
        <v>31</v>
      </c>
      <c r="O375" t="s">
        <v>7881</v>
      </c>
      <c r="P375" t="s">
        <v>7940</v>
      </c>
      <c r="Q375" t="s">
        <v>63</v>
      </c>
      <c r="R375" t="s">
        <v>33</v>
      </c>
      <c r="S375" t="s">
        <v>34</v>
      </c>
      <c r="T375" s="1">
        <v>552500</v>
      </c>
      <c r="U375">
        <v>0</v>
      </c>
      <c r="V375">
        <v>0</v>
      </c>
      <c r="W375" t="s">
        <v>2664</v>
      </c>
    </row>
    <row r="376" spans="1:23" x14ac:dyDescent="0.25">
      <c r="A376">
        <v>24191</v>
      </c>
      <c r="B376" t="s">
        <v>23</v>
      </c>
      <c r="D376">
        <v>381</v>
      </c>
      <c r="E376" t="s">
        <v>2665</v>
      </c>
      <c r="F376" t="s">
        <v>2666</v>
      </c>
      <c r="G376" t="s">
        <v>2667</v>
      </c>
      <c r="H376" t="s">
        <v>2049</v>
      </c>
      <c r="I376" t="s">
        <v>2668</v>
      </c>
      <c r="J376" t="s">
        <v>28</v>
      </c>
      <c r="K376" t="s">
        <v>2669</v>
      </c>
      <c r="L376" t="s">
        <v>43</v>
      </c>
      <c r="M376" s="2" t="s">
        <v>2670</v>
      </c>
      <c r="N376" t="s">
        <v>31</v>
      </c>
      <c r="O376" t="s">
        <v>7879</v>
      </c>
      <c r="P376" t="s">
        <v>7940</v>
      </c>
      <c r="Q376" t="s">
        <v>63</v>
      </c>
      <c r="R376" t="s">
        <v>33</v>
      </c>
      <c r="S376" t="s">
        <v>34</v>
      </c>
      <c r="T376" s="1">
        <v>195000</v>
      </c>
      <c r="U376">
        <v>0</v>
      </c>
      <c r="V376">
        <v>0</v>
      </c>
      <c r="W376" t="s">
        <v>2671</v>
      </c>
    </row>
    <row r="377" spans="1:23" x14ac:dyDescent="0.25">
      <c r="A377">
        <v>23917</v>
      </c>
      <c r="B377" t="s">
        <v>23</v>
      </c>
      <c r="D377">
        <v>382</v>
      </c>
      <c r="E377" t="s">
        <v>2672</v>
      </c>
      <c r="F377" t="s">
        <v>2673</v>
      </c>
      <c r="G377" t="s">
        <v>2674</v>
      </c>
      <c r="H377" t="s">
        <v>2675</v>
      </c>
      <c r="I377" t="s">
        <v>2676</v>
      </c>
      <c r="J377" t="s">
        <v>53</v>
      </c>
      <c r="K377" t="s">
        <v>2677</v>
      </c>
      <c r="L377" t="s">
        <v>43</v>
      </c>
      <c r="M377" s="2" t="s">
        <v>2678</v>
      </c>
      <c r="N377" t="s">
        <v>31</v>
      </c>
      <c r="O377" t="s">
        <v>7879</v>
      </c>
      <c r="P377" t="s">
        <v>7893</v>
      </c>
      <c r="Q377" t="s">
        <v>46</v>
      </c>
      <c r="R377" t="s">
        <v>33</v>
      </c>
      <c r="S377" t="s">
        <v>34</v>
      </c>
      <c r="T377" s="1">
        <v>195000</v>
      </c>
      <c r="U377">
        <v>0</v>
      </c>
      <c r="V377">
        <v>0</v>
      </c>
      <c r="W377" t="s">
        <v>2679</v>
      </c>
    </row>
    <row r="378" spans="1:23" x14ac:dyDescent="0.25">
      <c r="A378">
        <v>24344</v>
      </c>
      <c r="B378" t="s">
        <v>23</v>
      </c>
      <c r="D378">
        <v>383</v>
      </c>
      <c r="E378" t="s">
        <v>2680</v>
      </c>
      <c r="F378" t="s">
        <v>2681</v>
      </c>
      <c r="G378" t="s">
        <v>2682</v>
      </c>
      <c r="I378" t="s">
        <v>2683</v>
      </c>
      <c r="J378" t="s">
        <v>53</v>
      </c>
      <c r="K378" t="s">
        <v>2684</v>
      </c>
      <c r="L378" t="s">
        <v>765</v>
      </c>
      <c r="M378">
        <v>23277695101</v>
      </c>
      <c r="N378" t="s">
        <v>31</v>
      </c>
      <c r="O378" t="s">
        <v>7879</v>
      </c>
      <c r="P378" t="s">
        <v>7940</v>
      </c>
      <c r="Q378" t="s">
        <v>1480</v>
      </c>
      <c r="R378" t="s">
        <v>33</v>
      </c>
      <c r="S378" t="s">
        <v>34</v>
      </c>
      <c r="T378" s="1">
        <v>195000</v>
      </c>
      <c r="U378">
        <v>0</v>
      </c>
      <c r="V378">
        <v>0</v>
      </c>
      <c r="W378" t="s">
        <v>2685</v>
      </c>
    </row>
    <row r="379" spans="1:23" x14ac:dyDescent="0.25">
      <c r="A379">
        <v>18774</v>
      </c>
      <c r="B379" t="s">
        <v>23</v>
      </c>
      <c r="D379">
        <v>384</v>
      </c>
      <c r="E379" t="s">
        <v>2686</v>
      </c>
      <c r="F379" t="s">
        <v>2687</v>
      </c>
      <c r="G379" t="s">
        <v>2688</v>
      </c>
      <c r="H379" t="s">
        <v>2689</v>
      </c>
      <c r="I379" t="s">
        <v>2690</v>
      </c>
      <c r="J379" t="s">
        <v>53</v>
      </c>
      <c r="K379" t="s">
        <v>2691</v>
      </c>
      <c r="L379" t="s">
        <v>43</v>
      </c>
      <c r="M379">
        <v>2348062685860</v>
      </c>
      <c r="N379" t="s">
        <v>31</v>
      </c>
      <c r="O379" t="s">
        <v>7886</v>
      </c>
      <c r="P379" t="s">
        <v>7888</v>
      </c>
      <c r="Q379" t="s">
        <v>46</v>
      </c>
      <c r="R379" t="s">
        <v>33</v>
      </c>
      <c r="S379" t="s">
        <v>34</v>
      </c>
      <c r="T379" s="1">
        <v>812500</v>
      </c>
      <c r="U379">
        <v>0</v>
      </c>
      <c r="V379" s="1">
        <v>162500</v>
      </c>
      <c r="W379" t="s">
        <v>2692</v>
      </c>
    </row>
    <row r="380" spans="1:23" x14ac:dyDescent="0.25">
      <c r="A380">
        <v>18356</v>
      </c>
      <c r="B380" t="s">
        <v>23</v>
      </c>
      <c r="D380">
        <v>385</v>
      </c>
      <c r="E380" t="s">
        <v>2693</v>
      </c>
      <c r="F380" t="s">
        <v>2694</v>
      </c>
      <c r="G380" t="s">
        <v>2695</v>
      </c>
      <c r="H380" t="s">
        <v>2696</v>
      </c>
      <c r="I380" t="s">
        <v>2697</v>
      </c>
      <c r="J380" t="s">
        <v>28</v>
      </c>
      <c r="K380" t="s">
        <v>2698</v>
      </c>
      <c r="L380" t="s">
        <v>43</v>
      </c>
      <c r="M380" s="2" t="s">
        <v>2699</v>
      </c>
      <c r="N380" t="s">
        <v>31</v>
      </c>
      <c r="O380" t="s">
        <v>7881</v>
      </c>
      <c r="P380" t="s">
        <v>7981</v>
      </c>
      <c r="Q380" t="s">
        <v>46</v>
      </c>
      <c r="R380" t="s">
        <v>33</v>
      </c>
      <c r="S380" t="s">
        <v>34</v>
      </c>
      <c r="T380" s="1">
        <v>552500</v>
      </c>
      <c r="U380">
        <v>0</v>
      </c>
      <c r="V380">
        <v>0</v>
      </c>
      <c r="W380" t="s">
        <v>2700</v>
      </c>
    </row>
    <row r="381" spans="1:23" x14ac:dyDescent="0.25">
      <c r="A381">
        <v>24230</v>
      </c>
      <c r="B381" t="s">
        <v>23</v>
      </c>
      <c r="D381">
        <v>386</v>
      </c>
      <c r="E381" t="s">
        <v>2701</v>
      </c>
      <c r="F381" t="s">
        <v>1721</v>
      </c>
      <c r="G381" t="s">
        <v>2702</v>
      </c>
      <c r="H381" t="s">
        <v>2703</v>
      </c>
      <c r="I381" t="s">
        <v>2704</v>
      </c>
      <c r="J381" t="s">
        <v>28</v>
      </c>
      <c r="K381" t="s">
        <v>364</v>
      </c>
      <c r="L381" t="s">
        <v>43</v>
      </c>
      <c r="M381" s="2" t="s">
        <v>2705</v>
      </c>
      <c r="N381" t="s">
        <v>31</v>
      </c>
      <c r="O381" t="s">
        <v>7879</v>
      </c>
      <c r="P381" t="s">
        <v>7940</v>
      </c>
      <c r="Q381" t="s">
        <v>46</v>
      </c>
      <c r="R381" t="s">
        <v>33</v>
      </c>
      <c r="S381" t="s">
        <v>34</v>
      </c>
      <c r="T381" s="1">
        <v>195000</v>
      </c>
      <c r="U381">
        <v>0</v>
      </c>
      <c r="V381">
        <v>0</v>
      </c>
      <c r="W381" t="s">
        <v>2706</v>
      </c>
    </row>
    <row r="382" spans="1:23" x14ac:dyDescent="0.25">
      <c r="A382">
        <v>24347</v>
      </c>
      <c r="B382" t="s">
        <v>23</v>
      </c>
      <c r="D382">
        <v>387</v>
      </c>
      <c r="E382" t="s">
        <v>2707</v>
      </c>
      <c r="F382" t="s">
        <v>2708</v>
      </c>
      <c r="G382" t="s">
        <v>2709</v>
      </c>
      <c r="H382" t="s">
        <v>2710</v>
      </c>
      <c r="I382" t="s">
        <v>2711</v>
      </c>
      <c r="J382" t="s">
        <v>53</v>
      </c>
      <c r="K382" t="s">
        <v>1395</v>
      </c>
      <c r="L382" t="s">
        <v>43</v>
      </c>
      <c r="M382" s="2" t="s">
        <v>2712</v>
      </c>
      <c r="N382" t="s">
        <v>31</v>
      </c>
      <c r="O382" t="s">
        <v>7879</v>
      </c>
      <c r="P382" t="s">
        <v>7940</v>
      </c>
      <c r="Q382" t="s">
        <v>46</v>
      </c>
      <c r="R382" t="s">
        <v>33</v>
      </c>
      <c r="S382" t="s">
        <v>34</v>
      </c>
      <c r="T382" s="1">
        <v>195000</v>
      </c>
      <c r="U382">
        <v>0</v>
      </c>
      <c r="V382">
        <v>0</v>
      </c>
      <c r="W382" t="s">
        <v>2713</v>
      </c>
    </row>
    <row r="383" spans="1:23" x14ac:dyDescent="0.25">
      <c r="A383">
        <v>24369</v>
      </c>
      <c r="B383" t="s">
        <v>23</v>
      </c>
      <c r="D383">
        <v>388</v>
      </c>
      <c r="E383" t="s">
        <v>2714</v>
      </c>
      <c r="F383" t="s">
        <v>2715</v>
      </c>
      <c r="G383" t="s">
        <v>2716</v>
      </c>
      <c r="H383" t="s">
        <v>2717</v>
      </c>
      <c r="I383" t="s">
        <v>2718</v>
      </c>
      <c r="J383" t="s">
        <v>28</v>
      </c>
      <c r="K383" t="s">
        <v>1395</v>
      </c>
      <c r="L383" t="s">
        <v>43</v>
      </c>
      <c r="M383" s="2" t="s">
        <v>2719</v>
      </c>
      <c r="N383" t="s">
        <v>31</v>
      </c>
      <c r="O383" t="s">
        <v>7879</v>
      </c>
      <c r="P383" t="s">
        <v>7893</v>
      </c>
      <c r="Q383" t="s">
        <v>46</v>
      </c>
      <c r="R383" t="s">
        <v>33</v>
      </c>
      <c r="S383" t="s">
        <v>34</v>
      </c>
      <c r="T383" s="1">
        <v>195000</v>
      </c>
      <c r="U383">
        <v>0</v>
      </c>
      <c r="V383">
        <v>0</v>
      </c>
      <c r="W383" t="s">
        <v>2720</v>
      </c>
    </row>
    <row r="384" spans="1:23" x14ac:dyDescent="0.25">
      <c r="A384">
        <v>4090</v>
      </c>
      <c r="B384" t="s">
        <v>23</v>
      </c>
      <c r="D384">
        <v>389</v>
      </c>
      <c r="E384" t="s">
        <v>2721</v>
      </c>
      <c r="F384" t="s">
        <v>2722</v>
      </c>
      <c r="G384" t="s">
        <v>2442</v>
      </c>
      <c r="H384" t="s">
        <v>2723</v>
      </c>
      <c r="I384" t="s">
        <v>2724</v>
      </c>
      <c r="J384" t="s">
        <v>28</v>
      </c>
      <c r="K384" t="s">
        <v>184</v>
      </c>
      <c r="L384" t="s">
        <v>43</v>
      </c>
      <c r="M384">
        <v>7067056464</v>
      </c>
      <c r="N384" t="s">
        <v>31</v>
      </c>
      <c r="O384" t="s">
        <v>7886</v>
      </c>
      <c r="P384" t="s">
        <v>7940</v>
      </c>
      <c r="Q384" t="s">
        <v>46</v>
      </c>
      <c r="R384" t="s">
        <v>33</v>
      </c>
      <c r="S384" t="s">
        <v>34</v>
      </c>
      <c r="T384" s="1">
        <v>812500</v>
      </c>
      <c r="U384">
        <v>0</v>
      </c>
      <c r="V384" s="1">
        <v>162500</v>
      </c>
      <c r="W384" t="s">
        <v>2725</v>
      </c>
    </row>
    <row r="385" spans="1:23" x14ac:dyDescent="0.25">
      <c r="A385">
        <v>21243</v>
      </c>
      <c r="B385" t="s">
        <v>23</v>
      </c>
      <c r="D385">
        <v>390</v>
      </c>
      <c r="E385" t="s">
        <v>2726</v>
      </c>
      <c r="F385" t="s">
        <v>2727</v>
      </c>
      <c r="G385" t="s">
        <v>2728</v>
      </c>
      <c r="H385" t="s">
        <v>2729</v>
      </c>
      <c r="I385" t="s">
        <v>2730</v>
      </c>
      <c r="J385" t="s">
        <v>53</v>
      </c>
      <c r="K385" t="s">
        <v>2731</v>
      </c>
      <c r="L385" t="s">
        <v>43</v>
      </c>
      <c r="M385" s="2" t="s">
        <v>2732</v>
      </c>
      <c r="N385" t="s">
        <v>31</v>
      </c>
      <c r="O385" t="s">
        <v>7881</v>
      </c>
      <c r="P385" t="s">
        <v>7888</v>
      </c>
      <c r="Q385" t="s">
        <v>46</v>
      </c>
      <c r="R385" t="s">
        <v>33</v>
      </c>
      <c r="S385" t="s">
        <v>34</v>
      </c>
      <c r="T385" s="1">
        <v>552500</v>
      </c>
      <c r="U385" s="1">
        <v>110500</v>
      </c>
      <c r="V385">
        <v>0</v>
      </c>
      <c r="W385" t="s">
        <v>2733</v>
      </c>
    </row>
    <row r="386" spans="1:23" x14ac:dyDescent="0.25">
      <c r="A386">
        <v>271</v>
      </c>
      <c r="B386" t="s">
        <v>23</v>
      </c>
      <c r="D386">
        <v>391</v>
      </c>
      <c r="E386" t="s">
        <v>2734</v>
      </c>
      <c r="F386" t="s">
        <v>2735</v>
      </c>
      <c r="G386" t="s">
        <v>2736</v>
      </c>
      <c r="H386" t="s">
        <v>2737</v>
      </c>
      <c r="I386" t="s">
        <v>2738</v>
      </c>
      <c r="J386" t="s">
        <v>28</v>
      </c>
      <c r="K386" t="s">
        <v>2739</v>
      </c>
      <c r="L386" t="s">
        <v>43</v>
      </c>
      <c r="M386" s="2" t="s">
        <v>2740</v>
      </c>
      <c r="N386" t="s">
        <v>31</v>
      </c>
      <c r="O386" t="s">
        <v>7881</v>
      </c>
      <c r="P386" t="s">
        <v>7888</v>
      </c>
      <c r="Q386" t="s">
        <v>63</v>
      </c>
      <c r="R386" t="s">
        <v>33</v>
      </c>
      <c r="S386" t="s">
        <v>34</v>
      </c>
      <c r="T386" s="1">
        <v>552500</v>
      </c>
      <c r="U386" s="1">
        <v>110500</v>
      </c>
      <c r="V386">
        <v>0</v>
      </c>
      <c r="W386" t="s">
        <v>2741</v>
      </c>
    </row>
    <row r="387" spans="1:23" x14ac:dyDescent="0.25">
      <c r="A387">
        <v>4012</v>
      </c>
      <c r="B387" t="s">
        <v>23</v>
      </c>
      <c r="D387">
        <v>392</v>
      </c>
      <c r="E387" t="s">
        <v>2742</v>
      </c>
      <c r="F387" t="s">
        <v>2743</v>
      </c>
      <c r="G387" t="s">
        <v>2744</v>
      </c>
      <c r="H387" t="s">
        <v>2745</v>
      </c>
      <c r="I387" t="s">
        <v>7949</v>
      </c>
      <c r="J387" t="s">
        <v>28</v>
      </c>
      <c r="K387" t="s">
        <v>2746</v>
      </c>
      <c r="L387" t="s">
        <v>43</v>
      </c>
      <c r="M387">
        <v>7038368020</v>
      </c>
      <c r="N387" t="s">
        <v>31</v>
      </c>
      <c r="O387" t="s">
        <v>7886</v>
      </c>
      <c r="P387" t="s">
        <v>7940</v>
      </c>
      <c r="Q387" t="s">
        <v>46</v>
      </c>
      <c r="R387" t="s">
        <v>33</v>
      </c>
      <c r="S387" t="s">
        <v>34</v>
      </c>
      <c r="T387" s="1">
        <v>812500</v>
      </c>
      <c r="U387">
        <v>0</v>
      </c>
      <c r="V387" s="1">
        <v>162500</v>
      </c>
      <c r="W387" t="s">
        <v>2747</v>
      </c>
    </row>
    <row r="388" spans="1:23" x14ac:dyDescent="0.25">
      <c r="A388">
        <v>2879</v>
      </c>
      <c r="B388" t="s">
        <v>23</v>
      </c>
      <c r="D388">
        <v>393</v>
      </c>
      <c r="E388" t="s">
        <v>2748</v>
      </c>
      <c r="F388" t="s">
        <v>2749</v>
      </c>
      <c r="G388" t="s">
        <v>1545</v>
      </c>
      <c r="H388" t="s">
        <v>2750</v>
      </c>
      <c r="I388" t="s">
        <v>7991</v>
      </c>
      <c r="J388" t="s">
        <v>53</v>
      </c>
      <c r="K388" t="s">
        <v>2751</v>
      </c>
      <c r="L388" t="s">
        <v>43</v>
      </c>
      <c r="M388">
        <v>2348165777778</v>
      </c>
      <c r="N388" t="s">
        <v>31</v>
      </c>
      <c r="O388" t="s">
        <v>7886</v>
      </c>
      <c r="P388" t="s">
        <v>8026</v>
      </c>
      <c r="Q388" t="s">
        <v>63</v>
      </c>
      <c r="R388" t="s">
        <v>33</v>
      </c>
      <c r="S388" t="s">
        <v>34</v>
      </c>
      <c r="T388" s="1">
        <v>812500</v>
      </c>
      <c r="U388">
        <v>0</v>
      </c>
      <c r="V388" s="1">
        <v>162500</v>
      </c>
      <c r="W388" t="s">
        <v>2752</v>
      </c>
    </row>
    <row r="389" spans="1:23" x14ac:dyDescent="0.25">
      <c r="A389">
        <v>22359</v>
      </c>
      <c r="B389" t="s">
        <v>23</v>
      </c>
      <c r="D389">
        <v>394</v>
      </c>
      <c r="E389" t="s">
        <v>2753</v>
      </c>
      <c r="F389" t="s">
        <v>2628</v>
      </c>
      <c r="G389" t="s">
        <v>2754</v>
      </c>
      <c r="I389" t="s">
        <v>2755</v>
      </c>
      <c r="J389" t="s">
        <v>53</v>
      </c>
      <c r="K389" t="s">
        <v>2756</v>
      </c>
      <c r="L389" t="s">
        <v>43</v>
      </c>
      <c r="M389" s="2" t="s">
        <v>2757</v>
      </c>
      <c r="N389" t="s">
        <v>31</v>
      </c>
      <c r="O389" t="s">
        <v>7879</v>
      </c>
      <c r="P389" t="s">
        <v>7940</v>
      </c>
      <c r="Q389" t="s">
        <v>46</v>
      </c>
      <c r="R389" t="s">
        <v>33</v>
      </c>
      <c r="S389" t="s">
        <v>34</v>
      </c>
      <c r="T389" s="1">
        <v>195000</v>
      </c>
      <c r="U389">
        <v>0</v>
      </c>
      <c r="V389">
        <v>0</v>
      </c>
      <c r="W389" t="s">
        <v>2758</v>
      </c>
    </row>
    <row r="390" spans="1:23" x14ac:dyDescent="0.25">
      <c r="A390">
        <v>24332</v>
      </c>
      <c r="B390" t="s">
        <v>23</v>
      </c>
      <c r="D390">
        <v>395</v>
      </c>
      <c r="E390" t="s">
        <v>2759</v>
      </c>
      <c r="F390" t="s">
        <v>1935</v>
      </c>
      <c r="G390" t="s">
        <v>592</v>
      </c>
      <c r="H390" t="s">
        <v>92</v>
      </c>
      <c r="I390" t="s">
        <v>2760</v>
      </c>
      <c r="J390" t="s">
        <v>28</v>
      </c>
      <c r="K390" t="s">
        <v>2761</v>
      </c>
      <c r="L390" t="s">
        <v>43</v>
      </c>
      <c r="M390">
        <v>2348146196738</v>
      </c>
      <c r="N390" t="s">
        <v>31</v>
      </c>
      <c r="O390" t="s">
        <v>7879</v>
      </c>
      <c r="P390" t="s">
        <v>7888</v>
      </c>
      <c r="Q390" t="s">
        <v>46</v>
      </c>
      <c r="R390" t="s">
        <v>33</v>
      </c>
      <c r="S390" t="s">
        <v>34</v>
      </c>
      <c r="T390" s="1">
        <v>195000</v>
      </c>
      <c r="U390">
        <v>0</v>
      </c>
      <c r="V390">
        <v>0</v>
      </c>
      <c r="W390" t="s">
        <v>2762</v>
      </c>
    </row>
    <row r="391" spans="1:23" x14ac:dyDescent="0.25">
      <c r="A391">
        <v>24405</v>
      </c>
      <c r="B391" t="s">
        <v>23</v>
      </c>
      <c r="D391">
        <v>396</v>
      </c>
      <c r="E391" t="s">
        <v>2763</v>
      </c>
      <c r="F391" t="s">
        <v>2764</v>
      </c>
      <c r="G391" t="s">
        <v>1950</v>
      </c>
      <c r="H391" t="s">
        <v>2481</v>
      </c>
      <c r="I391" t="s">
        <v>2765</v>
      </c>
      <c r="J391" t="s">
        <v>28</v>
      </c>
      <c r="K391" t="s">
        <v>2766</v>
      </c>
      <c r="L391" t="s">
        <v>43</v>
      </c>
      <c r="M391" s="2" t="s">
        <v>2767</v>
      </c>
      <c r="N391" t="s">
        <v>31</v>
      </c>
      <c r="O391" t="s">
        <v>7879</v>
      </c>
      <c r="P391" t="s">
        <v>7940</v>
      </c>
      <c r="Q391" t="s">
        <v>46</v>
      </c>
      <c r="R391" t="s">
        <v>33</v>
      </c>
      <c r="S391" t="s">
        <v>34</v>
      </c>
      <c r="T391" s="1">
        <v>195000</v>
      </c>
      <c r="U391">
        <v>0</v>
      </c>
      <c r="V391">
        <v>0</v>
      </c>
      <c r="W391" t="s">
        <v>2768</v>
      </c>
    </row>
    <row r="392" spans="1:23" x14ac:dyDescent="0.25">
      <c r="A392">
        <v>19986</v>
      </c>
      <c r="B392" t="s">
        <v>23</v>
      </c>
      <c r="D392">
        <v>397</v>
      </c>
      <c r="E392" t="s">
        <v>2769</v>
      </c>
      <c r="F392" t="s">
        <v>543</v>
      </c>
      <c r="G392" t="s">
        <v>2770</v>
      </c>
      <c r="H392" t="s">
        <v>2771</v>
      </c>
      <c r="I392" t="s">
        <v>2772</v>
      </c>
      <c r="J392" t="s">
        <v>28</v>
      </c>
      <c r="K392" t="s">
        <v>682</v>
      </c>
      <c r="L392" t="s">
        <v>453</v>
      </c>
      <c r="M392" s="2" t="s">
        <v>2773</v>
      </c>
      <c r="N392" t="s">
        <v>45</v>
      </c>
      <c r="O392" t="s">
        <v>7881</v>
      </c>
      <c r="P392" t="s">
        <v>7893</v>
      </c>
      <c r="Q392" t="s">
        <v>455</v>
      </c>
      <c r="R392" t="s">
        <v>130</v>
      </c>
      <c r="S392" t="s">
        <v>131</v>
      </c>
      <c r="T392">
        <v>425</v>
      </c>
      <c r="U392">
        <v>0</v>
      </c>
      <c r="V392">
        <v>0</v>
      </c>
      <c r="W392" t="s">
        <v>2774</v>
      </c>
    </row>
    <row r="393" spans="1:23" x14ac:dyDescent="0.25">
      <c r="A393">
        <v>23063</v>
      </c>
      <c r="B393" t="s">
        <v>23</v>
      </c>
      <c r="D393">
        <v>398</v>
      </c>
      <c r="E393" t="s">
        <v>2775</v>
      </c>
      <c r="F393" t="s">
        <v>742</v>
      </c>
      <c r="G393" t="s">
        <v>522</v>
      </c>
      <c r="H393" t="s">
        <v>1164</v>
      </c>
      <c r="I393" t="s">
        <v>2776</v>
      </c>
      <c r="J393" t="s">
        <v>28</v>
      </c>
      <c r="K393" t="s">
        <v>2777</v>
      </c>
      <c r="L393" t="s">
        <v>43</v>
      </c>
      <c r="M393" s="2" t="s">
        <v>2778</v>
      </c>
      <c r="N393" t="s">
        <v>31</v>
      </c>
      <c r="O393" t="s">
        <v>7879</v>
      </c>
      <c r="P393" t="s">
        <v>7940</v>
      </c>
      <c r="Q393" t="s">
        <v>63</v>
      </c>
      <c r="R393" t="s">
        <v>33</v>
      </c>
      <c r="S393" t="s">
        <v>34</v>
      </c>
      <c r="T393" s="1">
        <v>195000</v>
      </c>
      <c r="U393">
        <v>0</v>
      </c>
      <c r="V393">
        <v>0</v>
      </c>
      <c r="W393" t="s">
        <v>2779</v>
      </c>
    </row>
    <row r="394" spans="1:23" x14ac:dyDescent="0.25">
      <c r="A394">
        <v>16262</v>
      </c>
      <c r="B394" t="s">
        <v>23</v>
      </c>
      <c r="D394">
        <v>399</v>
      </c>
      <c r="E394" t="s">
        <v>2780</v>
      </c>
      <c r="F394" t="s">
        <v>2781</v>
      </c>
      <c r="G394" t="s">
        <v>2782</v>
      </c>
      <c r="H394" t="s">
        <v>2783</v>
      </c>
      <c r="I394" t="s">
        <v>2784</v>
      </c>
      <c r="J394" t="s">
        <v>53</v>
      </c>
      <c r="K394" t="s">
        <v>2785</v>
      </c>
      <c r="L394" t="s">
        <v>43</v>
      </c>
      <c r="M394">
        <v>2348035921138</v>
      </c>
      <c r="N394" t="s">
        <v>2333</v>
      </c>
      <c r="O394" t="s">
        <v>7886</v>
      </c>
      <c r="P394" t="s">
        <v>7894</v>
      </c>
      <c r="Q394" t="s">
        <v>63</v>
      </c>
      <c r="R394" t="s">
        <v>33</v>
      </c>
      <c r="S394" t="s">
        <v>34</v>
      </c>
      <c r="T394" s="1">
        <v>812500</v>
      </c>
      <c r="U394">
        <v>0</v>
      </c>
      <c r="V394" s="1">
        <v>162500</v>
      </c>
      <c r="W394" t="s">
        <v>2786</v>
      </c>
    </row>
    <row r="395" spans="1:23" x14ac:dyDescent="0.25">
      <c r="A395">
        <v>22223</v>
      </c>
      <c r="B395" t="s">
        <v>23</v>
      </c>
      <c r="D395">
        <v>400</v>
      </c>
      <c r="E395" t="s">
        <v>2787</v>
      </c>
      <c r="F395" t="s">
        <v>2788</v>
      </c>
      <c r="G395" t="s">
        <v>2789</v>
      </c>
      <c r="H395" t="s">
        <v>2790</v>
      </c>
      <c r="I395" t="s">
        <v>2791</v>
      </c>
      <c r="J395" t="s">
        <v>28</v>
      </c>
      <c r="K395" t="s">
        <v>2792</v>
      </c>
      <c r="L395" t="s">
        <v>43</v>
      </c>
      <c r="M395" s="2" t="s">
        <v>2793</v>
      </c>
      <c r="N395" t="s">
        <v>31</v>
      </c>
      <c r="O395" t="s">
        <v>7879</v>
      </c>
      <c r="P395" t="s">
        <v>7893</v>
      </c>
      <c r="Q395" t="s">
        <v>46</v>
      </c>
      <c r="R395" t="s">
        <v>33</v>
      </c>
      <c r="S395" t="s">
        <v>34</v>
      </c>
      <c r="T395" s="1">
        <v>195000</v>
      </c>
      <c r="U395">
        <v>0</v>
      </c>
      <c r="V395">
        <v>0</v>
      </c>
      <c r="W395" t="s">
        <v>2794</v>
      </c>
    </row>
    <row r="396" spans="1:23" x14ac:dyDescent="0.25">
      <c r="A396">
        <v>23291</v>
      </c>
      <c r="B396" t="s">
        <v>23</v>
      </c>
      <c r="D396">
        <v>401</v>
      </c>
      <c r="E396" t="s">
        <v>2795</v>
      </c>
      <c r="F396" t="s">
        <v>2796</v>
      </c>
      <c r="G396" t="s">
        <v>2797</v>
      </c>
      <c r="H396" t="s">
        <v>2798</v>
      </c>
      <c r="I396" t="s">
        <v>2799</v>
      </c>
      <c r="J396" t="s">
        <v>53</v>
      </c>
      <c r="K396" t="s">
        <v>2800</v>
      </c>
      <c r="L396" t="s">
        <v>43</v>
      </c>
      <c r="M396" s="2" t="s">
        <v>2801</v>
      </c>
      <c r="N396" t="s">
        <v>45</v>
      </c>
      <c r="O396" t="s">
        <v>7879</v>
      </c>
      <c r="P396" t="s">
        <v>7940</v>
      </c>
      <c r="Q396" t="s">
        <v>87</v>
      </c>
      <c r="R396" t="s">
        <v>33</v>
      </c>
      <c r="S396" t="s">
        <v>34</v>
      </c>
      <c r="T396" s="1">
        <v>195000</v>
      </c>
      <c r="U396">
        <v>0</v>
      </c>
      <c r="V396">
        <v>0</v>
      </c>
      <c r="W396" t="s">
        <v>2802</v>
      </c>
    </row>
    <row r="397" spans="1:23" x14ac:dyDescent="0.25">
      <c r="A397">
        <v>18795</v>
      </c>
      <c r="B397" t="s">
        <v>23</v>
      </c>
      <c r="D397">
        <v>402</v>
      </c>
      <c r="E397" t="s">
        <v>2803</v>
      </c>
      <c r="F397" t="s">
        <v>2804</v>
      </c>
      <c r="G397" t="s">
        <v>234</v>
      </c>
      <c r="H397" t="s">
        <v>2805</v>
      </c>
      <c r="I397" t="s">
        <v>7950</v>
      </c>
      <c r="J397" t="s">
        <v>28</v>
      </c>
      <c r="K397" t="s">
        <v>2806</v>
      </c>
      <c r="L397" t="s">
        <v>43</v>
      </c>
      <c r="M397" s="2" t="s">
        <v>2807</v>
      </c>
      <c r="N397" t="s">
        <v>31</v>
      </c>
      <c r="O397" t="s">
        <v>7886</v>
      </c>
      <c r="P397" t="s">
        <v>7940</v>
      </c>
      <c r="Q397" t="s">
        <v>46</v>
      </c>
      <c r="R397" t="s">
        <v>33</v>
      </c>
      <c r="S397" t="s">
        <v>34</v>
      </c>
      <c r="T397" s="1">
        <v>812500</v>
      </c>
      <c r="U397">
        <v>0</v>
      </c>
      <c r="V397" s="1">
        <v>162500</v>
      </c>
      <c r="W397" t="s">
        <v>2808</v>
      </c>
    </row>
    <row r="398" spans="1:23" x14ac:dyDescent="0.25">
      <c r="A398">
        <v>18072</v>
      </c>
      <c r="B398" t="s">
        <v>23</v>
      </c>
      <c r="D398">
        <v>403</v>
      </c>
      <c r="E398" t="s">
        <v>2809</v>
      </c>
      <c r="F398" t="s">
        <v>426</v>
      </c>
      <c r="G398" t="s">
        <v>390</v>
      </c>
      <c r="H398" t="s">
        <v>2810</v>
      </c>
      <c r="I398" t="s">
        <v>7907</v>
      </c>
      <c r="J398" t="s">
        <v>28</v>
      </c>
      <c r="K398" t="s">
        <v>1923</v>
      </c>
      <c r="L398" t="s">
        <v>43</v>
      </c>
      <c r="M398" s="2" t="s">
        <v>2811</v>
      </c>
      <c r="N398" t="s">
        <v>45</v>
      </c>
      <c r="O398" t="s">
        <v>7881</v>
      </c>
      <c r="P398" t="s">
        <v>7893</v>
      </c>
      <c r="Q398" t="s">
        <v>87</v>
      </c>
      <c r="R398" t="s">
        <v>33</v>
      </c>
      <c r="S398" t="s">
        <v>34</v>
      </c>
      <c r="T398" s="1">
        <v>552500</v>
      </c>
      <c r="U398">
        <v>0</v>
      </c>
      <c r="V398">
        <v>0</v>
      </c>
      <c r="W398" t="s">
        <v>2812</v>
      </c>
    </row>
    <row r="399" spans="1:23" x14ac:dyDescent="0.25">
      <c r="A399">
        <v>9992</v>
      </c>
      <c r="B399" t="s">
        <v>23</v>
      </c>
      <c r="D399">
        <v>404</v>
      </c>
      <c r="E399" t="s">
        <v>2813</v>
      </c>
      <c r="F399" t="s">
        <v>2814</v>
      </c>
      <c r="G399" t="s">
        <v>398</v>
      </c>
      <c r="H399" t="s">
        <v>143</v>
      </c>
      <c r="I399" t="s">
        <v>2815</v>
      </c>
      <c r="J399" t="s">
        <v>28</v>
      </c>
      <c r="K399" t="s">
        <v>2816</v>
      </c>
      <c r="L399" t="s">
        <v>43</v>
      </c>
      <c r="M399" s="2" t="s">
        <v>2817</v>
      </c>
      <c r="N399" t="s">
        <v>45</v>
      </c>
      <c r="O399" t="s">
        <v>7881</v>
      </c>
      <c r="P399" t="s">
        <v>7981</v>
      </c>
      <c r="Q399" t="s">
        <v>63</v>
      </c>
      <c r="R399" t="s">
        <v>33</v>
      </c>
      <c r="S399" t="s">
        <v>34</v>
      </c>
      <c r="T399" s="1">
        <v>552500</v>
      </c>
      <c r="U399">
        <v>0</v>
      </c>
      <c r="V399">
        <v>0</v>
      </c>
      <c r="W399" t="s">
        <v>2818</v>
      </c>
    </row>
    <row r="400" spans="1:23" x14ac:dyDescent="0.25">
      <c r="A400">
        <v>1343</v>
      </c>
      <c r="B400" t="s">
        <v>23</v>
      </c>
      <c r="D400">
        <v>405</v>
      </c>
      <c r="E400" t="s">
        <v>2819</v>
      </c>
      <c r="F400" t="s">
        <v>2820</v>
      </c>
      <c r="G400" t="s">
        <v>1299</v>
      </c>
      <c r="H400" t="s">
        <v>2821</v>
      </c>
      <c r="I400" t="s">
        <v>7915</v>
      </c>
      <c r="J400" t="s">
        <v>28</v>
      </c>
      <c r="K400" t="s">
        <v>2822</v>
      </c>
      <c r="L400" t="s">
        <v>43</v>
      </c>
      <c r="M400">
        <v>8067822925</v>
      </c>
      <c r="N400" t="s">
        <v>31</v>
      </c>
      <c r="O400" t="s">
        <v>7886</v>
      </c>
      <c r="P400" t="s">
        <v>7903</v>
      </c>
      <c r="Q400" t="s">
        <v>46</v>
      </c>
      <c r="R400" t="s">
        <v>33</v>
      </c>
      <c r="S400" t="s">
        <v>34</v>
      </c>
      <c r="T400" s="1">
        <v>812500</v>
      </c>
      <c r="U400">
        <v>0</v>
      </c>
      <c r="V400" s="1">
        <v>162500</v>
      </c>
      <c r="W400" t="s">
        <v>2823</v>
      </c>
    </row>
    <row r="401" spans="1:23" x14ac:dyDescent="0.25">
      <c r="A401">
        <v>10804</v>
      </c>
      <c r="B401" t="s">
        <v>23</v>
      </c>
      <c r="D401">
        <v>406</v>
      </c>
      <c r="E401" t="s">
        <v>2824</v>
      </c>
      <c r="F401" t="s">
        <v>2825</v>
      </c>
      <c r="G401" t="s">
        <v>2826</v>
      </c>
      <c r="H401" t="s">
        <v>2827</v>
      </c>
      <c r="I401" t="s">
        <v>2828</v>
      </c>
      <c r="J401" t="s">
        <v>28</v>
      </c>
      <c r="K401" t="s">
        <v>2829</v>
      </c>
      <c r="L401" t="s">
        <v>43</v>
      </c>
      <c r="M401" s="2" t="s">
        <v>2830</v>
      </c>
      <c r="N401" t="s">
        <v>31</v>
      </c>
      <c r="O401" t="s">
        <v>7881</v>
      </c>
      <c r="P401" t="s">
        <v>7981</v>
      </c>
      <c r="Q401" t="s">
        <v>46</v>
      </c>
      <c r="R401" t="s">
        <v>33</v>
      </c>
      <c r="S401" t="s">
        <v>34</v>
      </c>
      <c r="T401" s="1">
        <v>552500</v>
      </c>
      <c r="U401">
        <v>0</v>
      </c>
      <c r="V401">
        <v>0</v>
      </c>
      <c r="W401" t="s">
        <v>2831</v>
      </c>
    </row>
    <row r="402" spans="1:23" x14ac:dyDescent="0.25">
      <c r="A402">
        <v>22456</v>
      </c>
      <c r="B402" t="s">
        <v>1627</v>
      </c>
      <c r="C402" t="s">
        <v>2832</v>
      </c>
      <c r="D402">
        <v>407</v>
      </c>
      <c r="E402" t="s">
        <v>2833</v>
      </c>
      <c r="F402" t="s">
        <v>2834</v>
      </c>
      <c r="G402" t="s">
        <v>2835</v>
      </c>
      <c r="H402" t="s">
        <v>2836</v>
      </c>
      <c r="I402" t="s">
        <v>2837</v>
      </c>
      <c r="J402" t="s">
        <v>28</v>
      </c>
      <c r="K402" t="s">
        <v>312</v>
      </c>
      <c r="L402" t="s">
        <v>43</v>
      </c>
      <c r="M402" s="2" t="s">
        <v>2838</v>
      </c>
      <c r="N402" t="s">
        <v>31</v>
      </c>
      <c r="O402" t="s">
        <v>7881</v>
      </c>
      <c r="P402" t="s">
        <v>7981</v>
      </c>
      <c r="Q402" t="s">
        <v>63</v>
      </c>
      <c r="R402" t="s">
        <v>33</v>
      </c>
      <c r="S402" t="s">
        <v>34</v>
      </c>
      <c r="T402" s="1">
        <v>552500</v>
      </c>
      <c r="U402">
        <v>0</v>
      </c>
      <c r="V402">
        <v>0</v>
      </c>
      <c r="W402" t="s">
        <v>2839</v>
      </c>
    </row>
    <row r="403" spans="1:23" x14ac:dyDescent="0.25">
      <c r="A403">
        <v>21398</v>
      </c>
      <c r="B403" t="s">
        <v>1627</v>
      </c>
      <c r="C403" t="s">
        <v>2840</v>
      </c>
      <c r="D403">
        <v>408</v>
      </c>
      <c r="E403" t="s">
        <v>2841</v>
      </c>
      <c r="F403" t="s">
        <v>2842</v>
      </c>
      <c r="G403" t="s">
        <v>2843</v>
      </c>
      <c r="H403" t="s">
        <v>465</v>
      </c>
      <c r="I403" t="s">
        <v>2844</v>
      </c>
      <c r="J403" t="s">
        <v>53</v>
      </c>
      <c r="K403" t="s">
        <v>2845</v>
      </c>
      <c r="L403" t="s">
        <v>43</v>
      </c>
      <c r="M403" s="2" t="s">
        <v>2846</v>
      </c>
      <c r="N403" t="s">
        <v>31</v>
      </c>
      <c r="O403" t="s">
        <v>7881</v>
      </c>
      <c r="P403" t="s">
        <v>7981</v>
      </c>
      <c r="Q403" t="s">
        <v>46</v>
      </c>
      <c r="R403" t="s">
        <v>33</v>
      </c>
      <c r="S403" t="s">
        <v>34</v>
      </c>
      <c r="T403" s="1">
        <v>552500</v>
      </c>
      <c r="U403">
        <v>0</v>
      </c>
      <c r="V403">
        <v>0</v>
      </c>
      <c r="W403" t="s">
        <v>2847</v>
      </c>
    </row>
    <row r="404" spans="1:23" x14ac:dyDescent="0.25">
      <c r="A404">
        <v>19349</v>
      </c>
      <c r="B404" t="s">
        <v>23</v>
      </c>
      <c r="D404">
        <v>409</v>
      </c>
      <c r="E404" t="s">
        <v>2848</v>
      </c>
      <c r="F404" t="s">
        <v>2849</v>
      </c>
      <c r="G404" t="s">
        <v>2850</v>
      </c>
      <c r="H404" t="s">
        <v>2851</v>
      </c>
      <c r="I404" t="s">
        <v>2852</v>
      </c>
      <c r="J404" t="s">
        <v>28</v>
      </c>
      <c r="K404" t="s">
        <v>2853</v>
      </c>
      <c r="L404" t="s">
        <v>43</v>
      </c>
      <c r="M404" s="2" t="s">
        <v>2854</v>
      </c>
      <c r="N404" t="s">
        <v>31</v>
      </c>
      <c r="O404" t="s">
        <v>7881</v>
      </c>
      <c r="P404" t="s">
        <v>7940</v>
      </c>
      <c r="Q404" t="s">
        <v>63</v>
      </c>
      <c r="R404" t="s">
        <v>33</v>
      </c>
      <c r="S404" t="s">
        <v>34</v>
      </c>
      <c r="T404" s="1">
        <v>552500</v>
      </c>
      <c r="U404">
        <v>0</v>
      </c>
      <c r="V404">
        <v>0</v>
      </c>
      <c r="W404" t="s">
        <v>2855</v>
      </c>
    </row>
    <row r="405" spans="1:23" x14ac:dyDescent="0.25">
      <c r="A405">
        <v>11990</v>
      </c>
      <c r="B405" t="s">
        <v>23</v>
      </c>
      <c r="D405">
        <v>410</v>
      </c>
      <c r="E405" t="s">
        <v>2856</v>
      </c>
      <c r="F405" t="s">
        <v>2857</v>
      </c>
      <c r="G405" t="s">
        <v>1692</v>
      </c>
      <c r="H405" t="s">
        <v>2858</v>
      </c>
      <c r="I405" t="s">
        <v>2859</v>
      </c>
      <c r="J405" t="s">
        <v>28</v>
      </c>
      <c r="K405" t="s">
        <v>2860</v>
      </c>
      <c r="L405" t="s">
        <v>43</v>
      </c>
      <c r="M405" s="2" t="s">
        <v>2861</v>
      </c>
      <c r="N405" t="s">
        <v>45</v>
      </c>
      <c r="O405" t="s">
        <v>7881</v>
      </c>
      <c r="P405" t="s">
        <v>7893</v>
      </c>
      <c r="Q405" t="s">
        <v>46</v>
      </c>
      <c r="R405" t="s">
        <v>33</v>
      </c>
      <c r="S405" t="s">
        <v>34</v>
      </c>
      <c r="T405" s="1">
        <v>552500</v>
      </c>
      <c r="U405">
        <v>0</v>
      </c>
      <c r="V405">
        <v>0</v>
      </c>
      <c r="W405" t="s">
        <v>2862</v>
      </c>
    </row>
    <row r="406" spans="1:23" x14ac:dyDescent="0.25">
      <c r="A406">
        <v>24421</v>
      </c>
      <c r="B406" t="s">
        <v>23</v>
      </c>
      <c r="D406">
        <v>411</v>
      </c>
      <c r="E406" t="s">
        <v>2863</v>
      </c>
      <c r="F406" t="s">
        <v>2864</v>
      </c>
      <c r="G406" t="s">
        <v>2199</v>
      </c>
      <c r="H406" t="s">
        <v>307</v>
      </c>
      <c r="I406" t="s">
        <v>2865</v>
      </c>
      <c r="J406" t="s">
        <v>53</v>
      </c>
      <c r="K406" t="s">
        <v>2200</v>
      </c>
      <c r="L406" t="s">
        <v>43</v>
      </c>
      <c r="M406" s="2" t="s">
        <v>2201</v>
      </c>
      <c r="N406" t="s">
        <v>31</v>
      </c>
      <c r="O406" t="s">
        <v>7879</v>
      </c>
      <c r="P406" t="s">
        <v>7888</v>
      </c>
      <c r="Q406" t="s">
        <v>87</v>
      </c>
      <c r="R406" t="s">
        <v>33</v>
      </c>
      <c r="S406" t="s">
        <v>34</v>
      </c>
      <c r="T406" s="1">
        <v>195000</v>
      </c>
      <c r="U406">
        <v>0</v>
      </c>
      <c r="V406">
        <v>0</v>
      </c>
      <c r="W406" t="s">
        <v>2866</v>
      </c>
    </row>
    <row r="407" spans="1:23" x14ac:dyDescent="0.25">
      <c r="A407">
        <v>6062</v>
      </c>
      <c r="B407" t="s">
        <v>23</v>
      </c>
      <c r="D407">
        <v>412</v>
      </c>
      <c r="E407" t="s">
        <v>2867</v>
      </c>
      <c r="F407" t="s">
        <v>2868</v>
      </c>
      <c r="G407" t="s">
        <v>2869</v>
      </c>
      <c r="H407" t="s">
        <v>2870</v>
      </c>
      <c r="I407" t="s">
        <v>2871</v>
      </c>
      <c r="J407" t="s">
        <v>28</v>
      </c>
      <c r="K407" t="s">
        <v>2872</v>
      </c>
      <c r="L407" t="s">
        <v>43</v>
      </c>
      <c r="M407" s="2" t="s">
        <v>2873</v>
      </c>
      <c r="N407" t="s">
        <v>1207</v>
      </c>
      <c r="O407" t="s">
        <v>7886</v>
      </c>
      <c r="P407" t="s">
        <v>7900</v>
      </c>
      <c r="Q407" t="s">
        <v>63</v>
      </c>
      <c r="R407" t="s">
        <v>33</v>
      </c>
      <c r="S407" t="s">
        <v>34</v>
      </c>
      <c r="T407" s="1">
        <v>812500</v>
      </c>
      <c r="U407">
        <v>0</v>
      </c>
      <c r="V407" s="1">
        <v>162500</v>
      </c>
      <c r="W407" t="s">
        <v>2874</v>
      </c>
    </row>
    <row r="408" spans="1:23" x14ac:dyDescent="0.25">
      <c r="A408">
        <v>971</v>
      </c>
      <c r="B408" t="s">
        <v>23</v>
      </c>
      <c r="D408">
        <v>413</v>
      </c>
      <c r="E408" t="s">
        <v>2875</v>
      </c>
      <c r="F408" t="s">
        <v>1914</v>
      </c>
      <c r="G408" t="s">
        <v>2876</v>
      </c>
      <c r="H408" t="s">
        <v>196</v>
      </c>
      <c r="I408" t="s">
        <v>2877</v>
      </c>
      <c r="J408" t="s">
        <v>28</v>
      </c>
      <c r="K408" t="s">
        <v>2878</v>
      </c>
      <c r="L408" t="s">
        <v>43</v>
      </c>
      <c r="M408">
        <v>8037852557</v>
      </c>
      <c r="N408" t="s">
        <v>31</v>
      </c>
      <c r="O408" t="s">
        <v>7886</v>
      </c>
      <c r="P408" t="s">
        <v>7888</v>
      </c>
      <c r="Q408" t="s">
        <v>63</v>
      </c>
      <c r="R408" t="s">
        <v>33</v>
      </c>
      <c r="S408" t="s">
        <v>34</v>
      </c>
      <c r="T408" s="1">
        <v>812500</v>
      </c>
      <c r="U408">
        <v>0</v>
      </c>
      <c r="V408" s="1">
        <v>162500</v>
      </c>
      <c r="W408" t="s">
        <v>2879</v>
      </c>
    </row>
    <row r="409" spans="1:23" x14ac:dyDescent="0.25">
      <c r="A409">
        <v>18020</v>
      </c>
      <c r="B409" t="s">
        <v>23</v>
      </c>
      <c r="D409">
        <v>414</v>
      </c>
      <c r="E409" t="s">
        <v>2880</v>
      </c>
      <c r="F409" t="s">
        <v>2881</v>
      </c>
      <c r="G409" t="s">
        <v>399</v>
      </c>
      <c r="H409" t="s">
        <v>398</v>
      </c>
      <c r="I409" t="s">
        <v>2882</v>
      </c>
      <c r="J409" t="s">
        <v>28</v>
      </c>
      <c r="K409" t="s">
        <v>2883</v>
      </c>
      <c r="L409" t="s">
        <v>43</v>
      </c>
      <c r="M409" s="2" t="s">
        <v>2884</v>
      </c>
      <c r="N409" t="s">
        <v>31</v>
      </c>
      <c r="O409" t="s">
        <v>7881</v>
      </c>
      <c r="P409" t="s">
        <v>7978</v>
      </c>
      <c r="Q409" t="s">
        <v>63</v>
      </c>
      <c r="R409" t="s">
        <v>33</v>
      </c>
      <c r="S409" t="s">
        <v>34</v>
      </c>
      <c r="T409" s="1">
        <v>552500</v>
      </c>
      <c r="U409" s="1">
        <v>110500</v>
      </c>
      <c r="V409">
        <v>0</v>
      </c>
      <c r="W409" t="s">
        <v>2885</v>
      </c>
    </row>
    <row r="410" spans="1:23" x14ac:dyDescent="0.25">
      <c r="A410">
        <v>9698</v>
      </c>
      <c r="B410" t="s">
        <v>23</v>
      </c>
      <c r="D410">
        <v>415</v>
      </c>
      <c r="E410" t="s">
        <v>2886</v>
      </c>
      <c r="F410" t="s">
        <v>2887</v>
      </c>
      <c r="G410" t="s">
        <v>2888</v>
      </c>
      <c r="H410" t="s">
        <v>2889</v>
      </c>
      <c r="I410" t="s">
        <v>2890</v>
      </c>
      <c r="J410" t="s">
        <v>53</v>
      </c>
      <c r="K410" t="s">
        <v>2325</v>
      </c>
      <c r="L410" t="s">
        <v>43</v>
      </c>
      <c r="M410">
        <v>8063585294</v>
      </c>
      <c r="N410" t="s">
        <v>31</v>
      </c>
      <c r="O410" t="s">
        <v>7881</v>
      </c>
      <c r="P410" t="s">
        <v>7888</v>
      </c>
      <c r="Q410" t="s">
        <v>87</v>
      </c>
      <c r="R410" t="s">
        <v>130</v>
      </c>
      <c r="S410" t="s">
        <v>131</v>
      </c>
      <c r="T410">
        <v>425</v>
      </c>
      <c r="U410">
        <v>85</v>
      </c>
      <c r="V410">
        <v>0</v>
      </c>
      <c r="W410" t="s">
        <v>2891</v>
      </c>
    </row>
    <row r="411" spans="1:23" x14ac:dyDescent="0.25">
      <c r="A411">
        <v>7712</v>
      </c>
      <c r="B411" t="s">
        <v>23</v>
      </c>
      <c r="D411">
        <v>416</v>
      </c>
      <c r="E411" t="s">
        <v>2892</v>
      </c>
      <c r="F411" t="s">
        <v>382</v>
      </c>
      <c r="G411" t="s">
        <v>2640</v>
      </c>
      <c r="H411" t="s">
        <v>196</v>
      </c>
      <c r="I411" t="s">
        <v>7951</v>
      </c>
      <c r="J411" t="s">
        <v>53</v>
      </c>
      <c r="K411" t="s">
        <v>2483</v>
      </c>
      <c r="L411" t="s">
        <v>43</v>
      </c>
      <c r="M411">
        <v>2348034530255</v>
      </c>
      <c r="N411" t="s">
        <v>1207</v>
      </c>
      <c r="O411" t="s">
        <v>7886</v>
      </c>
      <c r="P411" t="s">
        <v>7940</v>
      </c>
      <c r="Q411" t="s">
        <v>46</v>
      </c>
      <c r="R411" t="s">
        <v>33</v>
      </c>
      <c r="S411" t="s">
        <v>34</v>
      </c>
      <c r="T411" s="1">
        <v>812500</v>
      </c>
      <c r="U411">
        <v>0</v>
      </c>
      <c r="V411" s="1">
        <v>162500</v>
      </c>
      <c r="W411" t="s">
        <v>2893</v>
      </c>
    </row>
    <row r="412" spans="1:23" x14ac:dyDescent="0.25">
      <c r="A412">
        <v>18711</v>
      </c>
      <c r="B412" t="s">
        <v>23</v>
      </c>
      <c r="D412">
        <v>417</v>
      </c>
      <c r="E412" t="s">
        <v>2894</v>
      </c>
      <c r="F412" t="s">
        <v>2895</v>
      </c>
      <c r="G412" t="s">
        <v>390</v>
      </c>
      <c r="H412" t="s">
        <v>2896</v>
      </c>
      <c r="I412" t="s">
        <v>2897</v>
      </c>
      <c r="J412" t="s">
        <v>28</v>
      </c>
      <c r="K412" t="s">
        <v>2898</v>
      </c>
      <c r="L412" t="s">
        <v>43</v>
      </c>
      <c r="M412" s="2" t="s">
        <v>2899</v>
      </c>
      <c r="N412" t="s">
        <v>31</v>
      </c>
      <c r="O412" t="s">
        <v>7881</v>
      </c>
      <c r="P412" t="s">
        <v>7940</v>
      </c>
      <c r="Q412" t="s">
        <v>63</v>
      </c>
      <c r="R412" t="s">
        <v>33</v>
      </c>
      <c r="S412" t="s">
        <v>34</v>
      </c>
      <c r="T412" s="1">
        <v>552500</v>
      </c>
      <c r="U412">
        <v>0</v>
      </c>
      <c r="V412">
        <v>0</v>
      </c>
      <c r="W412" t="s">
        <v>2900</v>
      </c>
    </row>
    <row r="413" spans="1:23" x14ac:dyDescent="0.25">
      <c r="A413">
        <v>24351</v>
      </c>
      <c r="B413" t="s">
        <v>23</v>
      </c>
      <c r="D413">
        <v>418</v>
      </c>
      <c r="E413" t="s">
        <v>2901</v>
      </c>
      <c r="F413" t="s">
        <v>2902</v>
      </c>
      <c r="G413" t="s">
        <v>672</v>
      </c>
      <c r="H413" t="s">
        <v>2903</v>
      </c>
      <c r="I413" s="2" t="s">
        <v>2904</v>
      </c>
      <c r="J413" t="s">
        <v>53</v>
      </c>
      <c r="K413" t="s">
        <v>2905</v>
      </c>
      <c r="L413" t="s">
        <v>453</v>
      </c>
      <c r="M413" s="2" t="s">
        <v>2904</v>
      </c>
      <c r="N413" t="s">
        <v>31</v>
      </c>
      <c r="O413" t="s">
        <v>7879</v>
      </c>
      <c r="P413" t="s">
        <v>7888</v>
      </c>
      <c r="Q413" t="s">
        <v>455</v>
      </c>
      <c r="R413" t="s">
        <v>130</v>
      </c>
      <c r="S413" t="s">
        <v>131</v>
      </c>
      <c r="T413">
        <v>150</v>
      </c>
      <c r="U413">
        <v>0</v>
      </c>
      <c r="V413">
        <v>0</v>
      </c>
      <c r="W413" t="s">
        <v>2906</v>
      </c>
    </row>
    <row r="414" spans="1:23" x14ac:dyDescent="0.25">
      <c r="A414">
        <v>8574</v>
      </c>
      <c r="B414" t="s">
        <v>23</v>
      </c>
      <c r="D414">
        <v>419</v>
      </c>
      <c r="E414" t="s">
        <v>2907</v>
      </c>
      <c r="F414" t="s">
        <v>2908</v>
      </c>
      <c r="G414" t="s">
        <v>2909</v>
      </c>
      <c r="H414" t="s">
        <v>2910</v>
      </c>
      <c r="I414" t="s">
        <v>7952</v>
      </c>
      <c r="J414" t="s">
        <v>53</v>
      </c>
      <c r="K414" t="s">
        <v>2911</v>
      </c>
      <c r="L414" t="s">
        <v>43</v>
      </c>
      <c r="M414">
        <v>2348134598862</v>
      </c>
      <c r="N414" t="s">
        <v>45</v>
      </c>
      <c r="O414" t="s">
        <v>7881</v>
      </c>
      <c r="P414" t="s">
        <v>7940</v>
      </c>
      <c r="Q414" t="s">
        <v>63</v>
      </c>
      <c r="R414" t="s">
        <v>33</v>
      </c>
      <c r="S414" t="s">
        <v>34</v>
      </c>
      <c r="T414" s="1">
        <v>552500</v>
      </c>
      <c r="U414">
        <v>0</v>
      </c>
      <c r="V414">
        <v>0</v>
      </c>
      <c r="W414" t="s">
        <v>2912</v>
      </c>
    </row>
    <row r="415" spans="1:23" x14ac:dyDescent="0.25">
      <c r="A415">
        <v>24150</v>
      </c>
      <c r="B415" t="s">
        <v>23</v>
      </c>
      <c r="D415">
        <v>420</v>
      </c>
      <c r="E415" t="s">
        <v>2913</v>
      </c>
      <c r="F415" t="s">
        <v>2914</v>
      </c>
      <c r="G415" t="s">
        <v>398</v>
      </c>
      <c r="H415" t="s">
        <v>2915</v>
      </c>
      <c r="I415" t="s">
        <v>2916</v>
      </c>
      <c r="J415" t="s">
        <v>28</v>
      </c>
      <c r="K415" t="s">
        <v>2917</v>
      </c>
      <c r="L415" t="s">
        <v>43</v>
      </c>
      <c r="M415" s="2" t="s">
        <v>2918</v>
      </c>
      <c r="N415" t="s">
        <v>31</v>
      </c>
      <c r="O415" t="s">
        <v>7879</v>
      </c>
      <c r="P415" t="s">
        <v>7981</v>
      </c>
      <c r="Q415" t="s">
        <v>63</v>
      </c>
      <c r="R415" t="s">
        <v>33</v>
      </c>
      <c r="S415" t="s">
        <v>34</v>
      </c>
      <c r="T415" s="1">
        <v>195000</v>
      </c>
      <c r="U415">
        <v>0</v>
      </c>
      <c r="V415">
        <v>0</v>
      </c>
      <c r="W415" t="s">
        <v>2919</v>
      </c>
    </row>
    <row r="416" spans="1:23" x14ac:dyDescent="0.25">
      <c r="A416">
        <v>23773</v>
      </c>
      <c r="B416" t="s">
        <v>23</v>
      </c>
      <c r="D416">
        <v>421</v>
      </c>
      <c r="E416" t="s">
        <v>2920</v>
      </c>
      <c r="F416" t="s">
        <v>2921</v>
      </c>
      <c r="G416" t="s">
        <v>2922</v>
      </c>
      <c r="H416" t="s">
        <v>2923</v>
      </c>
      <c r="I416" t="s">
        <v>2924</v>
      </c>
      <c r="J416" t="s">
        <v>53</v>
      </c>
      <c r="K416" t="s">
        <v>2340</v>
      </c>
      <c r="L416" t="s">
        <v>43</v>
      </c>
      <c r="M416" s="2" t="s">
        <v>2925</v>
      </c>
      <c r="N416" t="s">
        <v>31</v>
      </c>
      <c r="O416" t="s">
        <v>7879</v>
      </c>
      <c r="P416" t="s">
        <v>7893</v>
      </c>
      <c r="Q416" t="s">
        <v>87</v>
      </c>
      <c r="R416" t="s">
        <v>33</v>
      </c>
      <c r="S416" t="s">
        <v>34</v>
      </c>
      <c r="T416" s="1">
        <v>195000</v>
      </c>
      <c r="U416">
        <v>0</v>
      </c>
      <c r="V416">
        <v>0</v>
      </c>
      <c r="W416" t="s">
        <v>2926</v>
      </c>
    </row>
    <row r="417" spans="1:23" x14ac:dyDescent="0.25">
      <c r="A417">
        <v>24145</v>
      </c>
      <c r="B417" t="s">
        <v>23</v>
      </c>
      <c r="D417">
        <v>422</v>
      </c>
      <c r="E417" t="s">
        <v>2927</v>
      </c>
      <c r="F417" t="s">
        <v>2928</v>
      </c>
      <c r="G417" t="s">
        <v>2929</v>
      </c>
      <c r="H417" t="s">
        <v>2930</v>
      </c>
      <c r="I417" t="s">
        <v>2931</v>
      </c>
      <c r="J417" t="s">
        <v>28</v>
      </c>
      <c r="K417" t="s">
        <v>2044</v>
      </c>
      <c r="L417" t="s">
        <v>43</v>
      </c>
      <c r="M417" s="2" t="s">
        <v>2932</v>
      </c>
      <c r="N417" t="s">
        <v>31</v>
      </c>
      <c r="O417" t="s">
        <v>7879</v>
      </c>
      <c r="P417" t="s">
        <v>8028</v>
      </c>
      <c r="Q417" t="s">
        <v>63</v>
      </c>
      <c r="R417" t="s">
        <v>33</v>
      </c>
      <c r="S417" t="s">
        <v>34</v>
      </c>
      <c r="T417" s="1">
        <v>195000</v>
      </c>
      <c r="U417">
        <v>0</v>
      </c>
      <c r="V417">
        <v>0</v>
      </c>
      <c r="W417" t="s">
        <v>2933</v>
      </c>
    </row>
    <row r="418" spans="1:23" x14ac:dyDescent="0.25">
      <c r="A418">
        <v>2700</v>
      </c>
      <c r="B418" t="s">
        <v>23</v>
      </c>
      <c r="D418">
        <v>423</v>
      </c>
      <c r="E418" t="s">
        <v>2934</v>
      </c>
      <c r="F418" t="s">
        <v>2935</v>
      </c>
      <c r="G418" t="s">
        <v>2936</v>
      </c>
      <c r="H418" t="s">
        <v>2937</v>
      </c>
      <c r="I418" t="s">
        <v>2938</v>
      </c>
      <c r="J418" t="s">
        <v>28</v>
      </c>
      <c r="K418" t="s">
        <v>2939</v>
      </c>
      <c r="L418" t="s">
        <v>453</v>
      </c>
      <c r="M418">
        <v>209844142</v>
      </c>
      <c r="N418" t="s">
        <v>31</v>
      </c>
      <c r="O418" t="s">
        <v>7886</v>
      </c>
      <c r="P418" t="s">
        <v>7981</v>
      </c>
      <c r="Q418" t="s">
        <v>455</v>
      </c>
      <c r="R418" t="s">
        <v>130</v>
      </c>
      <c r="S418" t="s">
        <v>131</v>
      </c>
      <c r="T418">
        <v>625</v>
      </c>
      <c r="U418">
        <v>0</v>
      </c>
      <c r="V418">
        <v>125</v>
      </c>
      <c r="W418" t="s">
        <v>2940</v>
      </c>
    </row>
    <row r="419" spans="1:23" x14ac:dyDescent="0.25">
      <c r="A419">
        <v>5283</v>
      </c>
      <c r="B419" t="s">
        <v>23</v>
      </c>
      <c r="D419">
        <v>424</v>
      </c>
      <c r="E419" t="s">
        <v>2941</v>
      </c>
      <c r="F419" t="s">
        <v>2942</v>
      </c>
      <c r="G419" t="s">
        <v>2943</v>
      </c>
      <c r="H419" t="s">
        <v>2944</v>
      </c>
      <c r="I419" t="s">
        <v>2945</v>
      </c>
      <c r="J419" t="s">
        <v>53</v>
      </c>
      <c r="K419" t="s">
        <v>2946</v>
      </c>
      <c r="L419" t="s">
        <v>43</v>
      </c>
      <c r="M419">
        <v>8039133709</v>
      </c>
      <c r="N419" t="s">
        <v>31</v>
      </c>
      <c r="O419" t="s">
        <v>7886</v>
      </c>
      <c r="P419" t="s">
        <v>7940</v>
      </c>
      <c r="Q419" t="s">
        <v>63</v>
      </c>
      <c r="R419" t="s">
        <v>33</v>
      </c>
      <c r="S419" t="s">
        <v>34</v>
      </c>
      <c r="T419" s="1">
        <v>812500</v>
      </c>
      <c r="U419">
        <v>0</v>
      </c>
      <c r="V419" s="1">
        <v>162500</v>
      </c>
      <c r="W419" t="s">
        <v>2947</v>
      </c>
    </row>
    <row r="420" spans="1:23" x14ac:dyDescent="0.25">
      <c r="A420">
        <v>24371</v>
      </c>
      <c r="B420" t="s">
        <v>23</v>
      </c>
      <c r="D420">
        <v>425</v>
      </c>
      <c r="E420" t="s">
        <v>2948</v>
      </c>
      <c r="F420" t="s">
        <v>2949</v>
      </c>
      <c r="G420" t="s">
        <v>2950</v>
      </c>
      <c r="H420" t="s">
        <v>2951</v>
      </c>
      <c r="I420" s="2" t="s">
        <v>2952</v>
      </c>
      <c r="J420" t="s">
        <v>53</v>
      </c>
      <c r="K420" t="s">
        <v>2953</v>
      </c>
      <c r="L420" t="s">
        <v>43</v>
      </c>
      <c r="M420" s="2" t="s">
        <v>2952</v>
      </c>
      <c r="N420" t="s">
        <v>31</v>
      </c>
      <c r="O420" t="s">
        <v>7879</v>
      </c>
      <c r="P420" t="s">
        <v>7893</v>
      </c>
      <c r="Q420" t="s">
        <v>63</v>
      </c>
      <c r="R420" t="s">
        <v>33</v>
      </c>
      <c r="S420" t="s">
        <v>34</v>
      </c>
      <c r="T420" s="1">
        <v>195000</v>
      </c>
      <c r="U420">
        <v>0</v>
      </c>
      <c r="V420">
        <v>0</v>
      </c>
      <c r="W420" t="s">
        <v>2954</v>
      </c>
    </row>
    <row r="421" spans="1:23" x14ac:dyDescent="0.25">
      <c r="A421">
        <v>18526</v>
      </c>
      <c r="B421" t="s">
        <v>23</v>
      </c>
      <c r="D421">
        <v>426</v>
      </c>
      <c r="E421" t="s">
        <v>2955</v>
      </c>
      <c r="F421" t="s">
        <v>2956</v>
      </c>
      <c r="G421" t="s">
        <v>2957</v>
      </c>
      <c r="H421" t="s">
        <v>1368</v>
      </c>
      <c r="I421" t="s">
        <v>2958</v>
      </c>
      <c r="J421" t="s">
        <v>53</v>
      </c>
      <c r="K421" t="s">
        <v>822</v>
      </c>
      <c r="L421" t="s">
        <v>43</v>
      </c>
      <c r="M421" s="2" t="s">
        <v>2959</v>
      </c>
      <c r="N421" t="s">
        <v>45</v>
      </c>
      <c r="O421" t="s">
        <v>7881</v>
      </c>
      <c r="P421" t="s">
        <v>7893</v>
      </c>
      <c r="Q421" t="s">
        <v>46</v>
      </c>
      <c r="R421" t="s">
        <v>33</v>
      </c>
      <c r="S421" t="s">
        <v>34</v>
      </c>
      <c r="T421" s="1">
        <v>552500</v>
      </c>
      <c r="U421">
        <v>0</v>
      </c>
      <c r="V421">
        <v>0</v>
      </c>
      <c r="W421" t="s">
        <v>2960</v>
      </c>
    </row>
    <row r="422" spans="1:23" x14ac:dyDescent="0.25">
      <c r="A422">
        <v>24153</v>
      </c>
      <c r="B422" t="s">
        <v>23</v>
      </c>
      <c r="D422">
        <v>427</v>
      </c>
      <c r="E422" t="s">
        <v>2961</v>
      </c>
      <c r="F422" t="s">
        <v>2962</v>
      </c>
      <c r="G422" t="s">
        <v>181</v>
      </c>
      <c r="H422" t="s">
        <v>2963</v>
      </c>
      <c r="I422" t="s">
        <v>2964</v>
      </c>
      <c r="J422" t="s">
        <v>53</v>
      </c>
      <c r="K422" t="s">
        <v>2965</v>
      </c>
      <c r="L422" t="s">
        <v>43</v>
      </c>
      <c r="M422" s="2" t="s">
        <v>2966</v>
      </c>
      <c r="N422" t="s">
        <v>31</v>
      </c>
      <c r="O422" t="s">
        <v>7879</v>
      </c>
      <c r="P422" t="s">
        <v>7940</v>
      </c>
      <c r="Q422" t="s">
        <v>46</v>
      </c>
      <c r="R422" t="s">
        <v>33</v>
      </c>
      <c r="S422" t="s">
        <v>34</v>
      </c>
      <c r="T422" s="1">
        <v>195000</v>
      </c>
      <c r="U422">
        <v>0</v>
      </c>
      <c r="V422">
        <v>0</v>
      </c>
      <c r="W422" t="s">
        <v>2967</v>
      </c>
    </row>
    <row r="423" spans="1:23" x14ac:dyDescent="0.25">
      <c r="A423">
        <v>3965</v>
      </c>
      <c r="B423" t="s">
        <v>23</v>
      </c>
      <c r="D423">
        <v>428</v>
      </c>
      <c r="E423" t="s">
        <v>2968</v>
      </c>
      <c r="F423" t="s">
        <v>2969</v>
      </c>
      <c r="G423" t="s">
        <v>1043</v>
      </c>
      <c r="H423" t="s">
        <v>2970</v>
      </c>
      <c r="I423" t="s">
        <v>2971</v>
      </c>
      <c r="J423" t="s">
        <v>53</v>
      </c>
      <c r="K423" t="s">
        <v>2971</v>
      </c>
      <c r="L423" t="s">
        <v>43</v>
      </c>
      <c r="M423" s="2" t="s">
        <v>2972</v>
      </c>
      <c r="N423" t="s">
        <v>31</v>
      </c>
      <c r="O423" t="s">
        <v>7886</v>
      </c>
      <c r="P423" t="s">
        <v>7901</v>
      </c>
      <c r="Q423" t="s">
        <v>63</v>
      </c>
      <c r="R423" t="s">
        <v>33</v>
      </c>
      <c r="S423" t="s">
        <v>34</v>
      </c>
      <c r="T423" s="1">
        <v>812500</v>
      </c>
      <c r="U423">
        <v>0</v>
      </c>
      <c r="V423" s="1">
        <v>162500</v>
      </c>
      <c r="W423" t="s">
        <v>2973</v>
      </c>
    </row>
    <row r="424" spans="1:23" x14ac:dyDescent="0.25">
      <c r="A424">
        <v>18841</v>
      </c>
      <c r="B424" t="s">
        <v>23</v>
      </c>
      <c r="D424">
        <v>429</v>
      </c>
      <c r="E424" t="s">
        <v>2974</v>
      </c>
      <c r="F424" t="s">
        <v>2975</v>
      </c>
      <c r="G424" t="s">
        <v>2976</v>
      </c>
      <c r="H424" t="s">
        <v>2977</v>
      </c>
      <c r="I424" t="s">
        <v>2978</v>
      </c>
      <c r="J424" t="s">
        <v>28</v>
      </c>
      <c r="K424" t="s">
        <v>1095</v>
      </c>
      <c r="L424" t="s">
        <v>453</v>
      </c>
      <c r="M424">
        <v>233243266616</v>
      </c>
      <c r="N424" t="s">
        <v>2333</v>
      </c>
      <c r="O424" t="s">
        <v>7886</v>
      </c>
      <c r="P424" t="s">
        <v>7981</v>
      </c>
      <c r="Q424" t="s">
        <v>455</v>
      </c>
      <c r="R424" t="s">
        <v>130</v>
      </c>
      <c r="S424" t="s">
        <v>131</v>
      </c>
      <c r="T424">
        <v>625</v>
      </c>
      <c r="U424">
        <v>0</v>
      </c>
      <c r="V424">
        <v>125</v>
      </c>
      <c r="W424" t="s">
        <v>2979</v>
      </c>
    </row>
    <row r="425" spans="1:23" x14ac:dyDescent="0.25">
      <c r="A425">
        <v>11133</v>
      </c>
      <c r="B425" t="s">
        <v>23</v>
      </c>
      <c r="D425">
        <v>430</v>
      </c>
      <c r="E425" t="s">
        <v>2980</v>
      </c>
      <c r="F425" t="s">
        <v>2981</v>
      </c>
      <c r="G425" t="s">
        <v>2982</v>
      </c>
      <c r="H425" t="s">
        <v>2983</v>
      </c>
      <c r="I425" t="s">
        <v>2984</v>
      </c>
      <c r="J425" t="s">
        <v>28</v>
      </c>
      <c r="K425" t="s">
        <v>2985</v>
      </c>
      <c r="L425" t="s">
        <v>43</v>
      </c>
      <c r="M425" s="2" t="s">
        <v>2986</v>
      </c>
      <c r="N425" t="s">
        <v>31</v>
      </c>
      <c r="O425" t="s">
        <v>7881</v>
      </c>
      <c r="P425" t="s">
        <v>7893</v>
      </c>
      <c r="Q425" t="s">
        <v>63</v>
      </c>
      <c r="R425" t="s">
        <v>33</v>
      </c>
      <c r="S425" t="s">
        <v>34</v>
      </c>
      <c r="T425" s="1">
        <v>552500</v>
      </c>
      <c r="U425">
        <v>0</v>
      </c>
      <c r="V425">
        <v>0</v>
      </c>
      <c r="W425" t="s">
        <v>2987</v>
      </c>
    </row>
    <row r="426" spans="1:23" x14ac:dyDescent="0.25">
      <c r="A426">
        <v>24135</v>
      </c>
      <c r="B426" t="s">
        <v>23</v>
      </c>
      <c r="D426">
        <v>431</v>
      </c>
      <c r="E426" t="s">
        <v>2988</v>
      </c>
      <c r="F426" t="s">
        <v>2989</v>
      </c>
      <c r="G426" t="s">
        <v>2559</v>
      </c>
      <c r="H426" t="s">
        <v>2990</v>
      </c>
      <c r="I426" t="s">
        <v>2991</v>
      </c>
      <c r="J426" t="s">
        <v>28</v>
      </c>
      <c r="K426" t="s">
        <v>205</v>
      </c>
      <c r="L426" t="s">
        <v>43</v>
      </c>
      <c r="M426" s="2" t="s">
        <v>2992</v>
      </c>
      <c r="N426" t="s">
        <v>31</v>
      </c>
      <c r="O426" t="s">
        <v>7879</v>
      </c>
      <c r="P426" t="s">
        <v>7893</v>
      </c>
      <c r="Q426" t="s">
        <v>63</v>
      </c>
      <c r="R426" t="s">
        <v>33</v>
      </c>
      <c r="S426" t="s">
        <v>34</v>
      </c>
      <c r="T426" s="1">
        <v>195000</v>
      </c>
      <c r="U426">
        <v>0</v>
      </c>
      <c r="V426">
        <v>0</v>
      </c>
      <c r="W426" t="s">
        <v>2993</v>
      </c>
    </row>
    <row r="427" spans="1:23" x14ac:dyDescent="0.25">
      <c r="A427">
        <v>24406</v>
      </c>
      <c r="B427" t="s">
        <v>23</v>
      </c>
      <c r="D427">
        <v>432</v>
      </c>
      <c r="E427" t="s">
        <v>2994</v>
      </c>
      <c r="F427" t="s">
        <v>2995</v>
      </c>
      <c r="G427" t="s">
        <v>2996</v>
      </c>
      <c r="H427" t="s">
        <v>2997</v>
      </c>
      <c r="I427" t="s">
        <v>2998</v>
      </c>
      <c r="J427" t="s">
        <v>28</v>
      </c>
      <c r="K427" t="s">
        <v>2999</v>
      </c>
      <c r="L427" t="s">
        <v>43</v>
      </c>
      <c r="M427" s="2" t="s">
        <v>3000</v>
      </c>
      <c r="N427" t="s">
        <v>31</v>
      </c>
      <c r="O427" t="s">
        <v>7879</v>
      </c>
      <c r="P427" t="s">
        <v>7888</v>
      </c>
      <c r="Q427" t="s">
        <v>46</v>
      </c>
      <c r="R427" t="s">
        <v>33</v>
      </c>
      <c r="S427" t="s">
        <v>34</v>
      </c>
      <c r="T427" s="1">
        <v>195000</v>
      </c>
      <c r="U427">
        <v>0</v>
      </c>
      <c r="V427">
        <v>0</v>
      </c>
      <c r="W427" t="s">
        <v>3001</v>
      </c>
    </row>
    <row r="428" spans="1:23" x14ac:dyDescent="0.25">
      <c r="A428">
        <v>21725</v>
      </c>
      <c r="B428" t="s">
        <v>23</v>
      </c>
      <c r="D428">
        <v>433</v>
      </c>
      <c r="E428" t="s">
        <v>3002</v>
      </c>
      <c r="F428" t="s">
        <v>3003</v>
      </c>
      <c r="G428" t="s">
        <v>3004</v>
      </c>
      <c r="H428" t="s">
        <v>3005</v>
      </c>
      <c r="I428" t="s">
        <v>3006</v>
      </c>
      <c r="J428" t="s">
        <v>28</v>
      </c>
      <c r="K428" t="s">
        <v>1969</v>
      </c>
      <c r="L428" t="s">
        <v>43</v>
      </c>
      <c r="M428" s="2" t="s">
        <v>3007</v>
      </c>
      <c r="N428" t="s">
        <v>45</v>
      </c>
      <c r="O428" t="s">
        <v>7879</v>
      </c>
      <c r="P428" t="s">
        <v>8028</v>
      </c>
      <c r="Q428" t="s">
        <v>87</v>
      </c>
      <c r="R428" t="s">
        <v>33</v>
      </c>
      <c r="S428" t="s">
        <v>34</v>
      </c>
      <c r="T428" s="1">
        <v>195000</v>
      </c>
      <c r="U428">
        <v>0</v>
      </c>
      <c r="V428">
        <v>0</v>
      </c>
      <c r="W428" t="s">
        <v>3008</v>
      </c>
    </row>
    <row r="429" spans="1:23" x14ac:dyDescent="0.25">
      <c r="A429">
        <v>21248</v>
      </c>
      <c r="B429" t="s">
        <v>23</v>
      </c>
      <c r="D429">
        <v>435</v>
      </c>
      <c r="E429" t="s">
        <v>3009</v>
      </c>
      <c r="F429" t="s">
        <v>3010</v>
      </c>
      <c r="G429" t="s">
        <v>3011</v>
      </c>
      <c r="H429" t="s">
        <v>3012</v>
      </c>
      <c r="I429" t="s">
        <v>3013</v>
      </c>
      <c r="J429" t="s">
        <v>28</v>
      </c>
      <c r="K429" t="s">
        <v>3014</v>
      </c>
      <c r="L429" t="s">
        <v>43</v>
      </c>
      <c r="M429" s="2" t="s">
        <v>3015</v>
      </c>
      <c r="N429" t="s">
        <v>31</v>
      </c>
      <c r="O429" t="s">
        <v>7881</v>
      </c>
      <c r="P429" t="s">
        <v>7888</v>
      </c>
      <c r="Q429" t="s">
        <v>46</v>
      </c>
      <c r="R429" t="s">
        <v>33</v>
      </c>
      <c r="S429" t="s">
        <v>34</v>
      </c>
      <c r="T429" s="1">
        <v>552500</v>
      </c>
      <c r="U429" s="1">
        <v>110500</v>
      </c>
      <c r="V429">
        <v>0</v>
      </c>
      <c r="W429" t="s">
        <v>3016</v>
      </c>
    </row>
    <row r="430" spans="1:23" x14ac:dyDescent="0.25">
      <c r="A430">
        <v>22849</v>
      </c>
      <c r="B430" t="s">
        <v>23</v>
      </c>
      <c r="D430">
        <v>436</v>
      </c>
      <c r="E430" t="s">
        <v>3017</v>
      </c>
      <c r="F430" t="s">
        <v>3018</v>
      </c>
      <c r="G430" t="s">
        <v>3019</v>
      </c>
      <c r="H430" t="s">
        <v>3020</v>
      </c>
      <c r="I430" t="s">
        <v>3021</v>
      </c>
      <c r="J430" t="s">
        <v>28</v>
      </c>
      <c r="K430" t="s">
        <v>3022</v>
      </c>
      <c r="L430" t="s">
        <v>43</v>
      </c>
      <c r="M430" s="2" t="s">
        <v>3023</v>
      </c>
      <c r="N430" t="s">
        <v>31</v>
      </c>
      <c r="O430" t="s">
        <v>7879</v>
      </c>
      <c r="P430" t="s">
        <v>7981</v>
      </c>
      <c r="Q430" t="s">
        <v>46</v>
      </c>
      <c r="R430" t="s">
        <v>33</v>
      </c>
      <c r="S430" t="s">
        <v>34</v>
      </c>
      <c r="T430" s="1">
        <v>195000</v>
      </c>
      <c r="U430">
        <v>0</v>
      </c>
      <c r="V430">
        <v>0</v>
      </c>
      <c r="W430" t="s">
        <v>3024</v>
      </c>
    </row>
    <row r="431" spans="1:23" x14ac:dyDescent="0.25">
      <c r="A431">
        <v>24428</v>
      </c>
      <c r="B431" t="s">
        <v>23</v>
      </c>
      <c r="D431">
        <v>437</v>
      </c>
      <c r="E431" t="s">
        <v>3025</v>
      </c>
      <c r="F431" t="s">
        <v>3026</v>
      </c>
      <c r="G431" t="s">
        <v>3027</v>
      </c>
      <c r="H431" t="s">
        <v>643</v>
      </c>
      <c r="I431" t="s">
        <v>3028</v>
      </c>
      <c r="J431" t="s">
        <v>28</v>
      </c>
      <c r="K431" t="s">
        <v>3029</v>
      </c>
      <c r="L431" t="s">
        <v>43</v>
      </c>
      <c r="M431" s="2" t="s">
        <v>3030</v>
      </c>
      <c r="N431" t="s">
        <v>31</v>
      </c>
      <c r="O431" t="s">
        <v>7879</v>
      </c>
      <c r="P431" t="s">
        <v>7940</v>
      </c>
      <c r="Q431" t="s">
        <v>46</v>
      </c>
      <c r="R431" t="s">
        <v>33</v>
      </c>
      <c r="S431" t="s">
        <v>34</v>
      </c>
      <c r="T431" s="1">
        <v>195000</v>
      </c>
      <c r="U431">
        <v>0</v>
      </c>
      <c r="V431">
        <v>0</v>
      </c>
      <c r="W431" t="s">
        <v>3031</v>
      </c>
    </row>
    <row r="432" spans="1:23" x14ac:dyDescent="0.25">
      <c r="A432">
        <v>10604</v>
      </c>
      <c r="B432" t="s">
        <v>23</v>
      </c>
      <c r="D432">
        <v>438</v>
      </c>
      <c r="E432" t="s">
        <v>3032</v>
      </c>
      <c r="F432" t="s">
        <v>3033</v>
      </c>
      <c r="G432" t="s">
        <v>3034</v>
      </c>
      <c r="H432" t="s">
        <v>3035</v>
      </c>
      <c r="I432" t="s">
        <v>7916</v>
      </c>
      <c r="J432" t="s">
        <v>53</v>
      </c>
      <c r="K432" t="s">
        <v>2883</v>
      </c>
      <c r="L432" t="s">
        <v>43</v>
      </c>
      <c r="M432" s="2" t="s">
        <v>3036</v>
      </c>
      <c r="N432" t="s">
        <v>31</v>
      </c>
      <c r="O432" t="s">
        <v>7886</v>
      </c>
      <c r="P432" t="s">
        <v>7894</v>
      </c>
      <c r="Q432" t="s">
        <v>63</v>
      </c>
      <c r="R432" t="s">
        <v>33</v>
      </c>
      <c r="S432" t="s">
        <v>34</v>
      </c>
      <c r="T432" s="1">
        <v>812500</v>
      </c>
      <c r="U432">
        <v>0</v>
      </c>
      <c r="V432" s="1">
        <v>162500</v>
      </c>
      <c r="W432" t="s">
        <v>3037</v>
      </c>
    </row>
    <row r="433" spans="1:23" x14ac:dyDescent="0.25">
      <c r="A433">
        <v>24282</v>
      </c>
      <c r="B433" t="s">
        <v>23</v>
      </c>
      <c r="D433">
        <v>439</v>
      </c>
      <c r="E433" t="s">
        <v>3038</v>
      </c>
      <c r="F433" t="s">
        <v>3039</v>
      </c>
      <c r="G433" t="s">
        <v>3040</v>
      </c>
      <c r="H433" t="s">
        <v>3041</v>
      </c>
      <c r="I433" t="s">
        <v>3042</v>
      </c>
      <c r="J433" t="s">
        <v>53</v>
      </c>
      <c r="K433" t="s">
        <v>968</v>
      </c>
      <c r="L433" t="s">
        <v>453</v>
      </c>
      <c r="M433" s="2" t="s">
        <v>3043</v>
      </c>
      <c r="N433" t="s">
        <v>31</v>
      </c>
      <c r="O433" t="s">
        <v>7879</v>
      </c>
      <c r="P433" t="s">
        <v>7893</v>
      </c>
      <c r="Q433" t="s">
        <v>455</v>
      </c>
      <c r="R433" t="s">
        <v>130</v>
      </c>
      <c r="S433" t="s">
        <v>131</v>
      </c>
      <c r="T433">
        <v>150</v>
      </c>
      <c r="U433">
        <v>0</v>
      </c>
      <c r="V433">
        <v>0</v>
      </c>
      <c r="W433" t="s">
        <v>3044</v>
      </c>
    </row>
    <row r="434" spans="1:23" x14ac:dyDescent="0.25">
      <c r="A434">
        <v>18580</v>
      </c>
      <c r="B434" t="s">
        <v>23</v>
      </c>
      <c r="D434">
        <v>440</v>
      </c>
      <c r="E434" t="s">
        <v>3045</v>
      </c>
      <c r="F434" t="s">
        <v>3046</v>
      </c>
      <c r="G434" t="s">
        <v>3047</v>
      </c>
      <c r="H434" t="s">
        <v>3048</v>
      </c>
      <c r="I434" t="s">
        <v>3049</v>
      </c>
      <c r="J434" t="s">
        <v>53</v>
      </c>
      <c r="K434" t="s">
        <v>3050</v>
      </c>
      <c r="L434" t="s">
        <v>43</v>
      </c>
      <c r="M434" s="2" t="s">
        <v>3051</v>
      </c>
      <c r="N434" t="s">
        <v>45</v>
      </c>
      <c r="O434" t="s">
        <v>7881</v>
      </c>
      <c r="P434" t="s">
        <v>7940</v>
      </c>
      <c r="Q434" t="s">
        <v>63</v>
      </c>
      <c r="R434" t="s">
        <v>33</v>
      </c>
      <c r="S434" t="s">
        <v>34</v>
      </c>
      <c r="T434" s="1">
        <v>552500</v>
      </c>
      <c r="U434">
        <v>0</v>
      </c>
      <c r="V434">
        <v>0</v>
      </c>
      <c r="W434" t="s">
        <v>3052</v>
      </c>
    </row>
    <row r="435" spans="1:23" x14ac:dyDescent="0.25">
      <c r="A435">
        <v>4107</v>
      </c>
      <c r="B435" t="s">
        <v>23</v>
      </c>
      <c r="D435">
        <v>441</v>
      </c>
      <c r="E435" t="s">
        <v>3053</v>
      </c>
      <c r="F435" t="s">
        <v>3054</v>
      </c>
      <c r="G435" t="s">
        <v>3055</v>
      </c>
      <c r="H435" t="s">
        <v>3056</v>
      </c>
      <c r="I435" t="s">
        <v>3057</v>
      </c>
      <c r="J435" t="s">
        <v>53</v>
      </c>
      <c r="K435" t="s">
        <v>2455</v>
      </c>
      <c r="L435" t="s">
        <v>43</v>
      </c>
      <c r="M435">
        <v>8030924224</v>
      </c>
      <c r="N435" t="s">
        <v>31</v>
      </c>
      <c r="O435" t="s">
        <v>7886</v>
      </c>
      <c r="P435" t="s">
        <v>7888</v>
      </c>
      <c r="Q435" t="s">
        <v>46</v>
      </c>
      <c r="R435" t="s">
        <v>33</v>
      </c>
      <c r="S435" t="s">
        <v>34</v>
      </c>
      <c r="T435" s="1">
        <v>812500</v>
      </c>
      <c r="U435">
        <v>0</v>
      </c>
      <c r="V435" s="1">
        <v>162500</v>
      </c>
      <c r="W435" t="s">
        <v>3058</v>
      </c>
    </row>
    <row r="436" spans="1:23" x14ac:dyDescent="0.25">
      <c r="A436">
        <v>18037</v>
      </c>
      <c r="B436" t="s">
        <v>23</v>
      </c>
      <c r="D436">
        <v>442</v>
      </c>
      <c r="E436" t="s">
        <v>3059</v>
      </c>
      <c r="F436" t="s">
        <v>3060</v>
      </c>
      <c r="G436" t="s">
        <v>1263</v>
      </c>
      <c r="H436" t="s">
        <v>3061</v>
      </c>
      <c r="I436" t="s">
        <v>3062</v>
      </c>
      <c r="J436" t="s">
        <v>28</v>
      </c>
      <c r="K436" t="s">
        <v>3063</v>
      </c>
      <c r="L436" t="s">
        <v>43</v>
      </c>
      <c r="M436" s="2" t="s">
        <v>3064</v>
      </c>
      <c r="N436" t="s">
        <v>31</v>
      </c>
      <c r="O436" t="s">
        <v>7881</v>
      </c>
      <c r="P436" t="s">
        <v>7893</v>
      </c>
      <c r="Q436" t="s">
        <v>46</v>
      </c>
      <c r="R436" t="s">
        <v>33</v>
      </c>
      <c r="S436" t="s">
        <v>34</v>
      </c>
      <c r="T436" s="1">
        <v>552500</v>
      </c>
      <c r="U436">
        <v>0</v>
      </c>
      <c r="V436">
        <v>0</v>
      </c>
      <c r="W436" t="s">
        <v>3065</v>
      </c>
    </row>
    <row r="437" spans="1:23" x14ac:dyDescent="0.25">
      <c r="A437">
        <v>22617</v>
      </c>
      <c r="B437" t="s">
        <v>23</v>
      </c>
      <c r="D437">
        <v>443</v>
      </c>
      <c r="E437" t="s">
        <v>3066</v>
      </c>
      <c r="F437" t="s">
        <v>3067</v>
      </c>
      <c r="G437" t="s">
        <v>3068</v>
      </c>
      <c r="I437" t="s">
        <v>3069</v>
      </c>
      <c r="J437" t="s">
        <v>28</v>
      </c>
      <c r="K437" t="s">
        <v>3070</v>
      </c>
      <c r="L437" t="s">
        <v>43</v>
      </c>
      <c r="M437" s="2" t="s">
        <v>3071</v>
      </c>
      <c r="N437" t="s">
        <v>31</v>
      </c>
      <c r="O437" t="s">
        <v>7879</v>
      </c>
      <c r="P437" t="s">
        <v>7888</v>
      </c>
      <c r="Q437" t="s">
        <v>46</v>
      </c>
      <c r="R437" t="s">
        <v>33</v>
      </c>
      <c r="S437" t="s">
        <v>34</v>
      </c>
      <c r="T437" s="1">
        <v>195000</v>
      </c>
      <c r="U437">
        <v>0</v>
      </c>
      <c r="V437">
        <v>0</v>
      </c>
      <c r="W437" t="s">
        <v>3072</v>
      </c>
    </row>
    <row r="438" spans="1:23" x14ac:dyDescent="0.25">
      <c r="A438">
        <v>11042</v>
      </c>
      <c r="B438" t="s">
        <v>23</v>
      </c>
      <c r="D438">
        <v>444</v>
      </c>
      <c r="E438" t="s">
        <v>3073</v>
      </c>
      <c r="F438" t="s">
        <v>3074</v>
      </c>
      <c r="G438" t="s">
        <v>3075</v>
      </c>
      <c r="H438" t="s">
        <v>3076</v>
      </c>
      <c r="I438" t="s">
        <v>3077</v>
      </c>
      <c r="J438" t="s">
        <v>53</v>
      </c>
      <c r="K438" t="s">
        <v>3078</v>
      </c>
      <c r="L438" t="s">
        <v>43</v>
      </c>
      <c r="M438">
        <v>7035605838</v>
      </c>
      <c r="N438" t="s">
        <v>45</v>
      </c>
      <c r="O438" t="s">
        <v>7879</v>
      </c>
      <c r="P438" t="s">
        <v>7940</v>
      </c>
      <c r="Q438" t="s">
        <v>46</v>
      </c>
      <c r="R438" t="s">
        <v>33</v>
      </c>
      <c r="S438" t="s">
        <v>34</v>
      </c>
      <c r="T438" s="1">
        <v>195000</v>
      </c>
      <c r="U438">
        <v>0</v>
      </c>
      <c r="V438">
        <v>0</v>
      </c>
      <c r="W438" t="s">
        <v>3079</v>
      </c>
    </row>
    <row r="439" spans="1:23" x14ac:dyDescent="0.25">
      <c r="A439">
        <v>24431</v>
      </c>
      <c r="B439" t="s">
        <v>23</v>
      </c>
      <c r="D439">
        <v>445</v>
      </c>
      <c r="E439" t="s">
        <v>3080</v>
      </c>
      <c r="F439" t="s">
        <v>2995</v>
      </c>
      <c r="G439" t="s">
        <v>3081</v>
      </c>
      <c r="H439" t="s">
        <v>1284</v>
      </c>
      <c r="I439" t="s">
        <v>3082</v>
      </c>
      <c r="J439" t="s">
        <v>28</v>
      </c>
      <c r="K439" t="s">
        <v>2761</v>
      </c>
      <c r="L439" t="s">
        <v>43</v>
      </c>
      <c r="M439" s="2" t="s">
        <v>3083</v>
      </c>
      <c r="N439" t="s">
        <v>31</v>
      </c>
      <c r="O439" t="s">
        <v>7879</v>
      </c>
      <c r="P439" t="s">
        <v>7940</v>
      </c>
      <c r="Q439" t="s">
        <v>46</v>
      </c>
      <c r="R439" t="s">
        <v>33</v>
      </c>
      <c r="S439" t="s">
        <v>34</v>
      </c>
      <c r="T439" s="1">
        <v>195000</v>
      </c>
      <c r="U439">
        <v>0</v>
      </c>
      <c r="V439">
        <v>0</v>
      </c>
      <c r="W439" t="s">
        <v>3084</v>
      </c>
    </row>
    <row r="440" spans="1:23" x14ac:dyDescent="0.25">
      <c r="A440">
        <v>3691</v>
      </c>
      <c r="B440" t="s">
        <v>23</v>
      </c>
      <c r="D440">
        <v>446</v>
      </c>
      <c r="E440" t="s">
        <v>3085</v>
      </c>
      <c r="F440" t="s">
        <v>3086</v>
      </c>
      <c r="G440" t="s">
        <v>3087</v>
      </c>
      <c r="H440" t="s">
        <v>346</v>
      </c>
      <c r="I440" t="s">
        <v>7953</v>
      </c>
      <c r="J440" t="s">
        <v>28</v>
      </c>
      <c r="K440" t="s">
        <v>191</v>
      </c>
      <c r="L440" t="s">
        <v>43</v>
      </c>
      <c r="M440">
        <v>8022982488</v>
      </c>
      <c r="N440" t="s">
        <v>21</v>
      </c>
      <c r="O440" t="s">
        <v>7886</v>
      </c>
      <c r="P440" t="s">
        <v>7940</v>
      </c>
      <c r="Q440" t="s">
        <v>63</v>
      </c>
      <c r="R440" t="s">
        <v>33</v>
      </c>
      <c r="S440" t="s">
        <v>34</v>
      </c>
      <c r="T440" s="1">
        <v>812500</v>
      </c>
      <c r="U440">
        <v>0</v>
      </c>
      <c r="V440" s="1">
        <v>162500</v>
      </c>
      <c r="W440" t="s">
        <v>3088</v>
      </c>
    </row>
    <row r="441" spans="1:23" x14ac:dyDescent="0.25">
      <c r="A441">
        <v>6043</v>
      </c>
      <c r="B441" t="s">
        <v>23</v>
      </c>
      <c r="D441">
        <v>447</v>
      </c>
      <c r="E441" t="s">
        <v>3089</v>
      </c>
      <c r="F441" t="s">
        <v>3090</v>
      </c>
      <c r="G441" t="s">
        <v>465</v>
      </c>
      <c r="H441" t="s">
        <v>384</v>
      </c>
      <c r="I441" t="s">
        <v>3091</v>
      </c>
      <c r="J441" t="s">
        <v>53</v>
      </c>
      <c r="K441" t="s">
        <v>197</v>
      </c>
      <c r="L441" t="s">
        <v>43</v>
      </c>
      <c r="M441" s="2" t="s">
        <v>3092</v>
      </c>
      <c r="N441" t="s">
        <v>31</v>
      </c>
      <c r="O441" t="s">
        <v>7886</v>
      </c>
      <c r="P441" t="s">
        <v>7981</v>
      </c>
      <c r="Q441" t="s">
        <v>46</v>
      </c>
      <c r="R441" t="s">
        <v>33</v>
      </c>
      <c r="S441" t="s">
        <v>34</v>
      </c>
      <c r="T441" s="1">
        <v>812500</v>
      </c>
      <c r="U441">
        <v>0</v>
      </c>
      <c r="V441" s="1">
        <v>162500</v>
      </c>
      <c r="W441" t="s">
        <v>3093</v>
      </c>
    </row>
    <row r="442" spans="1:23" x14ac:dyDescent="0.25">
      <c r="A442">
        <v>11318</v>
      </c>
      <c r="B442" t="s">
        <v>23</v>
      </c>
      <c r="D442">
        <v>448</v>
      </c>
      <c r="E442" t="s">
        <v>3094</v>
      </c>
      <c r="F442" t="s">
        <v>3095</v>
      </c>
      <c r="G442" t="s">
        <v>3096</v>
      </c>
      <c r="H442" t="s">
        <v>3097</v>
      </c>
      <c r="I442" t="s">
        <v>7954</v>
      </c>
      <c r="J442" t="s">
        <v>28</v>
      </c>
      <c r="K442" t="s">
        <v>3098</v>
      </c>
      <c r="L442" t="s">
        <v>43</v>
      </c>
      <c r="M442" s="2" t="s">
        <v>3099</v>
      </c>
      <c r="N442" t="s">
        <v>21</v>
      </c>
      <c r="O442" t="s">
        <v>7886</v>
      </c>
      <c r="P442" t="s">
        <v>7940</v>
      </c>
      <c r="Q442" t="s">
        <v>63</v>
      </c>
      <c r="R442" t="s">
        <v>33</v>
      </c>
      <c r="S442" t="s">
        <v>34</v>
      </c>
      <c r="T442" s="1">
        <v>812500</v>
      </c>
      <c r="U442">
        <v>0</v>
      </c>
      <c r="V442" s="1">
        <v>162500</v>
      </c>
      <c r="W442" t="s">
        <v>3100</v>
      </c>
    </row>
    <row r="443" spans="1:23" x14ac:dyDescent="0.25">
      <c r="A443">
        <v>20191</v>
      </c>
      <c r="B443" t="s">
        <v>23</v>
      </c>
      <c r="D443">
        <v>449</v>
      </c>
      <c r="E443" t="s">
        <v>3101</v>
      </c>
      <c r="F443" t="s">
        <v>2788</v>
      </c>
      <c r="G443" t="s">
        <v>592</v>
      </c>
      <c r="I443" t="s">
        <v>3102</v>
      </c>
      <c r="J443" t="s">
        <v>28</v>
      </c>
      <c r="K443" t="s">
        <v>3103</v>
      </c>
      <c r="L443" t="s">
        <v>43</v>
      </c>
      <c r="M443" s="2" t="s">
        <v>3104</v>
      </c>
      <c r="N443" t="s">
        <v>31</v>
      </c>
      <c r="O443" t="s">
        <v>7879</v>
      </c>
      <c r="P443" t="s">
        <v>7981</v>
      </c>
      <c r="Q443" t="s">
        <v>46</v>
      </c>
      <c r="R443" t="s">
        <v>33</v>
      </c>
      <c r="S443" t="s">
        <v>34</v>
      </c>
      <c r="T443" s="1">
        <v>195000</v>
      </c>
      <c r="U443">
        <v>0</v>
      </c>
      <c r="V443">
        <v>0</v>
      </c>
      <c r="W443" t="s">
        <v>3105</v>
      </c>
    </row>
    <row r="444" spans="1:23" x14ac:dyDescent="0.25">
      <c r="A444">
        <v>24311</v>
      </c>
      <c r="B444" t="s">
        <v>23</v>
      </c>
      <c r="D444">
        <v>450</v>
      </c>
      <c r="E444" t="s">
        <v>3106</v>
      </c>
      <c r="F444" t="s">
        <v>3107</v>
      </c>
      <c r="G444" t="s">
        <v>3108</v>
      </c>
      <c r="H444" t="s">
        <v>515</v>
      </c>
      <c r="I444" t="s">
        <v>3109</v>
      </c>
      <c r="J444" t="s">
        <v>28</v>
      </c>
      <c r="K444" t="s">
        <v>3110</v>
      </c>
      <c r="L444" t="s">
        <v>43</v>
      </c>
      <c r="M444" s="2" t="s">
        <v>3111</v>
      </c>
      <c r="N444" t="s">
        <v>31</v>
      </c>
      <c r="O444" t="s">
        <v>7879</v>
      </c>
      <c r="P444" t="s">
        <v>7940</v>
      </c>
      <c r="Q444" t="s">
        <v>63</v>
      </c>
      <c r="R444" t="s">
        <v>33</v>
      </c>
      <c r="S444" t="s">
        <v>34</v>
      </c>
      <c r="T444" s="1">
        <v>195000</v>
      </c>
      <c r="U444">
        <v>0</v>
      </c>
      <c r="V444">
        <v>0</v>
      </c>
      <c r="W444" t="s">
        <v>3112</v>
      </c>
    </row>
    <row r="445" spans="1:23" x14ac:dyDescent="0.25">
      <c r="A445">
        <v>1873</v>
      </c>
      <c r="B445" t="s">
        <v>23</v>
      </c>
      <c r="D445">
        <v>452</v>
      </c>
      <c r="E445" t="s">
        <v>3113</v>
      </c>
      <c r="F445" t="s">
        <v>3114</v>
      </c>
      <c r="G445" t="s">
        <v>1441</v>
      </c>
      <c r="H445" t="s">
        <v>1277</v>
      </c>
      <c r="I445" t="s">
        <v>3115</v>
      </c>
      <c r="J445" t="s">
        <v>53</v>
      </c>
      <c r="K445" t="s">
        <v>2261</v>
      </c>
      <c r="L445" t="s">
        <v>43</v>
      </c>
      <c r="M445">
        <v>2348111226463</v>
      </c>
      <c r="N445" t="s">
        <v>31</v>
      </c>
      <c r="O445" t="s">
        <v>7886</v>
      </c>
      <c r="P445" t="s">
        <v>7979</v>
      </c>
      <c r="Q445" t="s">
        <v>46</v>
      </c>
      <c r="R445" t="s">
        <v>33</v>
      </c>
      <c r="S445" t="s">
        <v>34</v>
      </c>
      <c r="T445" s="1">
        <v>812500</v>
      </c>
      <c r="U445" s="1">
        <v>110500</v>
      </c>
      <c r="V445" s="1">
        <v>162500</v>
      </c>
      <c r="W445" t="s">
        <v>3116</v>
      </c>
    </row>
    <row r="446" spans="1:23" x14ac:dyDescent="0.25">
      <c r="A446">
        <v>5394</v>
      </c>
      <c r="B446" t="s">
        <v>23</v>
      </c>
      <c r="D446">
        <v>453</v>
      </c>
      <c r="E446" t="s">
        <v>3117</v>
      </c>
      <c r="F446" t="s">
        <v>3118</v>
      </c>
      <c r="G446" t="s">
        <v>3119</v>
      </c>
      <c r="H446" t="s">
        <v>3120</v>
      </c>
      <c r="I446" t="s">
        <v>3121</v>
      </c>
      <c r="J446" t="s">
        <v>28</v>
      </c>
      <c r="K446" t="s">
        <v>3122</v>
      </c>
      <c r="L446" t="s">
        <v>43</v>
      </c>
      <c r="M446" s="2" t="s">
        <v>3123</v>
      </c>
      <c r="N446" t="s">
        <v>31</v>
      </c>
      <c r="O446" t="s">
        <v>7886</v>
      </c>
      <c r="P446" t="s">
        <v>7981</v>
      </c>
      <c r="Q446" t="s">
        <v>63</v>
      </c>
      <c r="R446" t="s">
        <v>33</v>
      </c>
      <c r="S446" t="s">
        <v>34</v>
      </c>
      <c r="T446" s="1">
        <v>812500</v>
      </c>
      <c r="U446">
        <v>0</v>
      </c>
      <c r="V446" s="1">
        <v>162500</v>
      </c>
      <c r="W446" t="s">
        <v>3124</v>
      </c>
    </row>
    <row r="447" spans="1:23" x14ac:dyDescent="0.25">
      <c r="A447">
        <v>6453</v>
      </c>
      <c r="B447" t="s">
        <v>23</v>
      </c>
      <c r="D447">
        <v>454</v>
      </c>
      <c r="E447" t="s">
        <v>3125</v>
      </c>
      <c r="F447" t="s">
        <v>3126</v>
      </c>
      <c r="G447" t="s">
        <v>3127</v>
      </c>
      <c r="H447" t="s">
        <v>703</v>
      </c>
      <c r="I447" t="s">
        <v>3128</v>
      </c>
      <c r="J447" t="s">
        <v>53</v>
      </c>
      <c r="K447" t="s">
        <v>3129</v>
      </c>
      <c r="L447" t="s">
        <v>43</v>
      </c>
      <c r="M447">
        <v>8163825362</v>
      </c>
      <c r="N447" t="s">
        <v>31</v>
      </c>
      <c r="O447" t="s">
        <v>7881</v>
      </c>
      <c r="P447" t="s">
        <v>7888</v>
      </c>
      <c r="Q447" t="s">
        <v>87</v>
      </c>
      <c r="R447" t="s">
        <v>33</v>
      </c>
      <c r="S447" t="s">
        <v>34</v>
      </c>
      <c r="T447" s="1">
        <v>552500</v>
      </c>
      <c r="U447" s="1">
        <v>110500</v>
      </c>
      <c r="V447">
        <v>0</v>
      </c>
      <c r="W447" t="s">
        <v>3130</v>
      </c>
    </row>
    <row r="448" spans="1:23" x14ac:dyDescent="0.25">
      <c r="A448">
        <v>24408</v>
      </c>
      <c r="B448" t="s">
        <v>23</v>
      </c>
      <c r="D448">
        <v>455</v>
      </c>
      <c r="E448" t="s">
        <v>3131</v>
      </c>
      <c r="F448" t="s">
        <v>3132</v>
      </c>
      <c r="G448" t="s">
        <v>599</v>
      </c>
      <c r="I448" t="s">
        <v>3133</v>
      </c>
      <c r="J448" t="s">
        <v>28</v>
      </c>
      <c r="K448" t="s">
        <v>3134</v>
      </c>
      <c r="L448" t="s">
        <v>453</v>
      </c>
      <c r="M448" s="2" t="s">
        <v>3135</v>
      </c>
      <c r="N448" t="s">
        <v>31</v>
      </c>
      <c r="O448" t="s">
        <v>7879</v>
      </c>
      <c r="P448" t="s">
        <v>7893</v>
      </c>
      <c r="Q448" t="s">
        <v>455</v>
      </c>
      <c r="R448" t="s">
        <v>130</v>
      </c>
      <c r="S448" t="s">
        <v>131</v>
      </c>
      <c r="T448">
        <v>150</v>
      </c>
      <c r="U448">
        <v>0</v>
      </c>
      <c r="V448">
        <v>0</v>
      </c>
      <c r="W448" t="s">
        <v>3136</v>
      </c>
    </row>
    <row r="449" spans="1:23" x14ac:dyDescent="0.25">
      <c r="A449">
        <v>6682</v>
      </c>
      <c r="B449" t="s">
        <v>23</v>
      </c>
      <c r="D449">
        <v>456</v>
      </c>
      <c r="E449" t="s">
        <v>3137</v>
      </c>
      <c r="F449" t="s">
        <v>3138</v>
      </c>
      <c r="G449" t="s">
        <v>3139</v>
      </c>
      <c r="H449" t="s">
        <v>3140</v>
      </c>
      <c r="I449" t="s">
        <v>7955</v>
      </c>
      <c r="J449" t="s">
        <v>53</v>
      </c>
      <c r="K449" t="s">
        <v>3141</v>
      </c>
      <c r="L449" t="s">
        <v>43</v>
      </c>
      <c r="M449" s="2" t="s">
        <v>3142</v>
      </c>
      <c r="N449" t="s">
        <v>1207</v>
      </c>
      <c r="O449" t="s">
        <v>7886</v>
      </c>
      <c r="P449" t="s">
        <v>7940</v>
      </c>
      <c r="Q449" t="s">
        <v>63</v>
      </c>
      <c r="R449" t="s">
        <v>33</v>
      </c>
      <c r="S449" t="s">
        <v>34</v>
      </c>
      <c r="T449" s="1">
        <v>812500</v>
      </c>
      <c r="U449">
        <v>0</v>
      </c>
      <c r="V449" s="1">
        <v>162500</v>
      </c>
      <c r="W449" t="s">
        <v>3143</v>
      </c>
    </row>
    <row r="450" spans="1:23" x14ac:dyDescent="0.25">
      <c r="A450">
        <v>24204</v>
      </c>
      <c r="B450" t="s">
        <v>23</v>
      </c>
      <c r="D450">
        <v>457</v>
      </c>
      <c r="E450" t="s">
        <v>3144</v>
      </c>
      <c r="F450" t="s">
        <v>3145</v>
      </c>
      <c r="G450" t="s">
        <v>3146</v>
      </c>
      <c r="H450" t="s">
        <v>3147</v>
      </c>
      <c r="I450" t="s">
        <v>3148</v>
      </c>
      <c r="J450" t="s">
        <v>28</v>
      </c>
      <c r="K450" t="s">
        <v>3149</v>
      </c>
      <c r="L450" t="s">
        <v>453</v>
      </c>
      <c r="M450" s="2" t="s">
        <v>3150</v>
      </c>
      <c r="N450" t="s">
        <v>31</v>
      </c>
      <c r="O450" t="s">
        <v>7879</v>
      </c>
      <c r="P450" t="s">
        <v>7893</v>
      </c>
      <c r="Q450" t="s">
        <v>455</v>
      </c>
      <c r="R450" t="s">
        <v>130</v>
      </c>
      <c r="S450" t="s">
        <v>131</v>
      </c>
      <c r="T450">
        <v>150</v>
      </c>
      <c r="U450">
        <v>0</v>
      </c>
      <c r="V450">
        <v>0</v>
      </c>
      <c r="W450" t="s">
        <v>3151</v>
      </c>
    </row>
    <row r="451" spans="1:23" x14ac:dyDescent="0.25">
      <c r="A451">
        <v>423</v>
      </c>
      <c r="B451" t="s">
        <v>23</v>
      </c>
      <c r="D451">
        <v>458</v>
      </c>
      <c r="E451" t="s">
        <v>3152</v>
      </c>
      <c r="F451" t="s">
        <v>3153</v>
      </c>
      <c r="G451" t="s">
        <v>3154</v>
      </c>
      <c r="H451" t="s">
        <v>3155</v>
      </c>
      <c r="I451" t="s">
        <v>3156</v>
      </c>
      <c r="J451" t="s">
        <v>53</v>
      </c>
      <c r="K451" t="s">
        <v>3157</v>
      </c>
      <c r="L451" t="s">
        <v>43</v>
      </c>
      <c r="M451" s="2" t="s">
        <v>3158</v>
      </c>
      <c r="N451" t="s">
        <v>31</v>
      </c>
      <c r="O451" t="s">
        <v>7886</v>
      </c>
      <c r="P451" t="s">
        <v>7940</v>
      </c>
      <c r="Q451" t="s">
        <v>46</v>
      </c>
      <c r="R451" t="s">
        <v>33</v>
      </c>
      <c r="S451" t="s">
        <v>34</v>
      </c>
      <c r="T451" s="1">
        <v>812500</v>
      </c>
      <c r="U451">
        <v>0</v>
      </c>
      <c r="V451" s="1">
        <v>162500</v>
      </c>
      <c r="W451" t="s">
        <v>3159</v>
      </c>
    </row>
    <row r="452" spans="1:23" x14ac:dyDescent="0.25">
      <c r="A452">
        <v>6497</v>
      </c>
      <c r="B452" t="s">
        <v>23</v>
      </c>
      <c r="D452">
        <v>459</v>
      </c>
      <c r="E452" t="s">
        <v>3160</v>
      </c>
      <c r="F452" t="s">
        <v>3161</v>
      </c>
      <c r="G452" t="s">
        <v>3162</v>
      </c>
      <c r="H452" t="s">
        <v>1079</v>
      </c>
      <c r="I452" t="s">
        <v>7917</v>
      </c>
      <c r="J452" t="s">
        <v>28</v>
      </c>
      <c r="K452" t="s">
        <v>3163</v>
      </c>
      <c r="L452" t="s">
        <v>43</v>
      </c>
      <c r="M452" t="s">
        <v>3164</v>
      </c>
      <c r="N452" t="s">
        <v>31</v>
      </c>
      <c r="O452" t="s">
        <v>7886</v>
      </c>
      <c r="P452" t="s">
        <v>7894</v>
      </c>
      <c r="Q452" t="s">
        <v>63</v>
      </c>
      <c r="R452" t="s">
        <v>33</v>
      </c>
      <c r="S452" t="s">
        <v>34</v>
      </c>
      <c r="T452" s="1">
        <v>812500</v>
      </c>
      <c r="U452">
        <v>0</v>
      </c>
      <c r="V452" s="1">
        <v>162500</v>
      </c>
      <c r="W452" t="s">
        <v>3165</v>
      </c>
    </row>
    <row r="453" spans="1:23" x14ac:dyDescent="0.25">
      <c r="A453">
        <v>3850</v>
      </c>
      <c r="B453" t="s">
        <v>23</v>
      </c>
      <c r="D453">
        <v>460</v>
      </c>
      <c r="E453" t="s">
        <v>3166</v>
      </c>
      <c r="F453" t="s">
        <v>3167</v>
      </c>
      <c r="G453" t="s">
        <v>3168</v>
      </c>
      <c r="H453" t="s">
        <v>3169</v>
      </c>
      <c r="I453" t="s">
        <v>7918</v>
      </c>
      <c r="J453" t="s">
        <v>28</v>
      </c>
      <c r="K453" t="s">
        <v>3170</v>
      </c>
      <c r="L453" t="s">
        <v>43</v>
      </c>
      <c r="M453" s="4">
        <v>8.0350196310802498E+20</v>
      </c>
      <c r="N453" t="s">
        <v>31</v>
      </c>
      <c r="O453" t="s">
        <v>7886</v>
      </c>
      <c r="P453" t="s">
        <v>7919</v>
      </c>
      <c r="Q453" t="s">
        <v>46</v>
      </c>
      <c r="R453" t="s">
        <v>33</v>
      </c>
      <c r="S453" t="s">
        <v>34</v>
      </c>
      <c r="T453" s="1">
        <v>812500</v>
      </c>
      <c r="U453">
        <v>0</v>
      </c>
      <c r="V453" s="1">
        <v>162500</v>
      </c>
      <c r="W453" t="s">
        <v>3171</v>
      </c>
    </row>
    <row r="454" spans="1:23" x14ac:dyDescent="0.25">
      <c r="A454">
        <v>3287</v>
      </c>
      <c r="B454" t="s">
        <v>23</v>
      </c>
      <c r="D454">
        <v>461</v>
      </c>
      <c r="E454" t="s">
        <v>3172</v>
      </c>
      <c r="F454" t="s">
        <v>3173</v>
      </c>
      <c r="G454" t="s">
        <v>3174</v>
      </c>
      <c r="H454" t="s">
        <v>3175</v>
      </c>
      <c r="I454" t="s">
        <v>3176</v>
      </c>
      <c r="J454" t="s">
        <v>53</v>
      </c>
      <c r="K454" t="s">
        <v>3177</v>
      </c>
      <c r="L454" t="s">
        <v>43</v>
      </c>
      <c r="M454">
        <v>8055934237</v>
      </c>
      <c r="N454" t="s">
        <v>45</v>
      </c>
      <c r="O454" t="s">
        <v>7881</v>
      </c>
      <c r="P454" t="s">
        <v>7940</v>
      </c>
      <c r="Q454" t="s">
        <v>46</v>
      </c>
      <c r="R454" t="s">
        <v>33</v>
      </c>
      <c r="S454" t="s">
        <v>34</v>
      </c>
      <c r="T454" s="1">
        <v>552500</v>
      </c>
      <c r="U454">
        <v>0</v>
      </c>
      <c r="V454">
        <v>0</v>
      </c>
      <c r="W454" t="s">
        <v>3178</v>
      </c>
    </row>
    <row r="455" spans="1:23" x14ac:dyDescent="0.25">
      <c r="A455">
        <v>2605</v>
      </c>
      <c r="B455" t="s">
        <v>23</v>
      </c>
      <c r="D455">
        <v>462</v>
      </c>
      <c r="E455" t="s">
        <v>3179</v>
      </c>
      <c r="F455" t="s">
        <v>3180</v>
      </c>
      <c r="G455" t="s">
        <v>3181</v>
      </c>
      <c r="H455" t="s">
        <v>3182</v>
      </c>
      <c r="I455" t="s">
        <v>7956</v>
      </c>
      <c r="J455" t="s">
        <v>53</v>
      </c>
      <c r="K455" t="s">
        <v>3183</v>
      </c>
      <c r="L455" t="s">
        <v>43</v>
      </c>
      <c r="M455">
        <v>8033667050</v>
      </c>
      <c r="N455" t="s">
        <v>31</v>
      </c>
      <c r="O455" t="s">
        <v>7886</v>
      </c>
      <c r="P455" t="s">
        <v>7940</v>
      </c>
      <c r="Q455" t="s">
        <v>46</v>
      </c>
      <c r="R455" t="s">
        <v>33</v>
      </c>
      <c r="S455" t="s">
        <v>34</v>
      </c>
      <c r="T455" s="1">
        <v>812500</v>
      </c>
      <c r="U455">
        <v>0</v>
      </c>
      <c r="V455" s="1">
        <v>162500</v>
      </c>
      <c r="W455" t="s">
        <v>3184</v>
      </c>
    </row>
    <row r="456" spans="1:23" x14ac:dyDescent="0.25">
      <c r="A456">
        <v>1116</v>
      </c>
      <c r="B456" t="s">
        <v>1627</v>
      </c>
      <c r="C456" t="s">
        <v>3185</v>
      </c>
      <c r="D456">
        <v>463</v>
      </c>
      <c r="E456" t="s">
        <v>3186</v>
      </c>
      <c r="F456" t="s">
        <v>3187</v>
      </c>
      <c r="G456" t="s">
        <v>3188</v>
      </c>
      <c r="H456" t="s">
        <v>3189</v>
      </c>
      <c r="I456" t="s">
        <v>7992</v>
      </c>
      <c r="J456" t="s">
        <v>28</v>
      </c>
      <c r="K456" t="s">
        <v>3190</v>
      </c>
      <c r="L456" t="s">
        <v>43</v>
      </c>
      <c r="M456">
        <v>8030549264</v>
      </c>
      <c r="N456" t="s">
        <v>31</v>
      </c>
      <c r="O456" t="s">
        <v>7886</v>
      </c>
      <c r="P456" t="s">
        <v>7981</v>
      </c>
      <c r="Q456" t="s">
        <v>46</v>
      </c>
      <c r="R456" t="s">
        <v>33</v>
      </c>
      <c r="S456" t="s">
        <v>34</v>
      </c>
      <c r="T456" s="1">
        <v>812500</v>
      </c>
      <c r="U456">
        <v>0</v>
      </c>
      <c r="V456" s="1">
        <v>162500</v>
      </c>
      <c r="W456" t="s">
        <v>3191</v>
      </c>
    </row>
    <row r="457" spans="1:23" x14ac:dyDescent="0.25">
      <c r="A457">
        <v>24439</v>
      </c>
      <c r="B457" t="s">
        <v>23</v>
      </c>
      <c r="D457">
        <v>464</v>
      </c>
      <c r="E457" t="s">
        <v>3192</v>
      </c>
      <c r="F457" t="s">
        <v>3193</v>
      </c>
      <c r="G457" t="s">
        <v>3194</v>
      </c>
      <c r="I457" t="s">
        <v>3195</v>
      </c>
      <c r="J457" t="s">
        <v>53</v>
      </c>
      <c r="K457" t="s">
        <v>682</v>
      </c>
      <c r="L457" t="s">
        <v>453</v>
      </c>
      <c r="M457" s="2" t="s">
        <v>3196</v>
      </c>
      <c r="N457" t="s">
        <v>31</v>
      </c>
      <c r="O457" t="s">
        <v>7879</v>
      </c>
      <c r="P457" t="s">
        <v>7893</v>
      </c>
      <c r="Q457" t="s">
        <v>455</v>
      </c>
      <c r="R457" t="s">
        <v>130</v>
      </c>
      <c r="S457" t="s">
        <v>131</v>
      </c>
      <c r="T457">
        <v>150</v>
      </c>
      <c r="U457">
        <v>0</v>
      </c>
      <c r="V457">
        <v>0</v>
      </c>
      <c r="W457" t="s">
        <v>3197</v>
      </c>
    </row>
    <row r="458" spans="1:23" x14ac:dyDescent="0.25">
      <c r="A458">
        <v>24424</v>
      </c>
      <c r="B458" t="s">
        <v>23</v>
      </c>
      <c r="D458">
        <v>465</v>
      </c>
      <c r="E458" t="s">
        <v>3198</v>
      </c>
      <c r="F458" t="s">
        <v>3199</v>
      </c>
      <c r="G458" t="s">
        <v>2049</v>
      </c>
      <c r="H458" t="s">
        <v>3200</v>
      </c>
      <c r="I458" t="s">
        <v>3201</v>
      </c>
      <c r="J458" t="s">
        <v>28</v>
      </c>
      <c r="K458" t="s">
        <v>3202</v>
      </c>
      <c r="L458" t="s">
        <v>43</v>
      </c>
      <c r="M458">
        <v>234913217003</v>
      </c>
      <c r="N458" t="s">
        <v>31</v>
      </c>
      <c r="O458" t="s">
        <v>7879</v>
      </c>
      <c r="P458" t="s">
        <v>7940</v>
      </c>
      <c r="Q458" t="s">
        <v>87</v>
      </c>
      <c r="R458" t="s">
        <v>33</v>
      </c>
      <c r="S458" t="s">
        <v>34</v>
      </c>
      <c r="T458" s="1">
        <v>195000</v>
      </c>
      <c r="U458">
        <v>0</v>
      </c>
      <c r="V458">
        <v>0</v>
      </c>
      <c r="W458" t="s">
        <v>3203</v>
      </c>
    </row>
    <row r="459" spans="1:23" x14ac:dyDescent="0.25">
      <c r="A459">
        <v>23992</v>
      </c>
      <c r="B459" t="s">
        <v>23</v>
      </c>
      <c r="D459">
        <v>466</v>
      </c>
      <c r="E459" t="s">
        <v>3204</v>
      </c>
      <c r="F459" t="s">
        <v>3205</v>
      </c>
      <c r="G459" t="s">
        <v>3206</v>
      </c>
      <c r="H459" t="s">
        <v>3207</v>
      </c>
      <c r="I459" t="s">
        <v>3208</v>
      </c>
      <c r="J459" t="s">
        <v>28</v>
      </c>
      <c r="K459" t="s">
        <v>3209</v>
      </c>
      <c r="L459" t="s">
        <v>43</v>
      </c>
      <c r="M459" s="2" t="s">
        <v>3210</v>
      </c>
      <c r="N459" t="s">
        <v>31</v>
      </c>
      <c r="O459" t="s">
        <v>7879</v>
      </c>
      <c r="P459" t="s">
        <v>7893</v>
      </c>
      <c r="Q459" t="s">
        <v>87</v>
      </c>
      <c r="R459" t="s">
        <v>33</v>
      </c>
      <c r="S459" t="s">
        <v>34</v>
      </c>
      <c r="T459" s="1">
        <v>195000</v>
      </c>
      <c r="U459">
        <v>0</v>
      </c>
      <c r="V459">
        <v>0</v>
      </c>
      <c r="W459" t="s">
        <v>3211</v>
      </c>
    </row>
    <row r="460" spans="1:23" x14ac:dyDescent="0.25">
      <c r="A460">
        <v>24075</v>
      </c>
      <c r="B460" t="s">
        <v>23</v>
      </c>
      <c r="D460">
        <v>467</v>
      </c>
      <c r="E460" t="s">
        <v>3212</v>
      </c>
      <c r="F460" t="s">
        <v>3213</v>
      </c>
      <c r="G460" t="s">
        <v>1567</v>
      </c>
      <c r="H460" t="s">
        <v>3214</v>
      </c>
      <c r="I460" t="s">
        <v>3215</v>
      </c>
      <c r="J460" t="s">
        <v>53</v>
      </c>
      <c r="K460" t="s">
        <v>3216</v>
      </c>
      <c r="L460" t="s">
        <v>43</v>
      </c>
      <c r="M460" s="2" t="s">
        <v>3217</v>
      </c>
      <c r="N460" t="s">
        <v>31</v>
      </c>
      <c r="O460" t="s">
        <v>7879</v>
      </c>
      <c r="P460" t="s">
        <v>7888</v>
      </c>
      <c r="Q460" t="s">
        <v>46</v>
      </c>
      <c r="R460" t="s">
        <v>33</v>
      </c>
      <c r="S460" t="s">
        <v>34</v>
      </c>
      <c r="T460" s="1">
        <v>195000</v>
      </c>
      <c r="U460">
        <v>0</v>
      </c>
      <c r="V460">
        <v>0</v>
      </c>
      <c r="W460" t="s">
        <v>3218</v>
      </c>
    </row>
    <row r="461" spans="1:23" x14ac:dyDescent="0.25">
      <c r="A461">
        <v>4144</v>
      </c>
      <c r="B461" t="s">
        <v>23</v>
      </c>
      <c r="D461">
        <v>468</v>
      </c>
      <c r="E461" t="s">
        <v>3219</v>
      </c>
      <c r="F461" t="s">
        <v>3220</v>
      </c>
      <c r="G461" t="s">
        <v>3221</v>
      </c>
      <c r="H461" t="s">
        <v>3222</v>
      </c>
      <c r="I461" t="s">
        <v>7993</v>
      </c>
      <c r="J461" t="s">
        <v>28</v>
      </c>
      <c r="K461" t="s">
        <v>7994</v>
      </c>
      <c r="L461" t="s">
        <v>43</v>
      </c>
      <c r="M461" s="2" t="s">
        <v>3223</v>
      </c>
      <c r="N461" t="s">
        <v>31</v>
      </c>
      <c r="O461" t="s">
        <v>7886</v>
      </c>
      <c r="P461" t="s">
        <v>7981</v>
      </c>
      <c r="Q461" t="s">
        <v>63</v>
      </c>
      <c r="R461" t="s">
        <v>33</v>
      </c>
      <c r="S461" t="s">
        <v>34</v>
      </c>
      <c r="T461" s="1">
        <v>812500</v>
      </c>
      <c r="U461">
        <v>0</v>
      </c>
      <c r="V461" s="1">
        <v>162500</v>
      </c>
      <c r="W461" t="s">
        <v>3224</v>
      </c>
    </row>
    <row r="462" spans="1:23" x14ac:dyDescent="0.25">
      <c r="A462">
        <v>24360</v>
      </c>
      <c r="B462" t="s">
        <v>23</v>
      </c>
      <c r="D462">
        <v>469</v>
      </c>
      <c r="E462" t="s">
        <v>3225</v>
      </c>
      <c r="F462" t="s">
        <v>3226</v>
      </c>
      <c r="G462" t="s">
        <v>3227</v>
      </c>
      <c r="I462" t="s">
        <v>3228</v>
      </c>
      <c r="J462" t="s">
        <v>53</v>
      </c>
      <c r="K462" t="s">
        <v>968</v>
      </c>
      <c r="L462" t="s">
        <v>453</v>
      </c>
      <c r="M462" s="2" t="s">
        <v>3229</v>
      </c>
      <c r="N462" t="s">
        <v>31</v>
      </c>
      <c r="O462" t="s">
        <v>7879</v>
      </c>
      <c r="P462" t="s">
        <v>7893</v>
      </c>
      <c r="Q462" t="s">
        <v>455</v>
      </c>
      <c r="R462" t="s">
        <v>130</v>
      </c>
      <c r="S462" t="s">
        <v>131</v>
      </c>
      <c r="T462">
        <v>150</v>
      </c>
      <c r="U462">
        <v>0</v>
      </c>
      <c r="V462">
        <v>0</v>
      </c>
      <c r="W462" t="s">
        <v>3230</v>
      </c>
    </row>
    <row r="463" spans="1:23" x14ac:dyDescent="0.25">
      <c r="A463">
        <v>1213</v>
      </c>
      <c r="B463" t="s">
        <v>23</v>
      </c>
      <c r="D463">
        <v>470</v>
      </c>
      <c r="E463" t="s">
        <v>3231</v>
      </c>
      <c r="F463" t="s">
        <v>3232</v>
      </c>
      <c r="G463" t="s">
        <v>3233</v>
      </c>
      <c r="H463" t="s">
        <v>3234</v>
      </c>
      <c r="I463" t="s">
        <v>3235</v>
      </c>
      <c r="J463" t="s">
        <v>28</v>
      </c>
      <c r="K463" t="s">
        <v>3236</v>
      </c>
      <c r="L463" t="s">
        <v>43</v>
      </c>
      <c r="M463" s="2" t="s">
        <v>3237</v>
      </c>
      <c r="N463" t="s">
        <v>31</v>
      </c>
      <c r="O463" t="s">
        <v>7886</v>
      </c>
      <c r="P463" t="s">
        <v>7940</v>
      </c>
      <c r="Q463" t="s">
        <v>63</v>
      </c>
      <c r="R463" t="s">
        <v>33</v>
      </c>
      <c r="S463" t="s">
        <v>34</v>
      </c>
      <c r="T463" s="1">
        <v>812500</v>
      </c>
      <c r="U463">
        <v>0</v>
      </c>
      <c r="V463" s="1">
        <v>162500</v>
      </c>
      <c r="W463" t="s">
        <v>3238</v>
      </c>
    </row>
    <row r="464" spans="1:23" x14ac:dyDescent="0.25">
      <c r="A464">
        <v>24166</v>
      </c>
      <c r="B464" t="s">
        <v>23</v>
      </c>
      <c r="D464">
        <v>471</v>
      </c>
      <c r="E464" t="s">
        <v>3239</v>
      </c>
      <c r="F464" t="s">
        <v>2788</v>
      </c>
      <c r="G464" t="s">
        <v>3240</v>
      </c>
      <c r="H464" t="s">
        <v>2259</v>
      </c>
      <c r="I464" t="s">
        <v>3241</v>
      </c>
      <c r="J464" t="s">
        <v>28</v>
      </c>
      <c r="K464" t="s">
        <v>3242</v>
      </c>
      <c r="L464" t="s">
        <v>43</v>
      </c>
      <c r="M464" s="2" t="s">
        <v>3243</v>
      </c>
      <c r="N464" t="s">
        <v>31</v>
      </c>
      <c r="O464" t="s">
        <v>7879</v>
      </c>
      <c r="P464" t="s">
        <v>7940</v>
      </c>
      <c r="Q464" t="s">
        <v>46</v>
      </c>
      <c r="R464" t="s">
        <v>33</v>
      </c>
      <c r="S464" t="s">
        <v>34</v>
      </c>
      <c r="T464" s="1">
        <v>195000</v>
      </c>
      <c r="U464">
        <v>0</v>
      </c>
      <c r="V464">
        <v>0</v>
      </c>
      <c r="W464" t="s">
        <v>3244</v>
      </c>
    </row>
    <row r="465" spans="1:23" x14ac:dyDescent="0.25">
      <c r="A465">
        <v>19555</v>
      </c>
      <c r="B465" t="s">
        <v>23</v>
      </c>
      <c r="D465">
        <v>472</v>
      </c>
      <c r="E465" t="s">
        <v>3245</v>
      </c>
      <c r="F465" t="s">
        <v>3246</v>
      </c>
      <c r="G465" t="s">
        <v>3247</v>
      </c>
      <c r="H465" t="s">
        <v>3248</v>
      </c>
      <c r="I465" t="s">
        <v>7920</v>
      </c>
      <c r="J465" t="s">
        <v>53</v>
      </c>
      <c r="K465" t="s">
        <v>3249</v>
      </c>
      <c r="L465" t="s">
        <v>43</v>
      </c>
      <c r="M465" s="2" t="s">
        <v>3250</v>
      </c>
      <c r="N465" t="s">
        <v>45</v>
      </c>
      <c r="O465" t="s">
        <v>7881</v>
      </c>
      <c r="P465" t="s">
        <v>7893</v>
      </c>
      <c r="Q465" t="s">
        <v>87</v>
      </c>
      <c r="R465" t="s">
        <v>33</v>
      </c>
      <c r="S465" t="s">
        <v>34</v>
      </c>
      <c r="T465" s="1">
        <v>552500</v>
      </c>
      <c r="U465">
        <v>0</v>
      </c>
      <c r="V465">
        <v>0</v>
      </c>
      <c r="W465" t="s">
        <v>3251</v>
      </c>
    </row>
    <row r="466" spans="1:23" x14ac:dyDescent="0.25">
      <c r="A466">
        <v>7270</v>
      </c>
      <c r="B466" t="s">
        <v>23</v>
      </c>
      <c r="D466">
        <v>473</v>
      </c>
      <c r="E466" t="s">
        <v>3252</v>
      </c>
      <c r="F466" t="s">
        <v>3253</v>
      </c>
      <c r="G466" t="s">
        <v>3254</v>
      </c>
      <c r="H466" t="s">
        <v>196</v>
      </c>
      <c r="I466" t="s">
        <v>3255</v>
      </c>
      <c r="J466" t="s">
        <v>53</v>
      </c>
      <c r="K466" t="s">
        <v>3256</v>
      </c>
      <c r="L466" t="s">
        <v>43</v>
      </c>
      <c r="M466" s="2" t="s">
        <v>3257</v>
      </c>
      <c r="N466" t="s">
        <v>45</v>
      </c>
      <c r="O466" t="s">
        <v>7881</v>
      </c>
      <c r="P466" t="s">
        <v>7893</v>
      </c>
      <c r="Q466" t="s">
        <v>46</v>
      </c>
      <c r="R466" t="s">
        <v>33</v>
      </c>
      <c r="S466" t="s">
        <v>34</v>
      </c>
      <c r="T466" s="1">
        <v>552500</v>
      </c>
      <c r="U466">
        <v>0</v>
      </c>
      <c r="V466">
        <v>0</v>
      </c>
      <c r="W466" t="s">
        <v>3258</v>
      </c>
    </row>
    <row r="467" spans="1:23" x14ac:dyDescent="0.25">
      <c r="A467">
        <v>24443</v>
      </c>
      <c r="B467" t="s">
        <v>23</v>
      </c>
      <c r="D467">
        <v>474</v>
      </c>
      <c r="E467" t="s">
        <v>3259</v>
      </c>
      <c r="F467" t="s">
        <v>3260</v>
      </c>
      <c r="G467" t="s">
        <v>598</v>
      </c>
      <c r="H467" t="s">
        <v>3261</v>
      </c>
      <c r="I467" t="s">
        <v>3262</v>
      </c>
      <c r="J467" t="s">
        <v>53</v>
      </c>
      <c r="K467" t="s">
        <v>3263</v>
      </c>
      <c r="L467" t="s">
        <v>43</v>
      </c>
      <c r="M467" s="2" t="s">
        <v>3264</v>
      </c>
      <c r="N467" t="s">
        <v>31</v>
      </c>
      <c r="O467" t="s">
        <v>7879</v>
      </c>
      <c r="P467" t="s">
        <v>7888</v>
      </c>
      <c r="Q467" t="s">
        <v>87</v>
      </c>
      <c r="R467" t="s">
        <v>33</v>
      </c>
      <c r="S467" t="s">
        <v>34</v>
      </c>
      <c r="T467" s="1">
        <v>195000</v>
      </c>
      <c r="U467">
        <v>0</v>
      </c>
      <c r="V467">
        <v>0</v>
      </c>
      <c r="W467" t="s">
        <v>3265</v>
      </c>
    </row>
    <row r="468" spans="1:23" x14ac:dyDescent="0.25">
      <c r="A468">
        <v>19648</v>
      </c>
      <c r="B468" t="s">
        <v>23</v>
      </c>
      <c r="D468">
        <v>475</v>
      </c>
      <c r="E468" t="s">
        <v>3266</v>
      </c>
      <c r="F468" t="s">
        <v>3267</v>
      </c>
      <c r="G468" t="s">
        <v>1566</v>
      </c>
      <c r="H468" t="s">
        <v>3268</v>
      </c>
      <c r="I468" t="s">
        <v>3269</v>
      </c>
      <c r="J468" t="s">
        <v>28</v>
      </c>
      <c r="K468" t="s">
        <v>3270</v>
      </c>
      <c r="L468" t="s">
        <v>43</v>
      </c>
      <c r="M468">
        <v>2348065666463</v>
      </c>
      <c r="N468" t="s">
        <v>45</v>
      </c>
      <c r="O468" t="s">
        <v>7881</v>
      </c>
      <c r="P468" t="s">
        <v>7981</v>
      </c>
      <c r="Q468" t="s">
        <v>46</v>
      </c>
      <c r="R468" t="s">
        <v>33</v>
      </c>
      <c r="S468" t="s">
        <v>34</v>
      </c>
      <c r="T468" s="1">
        <v>552500</v>
      </c>
      <c r="U468">
        <v>0</v>
      </c>
      <c r="V468">
        <v>0</v>
      </c>
      <c r="W468" t="s">
        <v>3271</v>
      </c>
    </row>
    <row r="469" spans="1:23" x14ac:dyDescent="0.25">
      <c r="A469">
        <v>21480</v>
      </c>
      <c r="B469" t="s">
        <v>23</v>
      </c>
      <c r="D469">
        <v>476</v>
      </c>
      <c r="E469" t="s">
        <v>3272</v>
      </c>
      <c r="F469" t="s">
        <v>3273</v>
      </c>
      <c r="G469" t="s">
        <v>3274</v>
      </c>
      <c r="H469" t="s">
        <v>3275</v>
      </c>
      <c r="I469" t="s">
        <v>3276</v>
      </c>
      <c r="J469" t="s">
        <v>53</v>
      </c>
      <c r="K469" t="s">
        <v>3277</v>
      </c>
      <c r="L469" t="s">
        <v>43</v>
      </c>
      <c r="M469" s="2" t="s">
        <v>3278</v>
      </c>
      <c r="N469" t="s">
        <v>31</v>
      </c>
      <c r="O469" t="s">
        <v>7881</v>
      </c>
      <c r="P469" t="s">
        <v>7940</v>
      </c>
      <c r="Q469" t="s">
        <v>63</v>
      </c>
      <c r="R469" t="s">
        <v>33</v>
      </c>
      <c r="S469" t="s">
        <v>34</v>
      </c>
      <c r="T469" s="1">
        <v>552500</v>
      </c>
      <c r="U469">
        <v>0</v>
      </c>
      <c r="V469">
        <v>0</v>
      </c>
      <c r="W469" t="s">
        <v>3279</v>
      </c>
    </row>
    <row r="470" spans="1:23" x14ac:dyDescent="0.25">
      <c r="A470">
        <v>24139</v>
      </c>
      <c r="B470" t="s">
        <v>23</v>
      </c>
      <c r="D470">
        <v>477</v>
      </c>
      <c r="E470" t="s">
        <v>3280</v>
      </c>
      <c r="F470" t="s">
        <v>3281</v>
      </c>
      <c r="G470" t="s">
        <v>1567</v>
      </c>
      <c r="H470" t="s">
        <v>3282</v>
      </c>
      <c r="I470" t="s">
        <v>3283</v>
      </c>
      <c r="J470" t="s">
        <v>53</v>
      </c>
      <c r="K470" t="s">
        <v>3284</v>
      </c>
      <c r="L470" t="s">
        <v>43</v>
      </c>
      <c r="M470" s="2" t="s">
        <v>3285</v>
      </c>
      <c r="N470" t="s">
        <v>31</v>
      </c>
      <c r="O470" t="s">
        <v>7879</v>
      </c>
      <c r="P470" t="s">
        <v>7893</v>
      </c>
      <c r="Q470" t="s">
        <v>46</v>
      </c>
      <c r="R470" t="s">
        <v>33</v>
      </c>
      <c r="S470" t="s">
        <v>34</v>
      </c>
      <c r="T470" s="1">
        <v>195000</v>
      </c>
      <c r="U470">
        <v>0</v>
      </c>
      <c r="V470">
        <v>0</v>
      </c>
      <c r="W470" t="s">
        <v>3286</v>
      </c>
    </row>
    <row r="471" spans="1:23" x14ac:dyDescent="0.25">
      <c r="A471">
        <v>24419</v>
      </c>
      <c r="B471" t="s">
        <v>23</v>
      </c>
      <c r="D471">
        <v>478</v>
      </c>
      <c r="E471" t="s">
        <v>3287</v>
      </c>
      <c r="F471" t="s">
        <v>3288</v>
      </c>
      <c r="G471" t="s">
        <v>1440</v>
      </c>
      <c r="H471" t="s">
        <v>866</v>
      </c>
      <c r="I471" t="s">
        <v>3289</v>
      </c>
      <c r="J471" t="s">
        <v>28</v>
      </c>
      <c r="K471" t="s">
        <v>3290</v>
      </c>
      <c r="L471" t="s">
        <v>43</v>
      </c>
      <c r="M471">
        <v>2347069004595</v>
      </c>
      <c r="N471" t="s">
        <v>31</v>
      </c>
      <c r="O471" t="s">
        <v>7879</v>
      </c>
      <c r="P471" t="s">
        <v>7893</v>
      </c>
      <c r="Q471" t="s">
        <v>46</v>
      </c>
      <c r="R471" t="s">
        <v>33</v>
      </c>
      <c r="S471" t="s">
        <v>34</v>
      </c>
      <c r="T471" s="1">
        <v>195000</v>
      </c>
      <c r="U471">
        <v>0</v>
      </c>
      <c r="V471">
        <v>0</v>
      </c>
      <c r="W471" t="s">
        <v>3291</v>
      </c>
    </row>
    <row r="472" spans="1:23" x14ac:dyDescent="0.25">
      <c r="A472">
        <v>18907</v>
      </c>
      <c r="B472" t="s">
        <v>23</v>
      </c>
      <c r="D472">
        <v>479</v>
      </c>
      <c r="E472" t="s">
        <v>3292</v>
      </c>
      <c r="F472" t="s">
        <v>3293</v>
      </c>
      <c r="G472" t="s">
        <v>3294</v>
      </c>
      <c r="H472" t="s">
        <v>3295</v>
      </c>
      <c r="I472" t="s">
        <v>3296</v>
      </c>
      <c r="J472" t="s">
        <v>28</v>
      </c>
      <c r="K472" t="s">
        <v>3297</v>
      </c>
      <c r="L472" t="s">
        <v>30</v>
      </c>
      <c r="M472">
        <v>2203869527</v>
      </c>
      <c r="N472" t="s">
        <v>31</v>
      </c>
      <c r="O472" t="s">
        <v>7881</v>
      </c>
      <c r="P472" t="s">
        <v>7940</v>
      </c>
      <c r="Q472" t="s">
        <v>455</v>
      </c>
      <c r="R472" t="s">
        <v>130</v>
      </c>
      <c r="S472" t="s">
        <v>131</v>
      </c>
      <c r="T472">
        <v>425</v>
      </c>
      <c r="U472">
        <v>0</v>
      </c>
      <c r="V472">
        <v>0</v>
      </c>
      <c r="W472" t="s">
        <v>3298</v>
      </c>
    </row>
    <row r="473" spans="1:23" x14ac:dyDescent="0.25">
      <c r="A473">
        <v>7375</v>
      </c>
      <c r="B473" t="s">
        <v>23</v>
      </c>
      <c r="D473">
        <v>480</v>
      </c>
      <c r="E473" t="s">
        <v>3299</v>
      </c>
      <c r="F473" t="s">
        <v>3300</v>
      </c>
      <c r="G473" t="s">
        <v>3301</v>
      </c>
      <c r="H473" t="s">
        <v>3302</v>
      </c>
      <c r="I473" t="s">
        <v>7889</v>
      </c>
      <c r="J473" t="s">
        <v>28</v>
      </c>
      <c r="K473" t="s">
        <v>3303</v>
      </c>
      <c r="L473" t="s">
        <v>43</v>
      </c>
      <c r="M473">
        <v>8033616592</v>
      </c>
      <c r="N473" t="s">
        <v>31</v>
      </c>
      <c r="O473" t="s">
        <v>7886</v>
      </c>
      <c r="P473" t="s">
        <v>7888</v>
      </c>
      <c r="Q473" t="s">
        <v>63</v>
      </c>
      <c r="R473" t="s">
        <v>33</v>
      </c>
      <c r="S473" t="s">
        <v>34</v>
      </c>
      <c r="T473" s="1">
        <v>812500</v>
      </c>
      <c r="U473">
        <v>0</v>
      </c>
      <c r="V473" s="1">
        <v>162500</v>
      </c>
      <c r="W473" t="s">
        <v>3304</v>
      </c>
    </row>
    <row r="474" spans="1:23" x14ac:dyDescent="0.25">
      <c r="A474">
        <v>19397</v>
      </c>
      <c r="B474" t="s">
        <v>23</v>
      </c>
      <c r="D474">
        <v>481</v>
      </c>
      <c r="E474" t="s">
        <v>3305</v>
      </c>
      <c r="F474" t="s">
        <v>3306</v>
      </c>
      <c r="G474" t="s">
        <v>672</v>
      </c>
      <c r="H474" t="s">
        <v>196</v>
      </c>
      <c r="I474" t="s">
        <v>3307</v>
      </c>
      <c r="J474" t="s">
        <v>53</v>
      </c>
      <c r="K474" t="s">
        <v>3308</v>
      </c>
      <c r="L474" t="s">
        <v>43</v>
      </c>
      <c r="M474" s="2" t="s">
        <v>3309</v>
      </c>
      <c r="N474" t="s">
        <v>31</v>
      </c>
      <c r="O474" t="s">
        <v>7881</v>
      </c>
      <c r="P474" t="s">
        <v>8028</v>
      </c>
      <c r="Q474" t="s">
        <v>63</v>
      </c>
      <c r="R474" t="s">
        <v>33</v>
      </c>
      <c r="S474" t="s">
        <v>34</v>
      </c>
      <c r="T474" s="1">
        <v>552500</v>
      </c>
      <c r="U474">
        <v>0</v>
      </c>
      <c r="V474">
        <v>0</v>
      </c>
      <c r="W474" t="s">
        <v>3310</v>
      </c>
    </row>
    <row r="475" spans="1:23" x14ac:dyDescent="0.25">
      <c r="A475">
        <v>24306</v>
      </c>
      <c r="B475" t="s">
        <v>23</v>
      </c>
      <c r="D475">
        <v>482</v>
      </c>
      <c r="E475" t="s">
        <v>3311</v>
      </c>
      <c r="F475" t="s">
        <v>3312</v>
      </c>
      <c r="G475" t="s">
        <v>3313</v>
      </c>
      <c r="H475" t="s">
        <v>3314</v>
      </c>
      <c r="I475" t="s">
        <v>3315</v>
      </c>
      <c r="J475" t="s">
        <v>53</v>
      </c>
      <c r="K475" t="s">
        <v>3316</v>
      </c>
      <c r="L475" t="s">
        <v>453</v>
      </c>
      <c r="M475">
        <v>233551825918</v>
      </c>
      <c r="N475" t="s">
        <v>31</v>
      </c>
      <c r="O475" t="s">
        <v>7879</v>
      </c>
      <c r="P475" t="s">
        <v>7888</v>
      </c>
      <c r="Q475" t="s">
        <v>455</v>
      </c>
      <c r="R475" t="s">
        <v>130</v>
      </c>
      <c r="S475" t="s">
        <v>131</v>
      </c>
      <c r="T475">
        <v>150</v>
      </c>
      <c r="U475">
        <v>0</v>
      </c>
      <c r="V475">
        <v>0</v>
      </c>
      <c r="W475" t="s">
        <v>3317</v>
      </c>
    </row>
    <row r="476" spans="1:23" x14ac:dyDescent="0.25">
      <c r="A476">
        <v>21871</v>
      </c>
      <c r="B476" t="s">
        <v>23</v>
      </c>
      <c r="D476">
        <v>483</v>
      </c>
      <c r="E476" t="s">
        <v>3318</v>
      </c>
      <c r="F476" t="s">
        <v>3319</v>
      </c>
      <c r="G476" t="s">
        <v>3320</v>
      </c>
      <c r="H476" t="s">
        <v>3321</v>
      </c>
      <c r="I476" t="s">
        <v>3322</v>
      </c>
      <c r="J476" t="s">
        <v>28</v>
      </c>
      <c r="K476" t="s">
        <v>1095</v>
      </c>
      <c r="L476" t="s">
        <v>453</v>
      </c>
      <c r="M476" s="2" t="s">
        <v>3323</v>
      </c>
      <c r="N476" t="s">
        <v>45</v>
      </c>
      <c r="O476" t="s">
        <v>7879</v>
      </c>
      <c r="P476" t="s">
        <v>7893</v>
      </c>
      <c r="Q476" t="s">
        <v>455</v>
      </c>
      <c r="R476" t="s">
        <v>130</v>
      </c>
      <c r="S476" t="s">
        <v>131</v>
      </c>
      <c r="T476">
        <v>150</v>
      </c>
      <c r="U476">
        <v>0</v>
      </c>
      <c r="V476">
        <v>0</v>
      </c>
      <c r="W476" t="s">
        <v>3324</v>
      </c>
    </row>
    <row r="477" spans="1:23" x14ac:dyDescent="0.25">
      <c r="A477">
        <v>18934</v>
      </c>
      <c r="B477" t="s">
        <v>23</v>
      </c>
      <c r="D477">
        <v>484</v>
      </c>
      <c r="E477" t="s">
        <v>3325</v>
      </c>
      <c r="F477" t="s">
        <v>3326</v>
      </c>
      <c r="G477" t="s">
        <v>3327</v>
      </c>
      <c r="I477" t="s">
        <v>3328</v>
      </c>
      <c r="J477" t="s">
        <v>53</v>
      </c>
      <c r="K477" t="s">
        <v>3329</v>
      </c>
      <c r="L477" t="s">
        <v>453</v>
      </c>
      <c r="M477" t="s">
        <v>3330</v>
      </c>
      <c r="N477" t="s">
        <v>45</v>
      </c>
      <c r="O477" t="s">
        <v>7881</v>
      </c>
      <c r="P477" t="s">
        <v>7893</v>
      </c>
      <c r="Q477" t="s">
        <v>455</v>
      </c>
      <c r="R477" t="s">
        <v>130</v>
      </c>
      <c r="S477" t="s">
        <v>131</v>
      </c>
      <c r="T477">
        <v>425</v>
      </c>
      <c r="U477">
        <v>0</v>
      </c>
      <c r="V477">
        <v>0</v>
      </c>
      <c r="W477" t="s">
        <v>3331</v>
      </c>
    </row>
    <row r="478" spans="1:23" x14ac:dyDescent="0.25">
      <c r="A478">
        <v>23418</v>
      </c>
      <c r="B478" t="s">
        <v>23</v>
      </c>
      <c r="D478">
        <v>485</v>
      </c>
      <c r="E478" t="s">
        <v>3332</v>
      </c>
      <c r="F478" t="s">
        <v>964</v>
      </c>
      <c r="G478" t="s">
        <v>39</v>
      </c>
      <c r="H478" t="s">
        <v>3333</v>
      </c>
      <c r="I478" t="s">
        <v>3334</v>
      </c>
      <c r="J478" t="s">
        <v>28</v>
      </c>
      <c r="K478" t="s">
        <v>480</v>
      </c>
      <c r="L478" t="s">
        <v>453</v>
      </c>
      <c r="M478" s="2" t="s">
        <v>3335</v>
      </c>
      <c r="N478" t="s">
        <v>31</v>
      </c>
      <c r="O478" t="s">
        <v>7879</v>
      </c>
      <c r="P478" t="s">
        <v>7981</v>
      </c>
      <c r="Q478" t="s">
        <v>455</v>
      </c>
      <c r="R478" t="s">
        <v>130</v>
      </c>
      <c r="S478" t="s">
        <v>131</v>
      </c>
      <c r="T478">
        <v>150</v>
      </c>
      <c r="U478">
        <v>0</v>
      </c>
      <c r="V478">
        <v>0</v>
      </c>
      <c r="W478" t="s">
        <v>3336</v>
      </c>
    </row>
    <row r="479" spans="1:23" x14ac:dyDescent="0.25">
      <c r="A479">
        <v>19183</v>
      </c>
      <c r="B479" t="s">
        <v>23</v>
      </c>
      <c r="D479">
        <v>486</v>
      </c>
      <c r="E479" t="s">
        <v>3337</v>
      </c>
      <c r="F479" t="s">
        <v>3338</v>
      </c>
      <c r="G479" t="s">
        <v>3339</v>
      </c>
      <c r="H479" t="s">
        <v>3340</v>
      </c>
      <c r="I479" t="s">
        <v>7890</v>
      </c>
      <c r="J479" t="s">
        <v>28</v>
      </c>
      <c r="K479" t="s">
        <v>2295</v>
      </c>
      <c r="L479" t="s">
        <v>43</v>
      </c>
      <c r="M479" s="2" t="s">
        <v>3341</v>
      </c>
      <c r="N479" t="s">
        <v>31</v>
      </c>
      <c r="O479" t="s">
        <v>7881</v>
      </c>
      <c r="P479" t="s">
        <v>7888</v>
      </c>
      <c r="Q479" t="s">
        <v>63</v>
      </c>
      <c r="R479" t="s">
        <v>33</v>
      </c>
      <c r="S479" t="s">
        <v>34</v>
      </c>
      <c r="T479" s="1">
        <v>552500</v>
      </c>
      <c r="U479" s="1">
        <v>110500</v>
      </c>
      <c r="V479">
        <v>0</v>
      </c>
      <c r="W479" t="s">
        <v>3342</v>
      </c>
    </row>
    <row r="480" spans="1:23" x14ac:dyDescent="0.25">
      <c r="A480">
        <v>10973</v>
      </c>
      <c r="B480" t="s">
        <v>23</v>
      </c>
      <c r="D480">
        <v>487</v>
      </c>
      <c r="E480" t="s">
        <v>3343</v>
      </c>
      <c r="F480" t="s">
        <v>3344</v>
      </c>
      <c r="G480" t="s">
        <v>631</v>
      </c>
      <c r="H480" t="s">
        <v>3345</v>
      </c>
      <c r="I480" t="s">
        <v>3346</v>
      </c>
      <c r="J480" t="s">
        <v>28</v>
      </c>
      <c r="K480" t="s">
        <v>3347</v>
      </c>
      <c r="L480" t="s">
        <v>43</v>
      </c>
      <c r="M480" s="2" t="s">
        <v>3348</v>
      </c>
      <c r="N480" t="s">
        <v>31</v>
      </c>
      <c r="O480" t="s">
        <v>7881</v>
      </c>
      <c r="P480" t="s">
        <v>7940</v>
      </c>
      <c r="Q480" t="s">
        <v>46</v>
      </c>
      <c r="R480" t="s">
        <v>33</v>
      </c>
      <c r="S480" t="s">
        <v>34</v>
      </c>
      <c r="T480" s="1">
        <v>552500</v>
      </c>
      <c r="U480">
        <v>0</v>
      </c>
      <c r="V480">
        <v>0</v>
      </c>
      <c r="W480" t="s">
        <v>3349</v>
      </c>
    </row>
    <row r="481" spans="1:23" x14ac:dyDescent="0.25">
      <c r="A481">
        <v>24042</v>
      </c>
      <c r="B481" t="s">
        <v>23</v>
      </c>
      <c r="D481">
        <v>488</v>
      </c>
      <c r="E481" t="s">
        <v>3350</v>
      </c>
      <c r="F481" t="s">
        <v>3351</v>
      </c>
      <c r="G481" t="s">
        <v>3352</v>
      </c>
      <c r="H481" t="s">
        <v>3353</v>
      </c>
      <c r="I481" t="s">
        <v>3354</v>
      </c>
      <c r="J481" t="s">
        <v>53</v>
      </c>
      <c r="K481" t="s">
        <v>3355</v>
      </c>
      <c r="L481" t="s">
        <v>43</v>
      </c>
      <c r="M481" s="2" t="s">
        <v>3356</v>
      </c>
      <c r="N481" t="s">
        <v>31</v>
      </c>
      <c r="O481" t="s">
        <v>7879</v>
      </c>
      <c r="P481" t="s">
        <v>8028</v>
      </c>
      <c r="Q481" t="s">
        <v>46</v>
      </c>
      <c r="R481" t="s">
        <v>33</v>
      </c>
      <c r="S481" t="s">
        <v>34</v>
      </c>
      <c r="T481" s="1">
        <v>195000</v>
      </c>
      <c r="U481">
        <v>0</v>
      </c>
      <c r="V481">
        <v>0</v>
      </c>
      <c r="W481" t="s">
        <v>3357</v>
      </c>
    </row>
    <row r="482" spans="1:23" x14ac:dyDescent="0.25">
      <c r="A482">
        <v>24338</v>
      </c>
      <c r="B482" t="s">
        <v>23</v>
      </c>
      <c r="D482">
        <v>489</v>
      </c>
      <c r="E482" t="s">
        <v>3358</v>
      </c>
      <c r="F482" t="s">
        <v>3359</v>
      </c>
      <c r="G482" t="s">
        <v>3360</v>
      </c>
      <c r="H482" t="s">
        <v>3361</v>
      </c>
      <c r="I482" t="s">
        <v>3362</v>
      </c>
      <c r="J482" t="s">
        <v>53</v>
      </c>
      <c r="K482" t="s">
        <v>3363</v>
      </c>
      <c r="L482" t="s">
        <v>43</v>
      </c>
      <c r="M482" s="2" t="s">
        <v>3364</v>
      </c>
      <c r="N482" t="s">
        <v>31</v>
      </c>
      <c r="O482" t="s">
        <v>7879</v>
      </c>
      <c r="P482" t="s">
        <v>7940</v>
      </c>
      <c r="Q482" t="s">
        <v>63</v>
      </c>
      <c r="R482" t="s">
        <v>33</v>
      </c>
      <c r="S482" t="s">
        <v>34</v>
      </c>
      <c r="T482" s="1">
        <v>195000</v>
      </c>
      <c r="U482">
        <v>0</v>
      </c>
      <c r="V482">
        <v>0</v>
      </c>
      <c r="W482" t="s">
        <v>3365</v>
      </c>
    </row>
    <row r="483" spans="1:23" x14ac:dyDescent="0.25">
      <c r="A483">
        <v>9431</v>
      </c>
      <c r="B483" t="s">
        <v>23</v>
      </c>
      <c r="D483">
        <v>490</v>
      </c>
      <c r="E483" s="11" t="s">
        <v>3366</v>
      </c>
      <c r="F483" t="s">
        <v>3367</v>
      </c>
      <c r="G483" t="s">
        <v>3368</v>
      </c>
      <c r="H483" t="s">
        <v>3369</v>
      </c>
      <c r="I483" t="s">
        <v>3370</v>
      </c>
      <c r="J483" t="s">
        <v>53</v>
      </c>
      <c r="K483" t="s">
        <v>3371</v>
      </c>
      <c r="L483" t="s">
        <v>43</v>
      </c>
      <c r="M483" s="2" t="s">
        <v>3372</v>
      </c>
      <c r="N483" t="s">
        <v>45</v>
      </c>
      <c r="O483" t="s">
        <v>7881</v>
      </c>
      <c r="P483" t="s">
        <v>7981</v>
      </c>
      <c r="Q483" t="s">
        <v>46</v>
      </c>
      <c r="R483" t="s">
        <v>33</v>
      </c>
      <c r="S483" t="s">
        <v>34</v>
      </c>
      <c r="T483" s="1">
        <v>552500</v>
      </c>
      <c r="U483">
        <v>0</v>
      </c>
      <c r="V483">
        <v>0</v>
      </c>
      <c r="W483" t="s">
        <v>3373</v>
      </c>
    </row>
    <row r="484" spans="1:23" x14ac:dyDescent="0.25">
      <c r="A484">
        <v>2852</v>
      </c>
      <c r="B484" t="s">
        <v>23</v>
      </c>
      <c r="D484">
        <v>491</v>
      </c>
      <c r="E484" s="11" t="s">
        <v>3374</v>
      </c>
      <c r="F484" t="s">
        <v>3375</v>
      </c>
      <c r="G484" t="s">
        <v>3376</v>
      </c>
      <c r="H484" t="s">
        <v>841</v>
      </c>
      <c r="I484" t="s">
        <v>822</v>
      </c>
      <c r="J484" t="s">
        <v>28</v>
      </c>
      <c r="K484" t="s">
        <v>822</v>
      </c>
      <c r="L484" t="s">
        <v>43</v>
      </c>
      <c r="M484">
        <v>8035610091</v>
      </c>
      <c r="N484" t="s">
        <v>21</v>
      </c>
      <c r="O484" t="s">
        <v>7886</v>
      </c>
      <c r="P484" t="s">
        <v>7940</v>
      </c>
      <c r="Q484" t="s">
        <v>46</v>
      </c>
      <c r="R484" t="s">
        <v>33</v>
      </c>
      <c r="S484" t="s">
        <v>34</v>
      </c>
      <c r="T484" s="1">
        <v>812500</v>
      </c>
      <c r="U484">
        <v>0</v>
      </c>
      <c r="V484" s="1">
        <v>162500</v>
      </c>
      <c r="W484" t="s">
        <v>3377</v>
      </c>
    </row>
    <row r="485" spans="1:23" x14ac:dyDescent="0.25">
      <c r="A485">
        <v>19485</v>
      </c>
      <c r="B485" t="s">
        <v>23</v>
      </c>
      <c r="D485">
        <v>492</v>
      </c>
      <c r="E485" t="s">
        <v>3378</v>
      </c>
      <c r="F485" t="s">
        <v>3379</v>
      </c>
      <c r="G485" t="s">
        <v>3380</v>
      </c>
      <c r="H485" t="s">
        <v>3381</v>
      </c>
      <c r="I485" t="s">
        <v>3382</v>
      </c>
      <c r="J485" t="s">
        <v>28</v>
      </c>
      <c r="K485" t="s">
        <v>3383</v>
      </c>
      <c r="L485" t="s">
        <v>43</v>
      </c>
      <c r="M485" s="2" t="s">
        <v>3384</v>
      </c>
      <c r="N485" t="s">
        <v>31</v>
      </c>
      <c r="O485" t="s">
        <v>7881</v>
      </c>
      <c r="P485" t="s">
        <v>7940</v>
      </c>
      <c r="Q485" t="s">
        <v>63</v>
      </c>
      <c r="R485" t="s">
        <v>33</v>
      </c>
      <c r="S485" t="s">
        <v>34</v>
      </c>
      <c r="T485" s="1">
        <v>552500</v>
      </c>
      <c r="U485">
        <v>0</v>
      </c>
      <c r="V485">
        <v>0</v>
      </c>
      <c r="W485" t="s">
        <v>3385</v>
      </c>
    </row>
    <row r="486" spans="1:23" s="5" customFormat="1" x14ac:dyDescent="0.25">
      <c r="A486" s="5" t="s">
        <v>6811</v>
      </c>
      <c r="B486" s="5" t="s">
        <v>23</v>
      </c>
      <c r="D486" s="5">
        <v>493</v>
      </c>
      <c r="E486" s="5" t="s">
        <v>3386</v>
      </c>
      <c r="F486" s="5" t="s">
        <v>3387</v>
      </c>
      <c r="G486" s="5" t="s">
        <v>3388</v>
      </c>
      <c r="H486" s="5" t="s">
        <v>2266</v>
      </c>
      <c r="I486" s="5" t="s">
        <v>3389</v>
      </c>
      <c r="J486" s="5" t="s">
        <v>53</v>
      </c>
      <c r="K486" s="5" t="s">
        <v>3390</v>
      </c>
      <c r="L486" s="5" t="s">
        <v>43</v>
      </c>
      <c r="M486" s="5">
        <v>2348067117303</v>
      </c>
      <c r="N486" s="5" t="s">
        <v>31</v>
      </c>
      <c r="O486" s="5" t="s">
        <v>7886</v>
      </c>
      <c r="P486" s="5" t="s">
        <v>7981</v>
      </c>
      <c r="Q486" s="5" t="s">
        <v>63</v>
      </c>
      <c r="R486" s="5" t="s">
        <v>33</v>
      </c>
      <c r="S486" s="5" t="s">
        <v>34</v>
      </c>
      <c r="T486" s="7">
        <v>812500</v>
      </c>
      <c r="U486" s="5">
        <v>0</v>
      </c>
      <c r="V486" s="7">
        <v>162500</v>
      </c>
      <c r="W486" s="5" t="s">
        <v>3391</v>
      </c>
    </row>
    <row r="487" spans="1:23" x14ac:dyDescent="0.25">
      <c r="A487">
        <v>19075</v>
      </c>
      <c r="B487" t="s">
        <v>23</v>
      </c>
      <c r="D487">
        <v>494</v>
      </c>
      <c r="E487" t="s">
        <v>3392</v>
      </c>
      <c r="F487" t="s">
        <v>3393</v>
      </c>
      <c r="G487" t="s">
        <v>3394</v>
      </c>
      <c r="H487" t="s">
        <v>3395</v>
      </c>
      <c r="I487" t="s">
        <v>3396</v>
      </c>
      <c r="J487" t="s">
        <v>28</v>
      </c>
      <c r="K487" t="s">
        <v>3397</v>
      </c>
      <c r="L487" t="s">
        <v>43</v>
      </c>
      <c r="M487" s="2" t="s">
        <v>3398</v>
      </c>
      <c r="N487" t="s">
        <v>45</v>
      </c>
      <c r="O487" t="s">
        <v>7879</v>
      </c>
      <c r="P487" t="s">
        <v>7940</v>
      </c>
      <c r="Q487" t="s">
        <v>46</v>
      </c>
      <c r="R487" t="s">
        <v>33</v>
      </c>
      <c r="S487" t="s">
        <v>34</v>
      </c>
      <c r="T487" s="1">
        <v>195000</v>
      </c>
      <c r="U487">
        <v>0</v>
      </c>
      <c r="V487">
        <v>0</v>
      </c>
      <c r="W487" t="s">
        <v>3399</v>
      </c>
    </row>
    <row r="488" spans="1:23" x14ac:dyDescent="0.25">
      <c r="A488">
        <v>6410</v>
      </c>
      <c r="B488" t="s">
        <v>23</v>
      </c>
      <c r="D488">
        <v>495</v>
      </c>
      <c r="E488" t="s">
        <v>3400</v>
      </c>
      <c r="F488" t="s">
        <v>1426</v>
      </c>
      <c r="G488" t="s">
        <v>3401</v>
      </c>
      <c r="H488" t="s">
        <v>3402</v>
      </c>
      <c r="I488" t="s">
        <v>7995</v>
      </c>
      <c r="J488" t="s">
        <v>53</v>
      </c>
      <c r="K488" t="s">
        <v>3403</v>
      </c>
      <c r="L488" t="s">
        <v>43</v>
      </c>
      <c r="M488">
        <v>8035945036</v>
      </c>
      <c r="N488" t="s">
        <v>31</v>
      </c>
      <c r="O488" t="s">
        <v>7886</v>
      </c>
      <c r="P488" t="s">
        <v>7981</v>
      </c>
      <c r="Q488" t="s">
        <v>46</v>
      </c>
      <c r="R488" t="s">
        <v>33</v>
      </c>
      <c r="S488" t="s">
        <v>34</v>
      </c>
      <c r="T488" s="1">
        <v>812500</v>
      </c>
      <c r="U488">
        <v>0</v>
      </c>
      <c r="V488" s="1">
        <v>162500</v>
      </c>
      <c r="W488" t="s">
        <v>3404</v>
      </c>
    </row>
    <row r="489" spans="1:23" x14ac:dyDescent="0.25">
      <c r="A489">
        <v>11654</v>
      </c>
      <c r="B489" t="s">
        <v>23</v>
      </c>
      <c r="D489">
        <v>496</v>
      </c>
      <c r="E489" t="s">
        <v>3405</v>
      </c>
      <c r="F489" t="s">
        <v>3406</v>
      </c>
      <c r="G489" t="s">
        <v>3407</v>
      </c>
      <c r="H489" t="s">
        <v>3408</v>
      </c>
      <c r="I489" t="s">
        <v>3409</v>
      </c>
      <c r="J489" t="s">
        <v>28</v>
      </c>
      <c r="K489" t="s">
        <v>3410</v>
      </c>
      <c r="L489" t="s">
        <v>43</v>
      </c>
      <c r="M489">
        <v>7063035797</v>
      </c>
      <c r="N489" t="s">
        <v>31</v>
      </c>
      <c r="O489" t="s">
        <v>7881</v>
      </c>
      <c r="P489" t="s">
        <v>7888</v>
      </c>
      <c r="Q489" t="s">
        <v>63</v>
      </c>
      <c r="R489" t="s">
        <v>33</v>
      </c>
      <c r="S489" t="s">
        <v>34</v>
      </c>
      <c r="T489" s="1">
        <v>552500</v>
      </c>
      <c r="U489" s="1">
        <v>110500</v>
      </c>
      <c r="V489">
        <v>0</v>
      </c>
      <c r="W489" t="s">
        <v>3411</v>
      </c>
    </row>
    <row r="490" spans="1:23" x14ac:dyDescent="0.25">
      <c r="A490">
        <v>22460</v>
      </c>
      <c r="B490" t="s">
        <v>23</v>
      </c>
      <c r="D490">
        <v>497</v>
      </c>
      <c r="E490" t="s">
        <v>3412</v>
      </c>
      <c r="F490" t="s">
        <v>2451</v>
      </c>
      <c r="G490" t="s">
        <v>3413</v>
      </c>
      <c r="H490" t="s">
        <v>3414</v>
      </c>
      <c r="I490" t="s">
        <v>3415</v>
      </c>
      <c r="J490" t="s">
        <v>53</v>
      </c>
      <c r="K490" t="s">
        <v>3416</v>
      </c>
      <c r="L490" t="s">
        <v>43</v>
      </c>
      <c r="M490" s="2" t="s">
        <v>3417</v>
      </c>
      <c r="N490" t="s">
        <v>244</v>
      </c>
      <c r="O490" t="s">
        <v>7886</v>
      </c>
      <c r="P490" t="s">
        <v>7888</v>
      </c>
      <c r="Q490" t="s">
        <v>46</v>
      </c>
      <c r="R490" t="s">
        <v>33</v>
      </c>
      <c r="S490" t="s">
        <v>34</v>
      </c>
      <c r="T490" s="1">
        <v>812500</v>
      </c>
      <c r="U490">
        <v>0</v>
      </c>
      <c r="V490">
        <v>0</v>
      </c>
      <c r="W490" t="s">
        <v>3418</v>
      </c>
    </row>
    <row r="491" spans="1:23" x14ac:dyDescent="0.25">
      <c r="A491">
        <v>18883</v>
      </c>
      <c r="B491" t="s">
        <v>23</v>
      </c>
      <c r="D491">
        <v>498</v>
      </c>
      <c r="E491" t="s">
        <v>3419</v>
      </c>
      <c r="F491" t="s">
        <v>3420</v>
      </c>
      <c r="G491" t="s">
        <v>3421</v>
      </c>
      <c r="I491" t="s">
        <v>3422</v>
      </c>
      <c r="J491" t="s">
        <v>28</v>
      </c>
      <c r="K491" t="s">
        <v>1152</v>
      </c>
      <c r="L491" t="s">
        <v>30</v>
      </c>
      <c r="M491">
        <v>2207098127</v>
      </c>
      <c r="N491" t="s">
        <v>31</v>
      </c>
      <c r="O491" t="s">
        <v>7881</v>
      </c>
      <c r="P491" t="s">
        <v>7940</v>
      </c>
      <c r="Q491" t="s">
        <v>32</v>
      </c>
      <c r="R491" t="s">
        <v>130</v>
      </c>
      <c r="S491" t="s">
        <v>131</v>
      </c>
      <c r="T491">
        <v>425</v>
      </c>
      <c r="U491">
        <v>0</v>
      </c>
      <c r="V491">
        <v>0</v>
      </c>
      <c r="W491" t="s">
        <v>3423</v>
      </c>
    </row>
    <row r="492" spans="1:23" x14ac:dyDescent="0.25">
      <c r="A492">
        <v>20023</v>
      </c>
      <c r="B492" t="s">
        <v>23</v>
      </c>
      <c r="D492">
        <v>499</v>
      </c>
      <c r="E492" t="s">
        <v>3424</v>
      </c>
      <c r="F492" t="s">
        <v>3425</v>
      </c>
      <c r="G492" t="s">
        <v>3426</v>
      </c>
      <c r="H492" t="s">
        <v>3427</v>
      </c>
      <c r="I492" t="s">
        <v>7996</v>
      </c>
      <c r="J492" t="s">
        <v>53</v>
      </c>
      <c r="K492" t="s">
        <v>3428</v>
      </c>
      <c r="L492" t="s">
        <v>43</v>
      </c>
      <c r="M492" t="s">
        <v>3429</v>
      </c>
      <c r="N492" t="s">
        <v>31</v>
      </c>
      <c r="O492" t="s">
        <v>7881</v>
      </c>
      <c r="P492" t="s">
        <v>7981</v>
      </c>
      <c r="Q492" t="s">
        <v>87</v>
      </c>
      <c r="R492" t="s">
        <v>33</v>
      </c>
      <c r="S492" t="s">
        <v>34</v>
      </c>
      <c r="T492" s="1">
        <v>552500</v>
      </c>
      <c r="U492">
        <v>0</v>
      </c>
      <c r="V492">
        <v>0</v>
      </c>
      <c r="W492" t="s">
        <v>3430</v>
      </c>
    </row>
    <row r="493" spans="1:23" x14ac:dyDescent="0.25">
      <c r="A493">
        <v>19297</v>
      </c>
      <c r="B493" t="s">
        <v>23</v>
      </c>
      <c r="D493">
        <v>500</v>
      </c>
      <c r="E493" t="s">
        <v>3431</v>
      </c>
      <c r="F493" t="s">
        <v>3432</v>
      </c>
      <c r="G493" t="s">
        <v>672</v>
      </c>
      <c r="H493" t="s">
        <v>3433</v>
      </c>
      <c r="I493" t="s">
        <v>7921</v>
      </c>
      <c r="J493" t="s">
        <v>53</v>
      </c>
      <c r="K493" t="s">
        <v>3434</v>
      </c>
      <c r="L493" t="s">
        <v>43</v>
      </c>
      <c r="M493" s="2" t="s">
        <v>3435</v>
      </c>
      <c r="N493" t="s">
        <v>31</v>
      </c>
      <c r="O493" t="s">
        <v>7881</v>
      </c>
      <c r="P493" t="s">
        <v>7893</v>
      </c>
      <c r="Q493" t="s">
        <v>46</v>
      </c>
      <c r="R493" t="s">
        <v>33</v>
      </c>
      <c r="S493" t="s">
        <v>34</v>
      </c>
      <c r="T493" s="1">
        <v>552500</v>
      </c>
      <c r="U493">
        <v>0</v>
      </c>
      <c r="V493">
        <v>0</v>
      </c>
      <c r="W493" t="s">
        <v>3436</v>
      </c>
    </row>
    <row r="494" spans="1:23" s="8" customFormat="1" x14ac:dyDescent="0.25">
      <c r="A494" s="8">
        <v>24404</v>
      </c>
      <c r="B494" s="8" t="s">
        <v>23</v>
      </c>
      <c r="D494" s="8">
        <v>501</v>
      </c>
      <c r="E494" s="8" t="s">
        <v>3437</v>
      </c>
      <c r="F494" s="8" t="s">
        <v>3438</v>
      </c>
      <c r="G494" s="8" t="s">
        <v>3439</v>
      </c>
      <c r="H494" s="8" t="s">
        <v>3440</v>
      </c>
      <c r="I494" s="8" t="s">
        <v>3441</v>
      </c>
      <c r="J494" s="8" t="s">
        <v>28</v>
      </c>
      <c r="K494" s="8" t="s">
        <v>3442</v>
      </c>
      <c r="L494" s="8" t="s">
        <v>43</v>
      </c>
      <c r="M494" s="9" t="s">
        <v>3443</v>
      </c>
      <c r="N494" s="8" t="s">
        <v>31</v>
      </c>
      <c r="O494" s="8" t="s">
        <v>7879</v>
      </c>
      <c r="P494" s="8" t="s">
        <v>7981</v>
      </c>
      <c r="Q494" s="8" t="s">
        <v>46</v>
      </c>
      <c r="R494" s="8" t="s">
        <v>33</v>
      </c>
      <c r="S494" s="8" t="s">
        <v>34</v>
      </c>
      <c r="T494" s="10">
        <v>195000</v>
      </c>
      <c r="U494" s="8">
        <v>0</v>
      </c>
      <c r="V494" s="8">
        <v>0</v>
      </c>
      <c r="W494" s="8" t="s">
        <v>3444</v>
      </c>
    </row>
    <row r="495" spans="1:23" x14ac:dyDescent="0.25">
      <c r="A495">
        <v>2318</v>
      </c>
      <c r="B495" t="s">
        <v>23</v>
      </c>
      <c r="D495">
        <v>502</v>
      </c>
      <c r="E495" t="s">
        <v>3445</v>
      </c>
      <c r="F495" t="s">
        <v>656</v>
      </c>
      <c r="G495" t="s">
        <v>3446</v>
      </c>
      <c r="H495" t="s">
        <v>3447</v>
      </c>
      <c r="I495" t="s">
        <v>3448</v>
      </c>
      <c r="J495" t="s">
        <v>53</v>
      </c>
      <c r="K495" t="s">
        <v>3449</v>
      </c>
      <c r="L495" t="s">
        <v>43</v>
      </c>
      <c r="M495" s="2" t="s">
        <v>3450</v>
      </c>
      <c r="N495" t="s">
        <v>31</v>
      </c>
      <c r="O495" t="s">
        <v>7886</v>
      </c>
      <c r="P495" t="s">
        <v>7894</v>
      </c>
      <c r="Q495" t="s">
        <v>46</v>
      </c>
      <c r="R495" t="s">
        <v>33</v>
      </c>
      <c r="S495" t="s">
        <v>34</v>
      </c>
      <c r="T495" s="1">
        <v>812500</v>
      </c>
      <c r="U495">
        <v>0</v>
      </c>
      <c r="V495" s="1">
        <v>162500</v>
      </c>
      <c r="W495" t="s">
        <v>3451</v>
      </c>
    </row>
    <row r="496" spans="1:23" x14ac:dyDescent="0.25">
      <c r="A496">
        <v>1892</v>
      </c>
      <c r="B496" t="s">
        <v>23</v>
      </c>
      <c r="D496">
        <v>503</v>
      </c>
      <c r="E496" t="s">
        <v>3452</v>
      </c>
      <c r="F496" t="s">
        <v>3453</v>
      </c>
      <c r="G496" t="s">
        <v>3454</v>
      </c>
      <c r="H496" t="s">
        <v>3455</v>
      </c>
      <c r="I496" t="s">
        <v>7922</v>
      </c>
      <c r="J496" t="s">
        <v>28</v>
      </c>
      <c r="K496" t="s">
        <v>3456</v>
      </c>
      <c r="L496" t="s">
        <v>43</v>
      </c>
      <c r="M496" s="2" t="s">
        <v>3457</v>
      </c>
      <c r="N496" t="s">
        <v>31</v>
      </c>
      <c r="O496" t="s">
        <v>7881</v>
      </c>
      <c r="P496" t="s">
        <v>7893</v>
      </c>
      <c r="Q496" t="s">
        <v>46</v>
      </c>
      <c r="R496" t="s">
        <v>33</v>
      </c>
      <c r="S496" t="s">
        <v>34</v>
      </c>
      <c r="T496" s="1">
        <v>552500</v>
      </c>
      <c r="U496">
        <v>0</v>
      </c>
      <c r="V496">
        <v>0</v>
      </c>
      <c r="W496" t="s">
        <v>3458</v>
      </c>
    </row>
    <row r="497" spans="1:23" x14ac:dyDescent="0.25">
      <c r="A497">
        <v>18626</v>
      </c>
      <c r="B497" t="s">
        <v>23</v>
      </c>
      <c r="D497">
        <v>504</v>
      </c>
      <c r="E497" t="s">
        <v>3459</v>
      </c>
      <c r="F497" t="s">
        <v>2804</v>
      </c>
      <c r="G497" t="s">
        <v>3460</v>
      </c>
      <c r="H497" t="s">
        <v>841</v>
      </c>
      <c r="I497" t="s">
        <v>3461</v>
      </c>
      <c r="J497" t="s">
        <v>28</v>
      </c>
      <c r="K497" t="s">
        <v>3462</v>
      </c>
      <c r="L497" t="s">
        <v>43</v>
      </c>
      <c r="M497" s="2" t="s">
        <v>3463</v>
      </c>
      <c r="N497" t="s">
        <v>45</v>
      </c>
      <c r="O497" t="s">
        <v>7881</v>
      </c>
      <c r="P497" t="s">
        <v>7981</v>
      </c>
      <c r="Q497" t="s">
        <v>46</v>
      </c>
      <c r="R497" t="s">
        <v>33</v>
      </c>
      <c r="S497" t="s">
        <v>34</v>
      </c>
      <c r="T497" s="1">
        <v>552500</v>
      </c>
      <c r="U497">
        <v>0</v>
      </c>
      <c r="V497">
        <v>0</v>
      </c>
      <c r="W497" t="s">
        <v>3464</v>
      </c>
    </row>
    <row r="498" spans="1:23" x14ac:dyDescent="0.25">
      <c r="A498">
        <v>23969</v>
      </c>
      <c r="B498" t="s">
        <v>23</v>
      </c>
      <c r="D498">
        <v>505</v>
      </c>
      <c r="E498" t="s">
        <v>3465</v>
      </c>
      <c r="F498" t="s">
        <v>3466</v>
      </c>
      <c r="G498" t="s">
        <v>3467</v>
      </c>
      <c r="H498" t="s">
        <v>3468</v>
      </c>
      <c r="I498" t="s">
        <v>3469</v>
      </c>
      <c r="J498" t="s">
        <v>53</v>
      </c>
      <c r="K498" t="s">
        <v>3470</v>
      </c>
      <c r="L498" t="s">
        <v>453</v>
      </c>
      <c r="M498" s="2" t="s">
        <v>3471</v>
      </c>
      <c r="N498" t="s">
        <v>31</v>
      </c>
      <c r="O498" t="s">
        <v>7879</v>
      </c>
      <c r="P498" t="s">
        <v>7888</v>
      </c>
      <c r="Q498" t="s">
        <v>455</v>
      </c>
      <c r="R498" t="s">
        <v>130</v>
      </c>
      <c r="S498" t="s">
        <v>131</v>
      </c>
      <c r="T498">
        <v>150</v>
      </c>
      <c r="U498">
        <v>0</v>
      </c>
      <c r="V498">
        <v>0</v>
      </c>
      <c r="W498" t="s">
        <v>3472</v>
      </c>
    </row>
    <row r="499" spans="1:23" x14ac:dyDescent="0.25">
      <c r="A499">
        <v>24411</v>
      </c>
      <c r="B499" t="s">
        <v>23</v>
      </c>
      <c r="D499">
        <v>506</v>
      </c>
      <c r="E499" t="s">
        <v>3473</v>
      </c>
      <c r="F499" t="s">
        <v>3474</v>
      </c>
      <c r="G499" t="s">
        <v>2210</v>
      </c>
      <c r="I499" t="s">
        <v>3475</v>
      </c>
      <c r="J499" t="s">
        <v>28</v>
      </c>
      <c r="K499" t="s">
        <v>3476</v>
      </c>
      <c r="L499" t="s">
        <v>43</v>
      </c>
      <c r="M499" s="2" t="s">
        <v>3477</v>
      </c>
      <c r="N499" t="s">
        <v>31</v>
      </c>
      <c r="O499" t="s">
        <v>7879</v>
      </c>
      <c r="P499" t="s">
        <v>7981</v>
      </c>
      <c r="Q499" t="s">
        <v>46</v>
      </c>
      <c r="R499" t="s">
        <v>33</v>
      </c>
      <c r="S499" t="s">
        <v>34</v>
      </c>
      <c r="T499" s="1">
        <v>195000</v>
      </c>
      <c r="U499">
        <v>0</v>
      </c>
      <c r="V499">
        <v>0</v>
      </c>
      <c r="W499" t="s">
        <v>3478</v>
      </c>
    </row>
    <row r="500" spans="1:23" x14ac:dyDescent="0.25">
      <c r="A500">
        <v>10729</v>
      </c>
      <c r="B500" t="s">
        <v>23</v>
      </c>
      <c r="D500">
        <v>507</v>
      </c>
      <c r="E500" t="s">
        <v>3479</v>
      </c>
      <c r="F500" t="s">
        <v>3086</v>
      </c>
      <c r="G500" t="s">
        <v>3480</v>
      </c>
      <c r="H500" t="s">
        <v>3481</v>
      </c>
      <c r="I500" t="s">
        <v>3482</v>
      </c>
      <c r="J500" t="s">
        <v>28</v>
      </c>
      <c r="K500" t="s">
        <v>3483</v>
      </c>
      <c r="L500" t="s">
        <v>43</v>
      </c>
      <c r="M500" s="2" t="s">
        <v>3484</v>
      </c>
      <c r="N500" t="s">
        <v>31</v>
      </c>
      <c r="O500" t="s">
        <v>7886</v>
      </c>
      <c r="P500" t="s">
        <v>7940</v>
      </c>
      <c r="Q500" t="s">
        <v>63</v>
      </c>
      <c r="R500" t="s">
        <v>33</v>
      </c>
      <c r="S500" t="s">
        <v>34</v>
      </c>
      <c r="T500" s="1">
        <v>812500</v>
      </c>
      <c r="U500">
        <v>0</v>
      </c>
      <c r="V500" s="1">
        <v>162500</v>
      </c>
      <c r="W500" t="s">
        <v>3485</v>
      </c>
    </row>
    <row r="501" spans="1:23" x14ac:dyDescent="0.25">
      <c r="A501">
        <v>24367</v>
      </c>
      <c r="B501" t="s">
        <v>23</v>
      </c>
      <c r="D501">
        <v>508</v>
      </c>
      <c r="E501" t="s">
        <v>3486</v>
      </c>
      <c r="F501" t="s">
        <v>3487</v>
      </c>
      <c r="G501" t="s">
        <v>3488</v>
      </c>
      <c r="H501" t="s">
        <v>3489</v>
      </c>
      <c r="I501" t="s">
        <v>3490</v>
      </c>
      <c r="J501" t="s">
        <v>53</v>
      </c>
      <c r="K501" t="s">
        <v>3491</v>
      </c>
      <c r="L501" t="s">
        <v>43</v>
      </c>
      <c r="M501" s="2" t="s">
        <v>3492</v>
      </c>
      <c r="N501" t="s">
        <v>31</v>
      </c>
      <c r="O501" t="s">
        <v>7879</v>
      </c>
      <c r="P501" t="s">
        <v>7893</v>
      </c>
      <c r="Q501" t="s">
        <v>63</v>
      </c>
      <c r="R501" t="s">
        <v>33</v>
      </c>
      <c r="S501" t="s">
        <v>34</v>
      </c>
      <c r="T501" s="1">
        <v>195000</v>
      </c>
      <c r="U501">
        <v>0</v>
      </c>
      <c r="V501">
        <v>0</v>
      </c>
      <c r="W501" t="s">
        <v>3493</v>
      </c>
    </row>
    <row r="502" spans="1:23" x14ac:dyDescent="0.25">
      <c r="A502">
        <v>8469</v>
      </c>
      <c r="B502" t="s">
        <v>23</v>
      </c>
      <c r="D502">
        <v>509</v>
      </c>
      <c r="E502" t="s">
        <v>3494</v>
      </c>
      <c r="F502" t="s">
        <v>3495</v>
      </c>
      <c r="G502" t="s">
        <v>3496</v>
      </c>
      <c r="H502" t="s">
        <v>3497</v>
      </c>
      <c r="I502" t="s">
        <v>7957</v>
      </c>
      <c r="J502" t="s">
        <v>28</v>
      </c>
      <c r="K502" t="s">
        <v>3498</v>
      </c>
      <c r="L502" t="s">
        <v>43</v>
      </c>
      <c r="M502" s="2" t="s">
        <v>3499</v>
      </c>
      <c r="N502" t="s">
        <v>2333</v>
      </c>
      <c r="O502" t="s">
        <v>7886</v>
      </c>
      <c r="P502" t="s">
        <v>7940</v>
      </c>
      <c r="Q502" t="s">
        <v>63</v>
      </c>
      <c r="R502" t="s">
        <v>33</v>
      </c>
      <c r="S502" t="s">
        <v>34</v>
      </c>
      <c r="T502" s="1">
        <v>812500</v>
      </c>
      <c r="U502">
        <v>0</v>
      </c>
      <c r="V502" s="1">
        <v>162500</v>
      </c>
      <c r="W502" t="s">
        <v>3500</v>
      </c>
    </row>
    <row r="503" spans="1:23" x14ac:dyDescent="0.25">
      <c r="A503">
        <v>5985</v>
      </c>
      <c r="B503" t="s">
        <v>23</v>
      </c>
      <c r="D503">
        <v>510</v>
      </c>
      <c r="E503" t="s">
        <v>3501</v>
      </c>
      <c r="F503" t="s">
        <v>3502</v>
      </c>
      <c r="G503" t="s">
        <v>3503</v>
      </c>
      <c r="H503" t="s">
        <v>3504</v>
      </c>
      <c r="I503" t="s">
        <v>7997</v>
      </c>
      <c r="J503" t="s">
        <v>28</v>
      </c>
      <c r="K503" t="s">
        <v>3505</v>
      </c>
      <c r="L503" t="s">
        <v>43</v>
      </c>
      <c r="M503">
        <v>8038616091</v>
      </c>
      <c r="N503" t="s">
        <v>31</v>
      </c>
      <c r="O503" t="s">
        <v>7886</v>
      </c>
      <c r="P503" t="s">
        <v>7981</v>
      </c>
      <c r="Q503" t="s">
        <v>63</v>
      </c>
      <c r="R503" t="s">
        <v>33</v>
      </c>
      <c r="S503" t="s">
        <v>34</v>
      </c>
      <c r="T503" s="1">
        <v>812500</v>
      </c>
      <c r="U503">
        <v>0</v>
      </c>
      <c r="V503" s="1">
        <v>162500</v>
      </c>
      <c r="W503" t="s">
        <v>3506</v>
      </c>
    </row>
    <row r="504" spans="1:23" x14ac:dyDescent="0.25">
      <c r="A504">
        <v>19074</v>
      </c>
      <c r="B504" t="s">
        <v>23</v>
      </c>
      <c r="D504">
        <v>511</v>
      </c>
      <c r="E504" t="s">
        <v>3507</v>
      </c>
      <c r="F504" t="s">
        <v>3508</v>
      </c>
      <c r="G504" t="s">
        <v>264</v>
      </c>
      <c r="H504" t="s">
        <v>3509</v>
      </c>
      <c r="I504" t="s">
        <v>3510</v>
      </c>
      <c r="J504" t="s">
        <v>53</v>
      </c>
      <c r="K504" t="s">
        <v>289</v>
      </c>
      <c r="L504" t="s">
        <v>43</v>
      </c>
      <c r="M504">
        <v>2348102562592</v>
      </c>
      <c r="N504" t="s">
        <v>31</v>
      </c>
      <c r="O504" t="s">
        <v>7881</v>
      </c>
      <c r="P504" t="s">
        <v>7888</v>
      </c>
      <c r="Q504" t="s">
        <v>63</v>
      </c>
      <c r="R504" t="s">
        <v>33</v>
      </c>
      <c r="S504" t="s">
        <v>34</v>
      </c>
      <c r="T504" s="1">
        <v>552500</v>
      </c>
      <c r="U504" s="1">
        <v>110500</v>
      </c>
      <c r="V504">
        <v>0</v>
      </c>
      <c r="W504" t="s">
        <v>3511</v>
      </c>
    </row>
    <row r="505" spans="1:23" x14ac:dyDescent="0.25">
      <c r="A505">
        <v>24447</v>
      </c>
      <c r="B505" t="s">
        <v>23</v>
      </c>
      <c r="D505">
        <v>512</v>
      </c>
      <c r="E505" s="11" t="s">
        <v>3512</v>
      </c>
      <c r="F505" t="s">
        <v>3513</v>
      </c>
      <c r="G505" t="s">
        <v>3514</v>
      </c>
      <c r="H505" t="s">
        <v>679</v>
      </c>
      <c r="I505" t="s">
        <v>3515</v>
      </c>
      <c r="J505" t="s">
        <v>53</v>
      </c>
      <c r="K505" t="s">
        <v>3516</v>
      </c>
      <c r="L505" t="s">
        <v>43</v>
      </c>
      <c r="M505" s="2" t="s">
        <v>3517</v>
      </c>
      <c r="N505" t="s">
        <v>31</v>
      </c>
      <c r="O505" t="s">
        <v>7879</v>
      </c>
      <c r="P505" t="s">
        <v>7940</v>
      </c>
      <c r="Q505" t="s">
        <v>87</v>
      </c>
      <c r="R505" t="s">
        <v>33</v>
      </c>
      <c r="S505" t="s">
        <v>34</v>
      </c>
      <c r="T505" s="1">
        <v>195000</v>
      </c>
      <c r="U505">
        <v>0</v>
      </c>
      <c r="V505">
        <v>0</v>
      </c>
      <c r="W505" t="s">
        <v>3518</v>
      </c>
    </row>
    <row r="506" spans="1:23" x14ac:dyDescent="0.25">
      <c r="A506">
        <v>2500</v>
      </c>
      <c r="B506" t="s">
        <v>23</v>
      </c>
      <c r="D506">
        <v>513</v>
      </c>
      <c r="E506" t="s">
        <v>3519</v>
      </c>
      <c r="F506" t="s">
        <v>3520</v>
      </c>
      <c r="G506" t="s">
        <v>3521</v>
      </c>
      <c r="H506" t="s">
        <v>3522</v>
      </c>
      <c r="I506" t="s">
        <v>7998</v>
      </c>
      <c r="J506" t="s">
        <v>28</v>
      </c>
      <c r="K506" t="s">
        <v>3523</v>
      </c>
      <c r="L506" t="s">
        <v>43</v>
      </c>
      <c r="M506">
        <v>8037181071</v>
      </c>
      <c r="N506" t="s">
        <v>31</v>
      </c>
      <c r="O506" t="s">
        <v>7886</v>
      </c>
      <c r="P506" t="s">
        <v>7981</v>
      </c>
      <c r="Q506" t="s">
        <v>46</v>
      </c>
      <c r="R506" t="s">
        <v>33</v>
      </c>
      <c r="S506" t="s">
        <v>34</v>
      </c>
      <c r="T506" s="1">
        <v>812500</v>
      </c>
      <c r="U506">
        <v>0</v>
      </c>
      <c r="V506" s="1">
        <v>162500</v>
      </c>
      <c r="W506" t="s">
        <v>3524</v>
      </c>
    </row>
    <row r="507" spans="1:23" x14ac:dyDescent="0.25">
      <c r="A507">
        <v>24399</v>
      </c>
      <c r="B507" t="s">
        <v>23</v>
      </c>
      <c r="D507">
        <v>514</v>
      </c>
      <c r="E507" t="s">
        <v>3525</v>
      </c>
      <c r="F507" t="s">
        <v>3526</v>
      </c>
      <c r="G507" t="s">
        <v>1299</v>
      </c>
      <c r="H507" t="s">
        <v>3527</v>
      </c>
      <c r="I507" t="s">
        <v>3528</v>
      </c>
      <c r="J507" t="s">
        <v>28</v>
      </c>
      <c r="K507" t="s">
        <v>1252</v>
      </c>
      <c r="L507" t="s">
        <v>43</v>
      </c>
      <c r="M507" s="2" t="s">
        <v>3529</v>
      </c>
      <c r="N507" t="s">
        <v>31</v>
      </c>
      <c r="O507" t="s">
        <v>7879</v>
      </c>
      <c r="P507" t="s">
        <v>8028</v>
      </c>
      <c r="Q507" t="s">
        <v>63</v>
      </c>
      <c r="R507" t="s">
        <v>33</v>
      </c>
      <c r="S507" t="s">
        <v>34</v>
      </c>
      <c r="T507" s="1">
        <v>195000</v>
      </c>
      <c r="U507">
        <v>0</v>
      </c>
      <c r="V507">
        <v>0</v>
      </c>
      <c r="W507" t="s">
        <v>3530</v>
      </c>
    </row>
    <row r="508" spans="1:23" x14ac:dyDescent="0.25">
      <c r="A508">
        <v>5366</v>
      </c>
      <c r="B508" t="s">
        <v>23</v>
      </c>
      <c r="D508">
        <v>515</v>
      </c>
      <c r="E508" t="s">
        <v>3531</v>
      </c>
      <c r="F508" t="s">
        <v>3532</v>
      </c>
      <c r="G508" t="s">
        <v>3533</v>
      </c>
      <c r="H508" t="s">
        <v>271</v>
      </c>
      <c r="I508" t="s">
        <v>3534</v>
      </c>
      <c r="J508" t="s">
        <v>28</v>
      </c>
      <c r="K508" t="s">
        <v>3535</v>
      </c>
      <c r="L508" t="s">
        <v>43</v>
      </c>
      <c r="M508" s="2" t="s">
        <v>3536</v>
      </c>
      <c r="N508" t="s">
        <v>45</v>
      </c>
      <c r="O508" t="s">
        <v>7881</v>
      </c>
      <c r="P508" t="s">
        <v>7981</v>
      </c>
      <c r="Q508" t="s">
        <v>63</v>
      </c>
      <c r="R508" t="s">
        <v>33</v>
      </c>
      <c r="S508" t="s">
        <v>34</v>
      </c>
      <c r="T508" s="1">
        <v>552500</v>
      </c>
      <c r="U508">
        <v>0</v>
      </c>
      <c r="V508">
        <v>0</v>
      </c>
      <c r="W508" t="s">
        <v>3537</v>
      </c>
    </row>
    <row r="509" spans="1:23" x14ac:dyDescent="0.25">
      <c r="A509">
        <v>24407</v>
      </c>
      <c r="B509" t="s">
        <v>23</v>
      </c>
      <c r="D509">
        <v>516</v>
      </c>
      <c r="E509" t="s">
        <v>3538</v>
      </c>
      <c r="F509" t="s">
        <v>3539</v>
      </c>
      <c r="G509" t="s">
        <v>3540</v>
      </c>
      <c r="I509" t="s">
        <v>3541</v>
      </c>
      <c r="J509" t="s">
        <v>53</v>
      </c>
      <c r="K509" t="s">
        <v>3542</v>
      </c>
      <c r="L509" t="s">
        <v>43</v>
      </c>
      <c r="M509" s="2" t="s">
        <v>3543</v>
      </c>
      <c r="N509" t="s">
        <v>31</v>
      </c>
      <c r="O509" t="s">
        <v>7879</v>
      </c>
      <c r="P509" t="s">
        <v>7893</v>
      </c>
      <c r="Q509" t="s">
        <v>87</v>
      </c>
      <c r="R509" t="s">
        <v>33</v>
      </c>
      <c r="S509" t="s">
        <v>34</v>
      </c>
      <c r="T509" s="1">
        <v>195000</v>
      </c>
      <c r="U509">
        <v>0</v>
      </c>
      <c r="V509">
        <v>0</v>
      </c>
      <c r="W509" t="s">
        <v>3544</v>
      </c>
    </row>
    <row r="510" spans="1:23" x14ac:dyDescent="0.25">
      <c r="A510">
        <v>24184</v>
      </c>
      <c r="B510" t="s">
        <v>23</v>
      </c>
      <c r="D510">
        <v>517</v>
      </c>
      <c r="E510" t="s">
        <v>3545</v>
      </c>
      <c r="F510" t="s">
        <v>3546</v>
      </c>
      <c r="G510" t="s">
        <v>181</v>
      </c>
      <c r="H510" t="s">
        <v>3547</v>
      </c>
      <c r="I510" t="s">
        <v>3548</v>
      </c>
      <c r="J510" t="s">
        <v>53</v>
      </c>
      <c r="K510" t="s">
        <v>3549</v>
      </c>
      <c r="L510" t="s">
        <v>43</v>
      </c>
      <c r="M510" s="2" t="s">
        <v>3550</v>
      </c>
      <c r="N510" t="s">
        <v>31</v>
      </c>
      <c r="O510" t="s">
        <v>7879</v>
      </c>
      <c r="P510" t="s">
        <v>7981</v>
      </c>
      <c r="Q510" t="s">
        <v>63</v>
      </c>
      <c r="R510" t="s">
        <v>33</v>
      </c>
      <c r="S510" t="s">
        <v>34</v>
      </c>
      <c r="T510" s="1">
        <v>195000</v>
      </c>
      <c r="U510">
        <v>0</v>
      </c>
      <c r="V510">
        <v>0</v>
      </c>
      <c r="W510" t="s">
        <v>3551</v>
      </c>
    </row>
    <row r="511" spans="1:23" x14ac:dyDescent="0.25">
      <c r="A511">
        <v>19880</v>
      </c>
      <c r="B511" t="s">
        <v>23</v>
      </c>
      <c r="D511">
        <v>518</v>
      </c>
      <c r="E511" t="s">
        <v>3552</v>
      </c>
      <c r="F511" t="s">
        <v>3553</v>
      </c>
      <c r="G511" t="s">
        <v>3554</v>
      </c>
      <c r="H511" t="s">
        <v>3555</v>
      </c>
      <c r="I511" t="s">
        <v>3556</v>
      </c>
      <c r="J511" t="s">
        <v>53</v>
      </c>
      <c r="K511" t="s">
        <v>3557</v>
      </c>
      <c r="L511" t="s">
        <v>43</v>
      </c>
      <c r="M511">
        <v>2348030832758</v>
      </c>
      <c r="N511" t="s">
        <v>31</v>
      </c>
      <c r="O511" t="s">
        <v>7886</v>
      </c>
      <c r="P511" t="s">
        <v>7888</v>
      </c>
      <c r="Q511" t="s">
        <v>46</v>
      </c>
      <c r="R511" t="s">
        <v>33</v>
      </c>
      <c r="S511" t="s">
        <v>34</v>
      </c>
      <c r="T511" s="1">
        <v>812500</v>
      </c>
      <c r="U511">
        <v>0</v>
      </c>
      <c r="V511" s="1">
        <v>162500</v>
      </c>
      <c r="W511" t="s">
        <v>3558</v>
      </c>
    </row>
    <row r="512" spans="1:23" x14ac:dyDescent="0.25">
      <c r="A512">
        <v>7602</v>
      </c>
      <c r="B512" t="s">
        <v>23</v>
      </c>
      <c r="D512">
        <v>519</v>
      </c>
      <c r="E512" t="s">
        <v>3559</v>
      </c>
      <c r="F512" t="s">
        <v>3560</v>
      </c>
      <c r="G512" t="s">
        <v>3561</v>
      </c>
      <c r="H512" t="s">
        <v>3562</v>
      </c>
      <c r="I512" t="s">
        <v>7958</v>
      </c>
      <c r="J512" t="s">
        <v>53</v>
      </c>
      <c r="K512" t="s">
        <v>3563</v>
      </c>
      <c r="L512" t="s">
        <v>43</v>
      </c>
      <c r="M512" s="2" t="s">
        <v>3564</v>
      </c>
      <c r="N512" t="s">
        <v>31</v>
      </c>
      <c r="O512" t="s">
        <v>7886</v>
      </c>
      <c r="P512" t="s">
        <v>7940</v>
      </c>
      <c r="Q512" t="s">
        <v>63</v>
      </c>
      <c r="R512" t="s">
        <v>33</v>
      </c>
      <c r="S512" t="s">
        <v>34</v>
      </c>
      <c r="T512" s="1">
        <v>812500</v>
      </c>
      <c r="U512">
        <v>0</v>
      </c>
      <c r="V512" s="1">
        <v>162500</v>
      </c>
      <c r="W512" t="s">
        <v>3565</v>
      </c>
    </row>
    <row r="513" spans="1:23" x14ac:dyDescent="0.25">
      <c r="A513">
        <v>1223</v>
      </c>
      <c r="B513" t="s">
        <v>23</v>
      </c>
      <c r="D513">
        <v>520</v>
      </c>
      <c r="E513" t="s">
        <v>3566</v>
      </c>
      <c r="F513" t="s">
        <v>111</v>
      </c>
      <c r="G513" t="s">
        <v>2695</v>
      </c>
      <c r="H513" t="s">
        <v>3567</v>
      </c>
      <c r="I513" t="s">
        <v>3568</v>
      </c>
      <c r="J513" t="s">
        <v>28</v>
      </c>
      <c r="K513" t="s">
        <v>3569</v>
      </c>
      <c r="L513" t="s">
        <v>43</v>
      </c>
      <c r="M513" s="2" t="s">
        <v>3570</v>
      </c>
      <c r="N513" t="s">
        <v>45</v>
      </c>
      <c r="O513" t="s">
        <v>7881</v>
      </c>
      <c r="P513" t="s">
        <v>7981</v>
      </c>
      <c r="Q513" t="s">
        <v>46</v>
      </c>
      <c r="R513" t="s">
        <v>33</v>
      </c>
      <c r="S513" t="s">
        <v>34</v>
      </c>
      <c r="T513" s="1">
        <v>552500</v>
      </c>
      <c r="U513">
        <v>0</v>
      </c>
      <c r="V513">
        <v>0</v>
      </c>
      <c r="W513" t="s">
        <v>3571</v>
      </c>
    </row>
    <row r="514" spans="1:23" x14ac:dyDescent="0.25">
      <c r="A514">
        <v>3112</v>
      </c>
      <c r="B514" t="s">
        <v>23</v>
      </c>
      <c r="D514">
        <v>521</v>
      </c>
      <c r="E514" t="s">
        <v>3572</v>
      </c>
      <c r="F514" t="s">
        <v>3573</v>
      </c>
      <c r="G514" t="s">
        <v>346</v>
      </c>
      <c r="H514" t="s">
        <v>3268</v>
      </c>
      <c r="I514" t="s">
        <v>3574</v>
      </c>
      <c r="J514" t="s">
        <v>28</v>
      </c>
      <c r="K514" t="s">
        <v>3575</v>
      </c>
      <c r="L514" t="s">
        <v>43</v>
      </c>
      <c r="M514">
        <v>8037034147</v>
      </c>
      <c r="N514" t="s">
        <v>31</v>
      </c>
      <c r="O514" t="s">
        <v>7886</v>
      </c>
      <c r="P514" t="s">
        <v>7888</v>
      </c>
      <c r="Q514" t="s">
        <v>46</v>
      </c>
      <c r="R514" t="s">
        <v>33</v>
      </c>
      <c r="S514" t="s">
        <v>34</v>
      </c>
      <c r="T514" s="1">
        <v>812500</v>
      </c>
      <c r="U514">
        <v>0</v>
      </c>
      <c r="V514" s="1">
        <v>162500</v>
      </c>
      <c r="W514" t="s">
        <v>3576</v>
      </c>
    </row>
    <row r="515" spans="1:23" x14ac:dyDescent="0.25">
      <c r="A515">
        <v>24401</v>
      </c>
      <c r="B515" t="s">
        <v>23</v>
      </c>
      <c r="D515">
        <v>522</v>
      </c>
      <c r="E515" t="s">
        <v>3577</v>
      </c>
      <c r="F515" t="s">
        <v>3578</v>
      </c>
      <c r="G515" t="s">
        <v>3579</v>
      </c>
      <c r="H515" t="s">
        <v>3580</v>
      </c>
      <c r="I515" t="s">
        <v>3581</v>
      </c>
      <c r="J515" t="s">
        <v>53</v>
      </c>
      <c r="K515" t="s">
        <v>3582</v>
      </c>
      <c r="L515" t="s">
        <v>43</v>
      </c>
      <c r="M515" s="2" t="s">
        <v>3583</v>
      </c>
      <c r="N515" t="s">
        <v>31</v>
      </c>
      <c r="O515" t="s">
        <v>7879</v>
      </c>
      <c r="P515" t="s">
        <v>7940</v>
      </c>
      <c r="Q515" t="s">
        <v>63</v>
      </c>
      <c r="R515" t="s">
        <v>33</v>
      </c>
      <c r="S515" t="s">
        <v>34</v>
      </c>
      <c r="T515" s="1">
        <v>195000</v>
      </c>
      <c r="U515">
        <v>0</v>
      </c>
      <c r="V515">
        <v>0</v>
      </c>
      <c r="W515" t="s">
        <v>3584</v>
      </c>
    </row>
    <row r="516" spans="1:23" x14ac:dyDescent="0.25">
      <c r="A516">
        <v>20497</v>
      </c>
      <c r="B516" t="s">
        <v>23</v>
      </c>
      <c r="D516">
        <v>523</v>
      </c>
      <c r="E516" t="s">
        <v>3585</v>
      </c>
      <c r="F516" t="s">
        <v>3586</v>
      </c>
      <c r="G516" t="s">
        <v>3587</v>
      </c>
      <c r="H516" t="s">
        <v>3588</v>
      </c>
      <c r="I516" t="s">
        <v>3589</v>
      </c>
      <c r="J516" t="s">
        <v>53</v>
      </c>
      <c r="K516" t="s">
        <v>1945</v>
      </c>
      <c r="L516" t="s">
        <v>43</v>
      </c>
      <c r="M516" s="2" t="s">
        <v>3590</v>
      </c>
      <c r="N516" t="s">
        <v>31</v>
      </c>
      <c r="O516" t="s">
        <v>7881</v>
      </c>
      <c r="P516" t="s">
        <v>7888</v>
      </c>
      <c r="Q516" t="s">
        <v>46</v>
      </c>
      <c r="R516" t="s">
        <v>33</v>
      </c>
      <c r="S516" t="s">
        <v>34</v>
      </c>
      <c r="T516" s="1">
        <v>552500</v>
      </c>
      <c r="U516" s="1">
        <v>110500</v>
      </c>
      <c r="V516">
        <v>0</v>
      </c>
      <c r="W516" t="s">
        <v>3591</v>
      </c>
    </row>
    <row r="517" spans="1:23" x14ac:dyDescent="0.25">
      <c r="A517">
        <v>21277</v>
      </c>
      <c r="B517" t="s">
        <v>23</v>
      </c>
      <c r="D517">
        <v>524</v>
      </c>
      <c r="E517" t="s">
        <v>3592</v>
      </c>
      <c r="F517" t="s">
        <v>3593</v>
      </c>
      <c r="G517" t="s">
        <v>3594</v>
      </c>
      <c r="H517" t="s">
        <v>3595</v>
      </c>
      <c r="I517" t="s">
        <v>3596</v>
      </c>
      <c r="J517" t="s">
        <v>53</v>
      </c>
      <c r="K517" t="s">
        <v>2512</v>
      </c>
      <c r="L517" t="s">
        <v>43</v>
      </c>
      <c r="M517" s="2" t="s">
        <v>3597</v>
      </c>
      <c r="N517" t="s">
        <v>31</v>
      </c>
      <c r="O517" t="s">
        <v>7881</v>
      </c>
      <c r="P517" t="s">
        <v>7981</v>
      </c>
      <c r="Q517" t="s">
        <v>63</v>
      </c>
      <c r="R517" t="s">
        <v>33</v>
      </c>
      <c r="S517" t="s">
        <v>34</v>
      </c>
      <c r="T517" s="1">
        <v>552500</v>
      </c>
      <c r="U517">
        <v>0</v>
      </c>
      <c r="V517">
        <v>0</v>
      </c>
      <c r="W517" t="s">
        <v>3598</v>
      </c>
    </row>
    <row r="518" spans="1:23" x14ac:dyDescent="0.25">
      <c r="A518">
        <v>6044</v>
      </c>
      <c r="B518" t="s">
        <v>23</v>
      </c>
      <c r="D518">
        <v>525</v>
      </c>
      <c r="E518" t="s">
        <v>3599</v>
      </c>
      <c r="F518" t="s">
        <v>3600</v>
      </c>
      <c r="G518" t="s">
        <v>3601</v>
      </c>
      <c r="H518" t="s">
        <v>769</v>
      </c>
      <c r="I518" t="s">
        <v>3602</v>
      </c>
      <c r="J518" t="s">
        <v>28</v>
      </c>
      <c r="K518" t="s">
        <v>3603</v>
      </c>
      <c r="L518" t="s">
        <v>43</v>
      </c>
      <c r="M518">
        <v>8036914049</v>
      </c>
      <c r="N518" t="s">
        <v>31</v>
      </c>
      <c r="O518" t="s">
        <v>7886</v>
      </c>
      <c r="P518" t="s">
        <v>7888</v>
      </c>
      <c r="Q518" t="s">
        <v>46</v>
      </c>
      <c r="R518" t="s">
        <v>33</v>
      </c>
      <c r="S518" t="s">
        <v>34</v>
      </c>
      <c r="T518" s="1">
        <v>812500</v>
      </c>
      <c r="U518">
        <v>0</v>
      </c>
      <c r="V518" s="1">
        <v>162500</v>
      </c>
      <c r="W518" t="s">
        <v>3604</v>
      </c>
    </row>
    <row r="519" spans="1:23" x14ac:dyDescent="0.25">
      <c r="A519">
        <v>8222</v>
      </c>
      <c r="B519" t="s">
        <v>23</v>
      </c>
      <c r="D519">
        <v>526</v>
      </c>
      <c r="E519" t="s">
        <v>3605</v>
      </c>
      <c r="F519" t="s">
        <v>3606</v>
      </c>
      <c r="G519" t="s">
        <v>3607</v>
      </c>
      <c r="H519" t="s">
        <v>3608</v>
      </c>
      <c r="I519" t="s">
        <v>3609</v>
      </c>
      <c r="J519" t="s">
        <v>53</v>
      </c>
      <c r="K519" t="s">
        <v>3610</v>
      </c>
      <c r="L519" t="s">
        <v>43</v>
      </c>
      <c r="M519">
        <v>8030880899</v>
      </c>
      <c r="N519" t="s">
        <v>31</v>
      </c>
      <c r="O519" t="s">
        <v>7886</v>
      </c>
      <c r="P519" t="s">
        <v>7888</v>
      </c>
      <c r="Q519" t="s">
        <v>46</v>
      </c>
      <c r="R519" t="s">
        <v>33</v>
      </c>
      <c r="S519" t="s">
        <v>34</v>
      </c>
      <c r="T519" s="1">
        <v>812500</v>
      </c>
      <c r="U519">
        <v>0</v>
      </c>
      <c r="V519" s="1">
        <v>162500</v>
      </c>
      <c r="W519" t="s">
        <v>3611</v>
      </c>
    </row>
    <row r="520" spans="1:23" x14ac:dyDescent="0.25">
      <c r="A520">
        <v>24091</v>
      </c>
      <c r="B520" t="s">
        <v>23</v>
      </c>
      <c r="D520">
        <v>527</v>
      </c>
      <c r="E520" t="s">
        <v>3612</v>
      </c>
      <c r="F520" t="s">
        <v>782</v>
      </c>
      <c r="G520" t="s">
        <v>3613</v>
      </c>
      <c r="H520" t="s">
        <v>3614</v>
      </c>
      <c r="I520" t="s">
        <v>3615</v>
      </c>
      <c r="J520" t="s">
        <v>28</v>
      </c>
      <c r="K520" t="s">
        <v>3616</v>
      </c>
      <c r="L520" t="s">
        <v>43</v>
      </c>
      <c r="M520" s="2" t="s">
        <v>3617</v>
      </c>
      <c r="N520" t="s">
        <v>31</v>
      </c>
      <c r="O520" t="s">
        <v>7879</v>
      </c>
      <c r="P520" t="s">
        <v>7940</v>
      </c>
      <c r="Q520" t="s">
        <v>63</v>
      </c>
      <c r="R520" t="s">
        <v>33</v>
      </c>
      <c r="S520" t="s">
        <v>34</v>
      </c>
      <c r="T520" s="1">
        <v>195000</v>
      </c>
      <c r="U520">
        <v>0</v>
      </c>
      <c r="V520">
        <v>0</v>
      </c>
      <c r="W520" t="s">
        <v>3618</v>
      </c>
    </row>
    <row r="521" spans="1:23" x14ac:dyDescent="0.25">
      <c r="A521">
        <v>10473</v>
      </c>
      <c r="B521" t="s">
        <v>23</v>
      </c>
      <c r="D521">
        <v>528</v>
      </c>
      <c r="E521" t="s">
        <v>3619</v>
      </c>
      <c r="F521" t="s">
        <v>3620</v>
      </c>
      <c r="G521" t="s">
        <v>3621</v>
      </c>
      <c r="H521" t="s">
        <v>3622</v>
      </c>
      <c r="I521" t="s">
        <v>7959</v>
      </c>
      <c r="J521" t="s">
        <v>53</v>
      </c>
      <c r="K521" t="s">
        <v>3623</v>
      </c>
      <c r="L521" t="s">
        <v>43</v>
      </c>
      <c r="M521">
        <v>2349136446611</v>
      </c>
      <c r="N521" t="s">
        <v>21</v>
      </c>
      <c r="O521" t="s">
        <v>7886</v>
      </c>
      <c r="P521" t="s">
        <v>7940</v>
      </c>
      <c r="Q521" t="s">
        <v>63</v>
      </c>
      <c r="R521" t="s">
        <v>33</v>
      </c>
      <c r="S521" t="s">
        <v>34</v>
      </c>
      <c r="T521" s="1">
        <v>812500</v>
      </c>
      <c r="U521">
        <v>0</v>
      </c>
      <c r="V521" s="1">
        <v>162500</v>
      </c>
      <c r="W521" t="s">
        <v>3624</v>
      </c>
    </row>
    <row r="522" spans="1:23" x14ac:dyDescent="0.25">
      <c r="A522">
        <v>4302</v>
      </c>
      <c r="B522" t="s">
        <v>23</v>
      </c>
      <c r="D522">
        <v>529</v>
      </c>
      <c r="E522" t="s">
        <v>3625</v>
      </c>
      <c r="F522" t="s">
        <v>3626</v>
      </c>
      <c r="G522" t="s">
        <v>3627</v>
      </c>
      <c r="H522" t="s">
        <v>1589</v>
      </c>
      <c r="I522" t="s">
        <v>3628</v>
      </c>
      <c r="J522" t="s">
        <v>53</v>
      </c>
      <c r="K522" t="s">
        <v>2878</v>
      </c>
      <c r="L522" t="s">
        <v>43</v>
      </c>
      <c r="M522">
        <v>7030924299</v>
      </c>
      <c r="N522" t="s">
        <v>31</v>
      </c>
      <c r="O522" t="s">
        <v>7881</v>
      </c>
      <c r="P522" t="s">
        <v>7940</v>
      </c>
      <c r="Q522" t="s">
        <v>46</v>
      </c>
      <c r="R522" t="s">
        <v>33</v>
      </c>
      <c r="S522" t="s">
        <v>34</v>
      </c>
      <c r="T522" s="1">
        <v>552500</v>
      </c>
      <c r="U522">
        <v>0</v>
      </c>
      <c r="V522">
        <v>0</v>
      </c>
      <c r="W522" t="s">
        <v>3629</v>
      </c>
    </row>
    <row r="523" spans="1:23" x14ac:dyDescent="0.25">
      <c r="A523">
        <v>24342</v>
      </c>
      <c r="B523" t="s">
        <v>23</v>
      </c>
      <c r="D523">
        <v>530</v>
      </c>
      <c r="E523" t="s">
        <v>3630</v>
      </c>
      <c r="F523" t="s">
        <v>3631</v>
      </c>
      <c r="G523" t="s">
        <v>3632</v>
      </c>
      <c r="H523" t="s">
        <v>3633</v>
      </c>
      <c r="I523" t="s">
        <v>3634</v>
      </c>
      <c r="J523" t="s">
        <v>28</v>
      </c>
      <c r="K523" t="s">
        <v>3635</v>
      </c>
      <c r="L523" t="s">
        <v>43</v>
      </c>
      <c r="M523" s="2" t="s">
        <v>3636</v>
      </c>
      <c r="N523" t="s">
        <v>31</v>
      </c>
      <c r="O523" t="s">
        <v>7879</v>
      </c>
      <c r="P523" t="s">
        <v>7893</v>
      </c>
      <c r="Q523" t="s">
        <v>63</v>
      </c>
      <c r="R523" t="s">
        <v>33</v>
      </c>
      <c r="S523" t="s">
        <v>34</v>
      </c>
      <c r="T523" s="1">
        <v>195000</v>
      </c>
      <c r="U523">
        <v>0</v>
      </c>
      <c r="V523">
        <v>0</v>
      </c>
      <c r="W523" t="s">
        <v>3637</v>
      </c>
    </row>
    <row r="524" spans="1:23" x14ac:dyDescent="0.25">
      <c r="A524">
        <v>18457</v>
      </c>
      <c r="B524" t="s">
        <v>23</v>
      </c>
      <c r="D524">
        <v>531</v>
      </c>
      <c r="E524" t="s">
        <v>3638</v>
      </c>
      <c r="F524" t="s">
        <v>1099</v>
      </c>
      <c r="G524" t="s">
        <v>3639</v>
      </c>
      <c r="H524" t="s">
        <v>3640</v>
      </c>
      <c r="I524" t="s">
        <v>3641</v>
      </c>
      <c r="J524" t="s">
        <v>28</v>
      </c>
      <c r="K524" t="s">
        <v>3642</v>
      </c>
      <c r="L524" t="s">
        <v>43</v>
      </c>
      <c r="M524" s="2" t="s">
        <v>3643</v>
      </c>
      <c r="N524" t="s">
        <v>31</v>
      </c>
      <c r="O524" t="s">
        <v>7881</v>
      </c>
      <c r="P524" t="s">
        <v>7980</v>
      </c>
      <c r="Q524" t="s">
        <v>63</v>
      </c>
      <c r="R524" t="s">
        <v>33</v>
      </c>
      <c r="S524" t="s">
        <v>34</v>
      </c>
      <c r="T524" s="1">
        <v>552500</v>
      </c>
      <c r="U524" s="1">
        <v>110500</v>
      </c>
      <c r="V524">
        <v>0</v>
      </c>
      <c r="W524" t="s">
        <v>3644</v>
      </c>
    </row>
    <row r="525" spans="1:23" x14ac:dyDescent="0.25">
      <c r="A525">
        <v>11044</v>
      </c>
      <c r="B525" t="s">
        <v>23</v>
      </c>
      <c r="D525">
        <v>532</v>
      </c>
      <c r="E525" t="s">
        <v>3645</v>
      </c>
      <c r="F525" t="s">
        <v>91</v>
      </c>
      <c r="G525" t="s">
        <v>3646</v>
      </c>
      <c r="H525" t="s">
        <v>2259</v>
      </c>
      <c r="I525" t="s">
        <v>3647</v>
      </c>
      <c r="J525" t="s">
        <v>28</v>
      </c>
      <c r="K525" t="s">
        <v>3648</v>
      </c>
      <c r="L525" t="s">
        <v>43</v>
      </c>
      <c r="M525">
        <v>8149794612</v>
      </c>
      <c r="N525" t="s">
        <v>31</v>
      </c>
      <c r="O525" t="s">
        <v>7881</v>
      </c>
      <c r="P525" t="s">
        <v>7893</v>
      </c>
      <c r="Q525" t="s">
        <v>46</v>
      </c>
      <c r="R525" t="s">
        <v>33</v>
      </c>
      <c r="S525" t="s">
        <v>34</v>
      </c>
      <c r="T525" s="1">
        <v>552500</v>
      </c>
      <c r="U525">
        <v>0</v>
      </c>
      <c r="V525">
        <v>0</v>
      </c>
      <c r="W525" t="s">
        <v>3649</v>
      </c>
    </row>
    <row r="526" spans="1:23" x14ac:dyDescent="0.25">
      <c r="A526">
        <v>24444</v>
      </c>
      <c r="B526" t="s">
        <v>23</v>
      </c>
      <c r="D526">
        <v>533</v>
      </c>
      <c r="E526" t="s">
        <v>3650</v>
      </c>
      <c r="F526" t="s">
        <v>3651</v>
      </c>
      <c r="G526" t="s">
        <v>3652</v>
      </c>
      <c r="H526" t="s">
        <v>3653</v>
      </c>
      <c r="I526" t="s">
        <v>3654</v>
      </c>
      <c r="J526" t="s">
        <v>53</v>
      </c>
      <c r="K526" t="s">
        <v>3655</v>
      </c>
      <c r="L526" t="s">
        <v>765</v>
      </c>
      <c r="M526" s="2" t="s">
        <v>3656</v>
      </c>
      <c r="N526" t="s">
        <v>31</v>
      </c>
      <c r="O526" t="s">
        <v>7879</v>
      </c>
      <c r="P526" t="s">
        <v>7981</v>
      </c>
      <c r="Q526" t="s">
        <v>1480</v>
      </c>
      <c r="R526" t="s">
        <v>33</v>
      </c>
      <c r="S526" t="s">
        <v>34</v>
      </c>
      <c r="T526" s="1">
        <v>195000</v>
      </c>
      <c r="U526">
        <v>0</v>
      </c>
      <c r="V526">
        <v>0</v>
      </c>
      <c r="W526" t="s">
        <v>3657</v>
      </c>
    </row>
    <row r="527" spans="1:23" x14ac:dyDescent="0.25">
      <c r="A527">
        <v>21873</v>
      </c>
      <c r="B527" t="s">
        <v>23</v>
      </c>
      <c r="D527">
        <v>534</v>
      </c>
      <c r="E527" s="11" t="s">
        <v>3658</v>
      </c>
      <c r="F527" t="s">
        <v>368</v>
      </c>
      <c r="G527" t="s">
        <v>361</v>
      </c>
      <c r="H527" t="s">
        <v>3659</v>
      </c>
      <c r="I527" t="s">
        <v>3660</v>
      </c>
      <c r="J527" t="s">
        <v>53</v>
      </c>
      <c r="K527" t="s">
        <v>3661</v>
      </c>
      <c r="L527" t="s">
        <v>43</v>
      </c>
      <c r="M527" s="2" t="s">
        <v>3662</v>
      </c>
      <c r="N527" t="s">
        <v>31</v>
      </c>
      <c r="O527" t="s">
        <v>7881</v>
      </c>
      <c r="P527" t="s">
        <v>7888</v>
      </c>
      <c r="Q527" t="s">
        <v>46</v>
      </c>
      <c r="R527" t="s">
        <v>33</v>
      </c>
      <c r="S527" t="s">
        <v>34</v>
      </c>
      <c r="T527" s="1">
        <v>552500</v>
      </c>
      <c r="U527" s="1">
        <v>110500</v>
      </c>
      <c r="V527">
        <v>0</v>
      </c>
      <c r="W527" t="s">
        <v>3663</v>
      </c>
    </row>
    <row r="528" spans="1:23" x14ac:dyDescent="0.25">
      <c r="A528">
        <v>24384</v>
      </c>
      <c r="B528" t="s">
        <v>23</v>
      </c>
      <c r="D528">
        <v>535</v>
      </c>
      <c r="E528" t="s">
        <v>3664</v>
      </c>
      <c r="F528" t="s">
        <v>3665</v>
      </c>
      <c r="G528" t="s">
        <v>2406</v>
      </c>
      <c r="H528" t="s">
        <v>3666</v>
      </c>
      <c r="I528" t="s">
        <v>3667</v>
      </c>
      <c r="J528" t="s">
        <v>28</v>
      </c>
      <c r="K528" t="s">
        <v>3668</v>
      </c>
      <c r="L528" t="s">
        <v>43</v>
      </c>
      <c r="M528" s="2" t="s">
        <v>3669</v>
      </c>
      <c r="N528" t="s">
        <v>31</v>
      </c>
      <c r="O528" t="s">
        <v>7879</v>
      </c>
      <c r="P528" t="s">
        <v>7981</v>
      </c>
      <c r="Q528" t="s">
        <v>46</v>
      </c>
      <c r="R528" t="s">
        <v>33</v>
      </c>
      <c r="S528" t="s">
        <v>34</v>
      </c>
      <c r="T528" s="1">
        <v>195000</v>
      </c>
      <c r="U528">
        <v>0</v>
      </c>
      <c r="V528">
        <v>0</v>
      </c>
      <c r="W528" t="s">
        <v>3670</v>
      </c>
    </row>
    <row r="529" spans="1:23" x14ac:dyDescent="0.25">
      <c r="A529">
        <v>6664</v>
      </c>
      <c r="B529" t="s">
        <v>23</v>
      </c>
      <c r="D529">
        <v>536</v>
      </c>
      <c r="E529" t="s">
        <v>3671</v>
      </c>
      <c r="F529" t="s">
        <v>3672</v>
      </c>
      <c r="G529" t="s">
        <v>3673</v>
      </c>
      <c r="H529" t="s">
        <v>3674</v>
      </c>
      <c r="I529" t="s">
        <v>3675</v>
      </c>
      <c r="J529" t="s">
        <v>53</v>
      </c>
      <c r="K529" t="s">
        <v>3676</v>
      </c>
      <c r="L529" t="s">
        <v>43</v>
      </c>
      <c r="M529" s="2" t="s">
        <v>3677</v>
      </c>
      <c r="N529" t="s">
        <v>31</v>
      </c>
      <c r="O529" t="s">
        <v>7886</v>
      </c>
      <c r="P529" t="s">
        <v>7940</v>
      </c>
      <c r="Q529" t="s">
        <v>46</v>
      </c>
      <c r="R529" t="s">
        <v>33</v>
      </c>
      <c r="S529" t="s">
        <v>34</v>
      </c>
      <c r="T529" s="1">
        <v>812500</v>
      </c>
      <c r="U529">
        <v>0</v>
      </c>
      <c r="V529" s="1">
        <v>162500</v>
      </c>
      <c r="W529" t="s">
        <v>3678</v>
      </c>
    </row>
    <row r="530" spans="1:23" x14ac:dyDescent="0.25">
      <c r="A530">
        <v>11012</v>
      </c>
      <c r="B530" t="s">
        <v>23</v>
      </c>
      <c r="D530">
        <v>537</v>
      </c>
      <c r="E530" t="s">
        <v>3679</v>
      </c>
      <c r="F530" t="s">
        <v>1978</v>
      </c>
      <c r="G530" t="s">
        <v>2091</v>
      </c>
      <c r="H530" t="s">
        <v>2997</v>
      </c>
      <c r="I530" t="s">
        <v>3680</v>
      </c>
      <c r="J530" t="s">
        <v>28</v>
      </c>
      <c r="K530" t="s">
        <v>3681</v>
      </c>
      <c r="L530" t="s">
        <v>43</v>
      </c>
      <c r="M530">
        <v>8067193124</v>
      </c>
      <c r="N530" t="s">
        <v>31</v>
      </c>
      <c r="O530" t="s">
        <v>7881</v>
      </c>
      <c r="P530" t="s">
        <v>7940</v>
      </c>
      <c r="Q530" t="s">
        <v>46</v>
      </c>
      <c r="R530" t="s">
        <v>33</v>
      </c>
      <c r="S530" t="s">
        <v>34</v>
      </c>
      <c r="T530" s="1">
        <v>552500</v>
      </c>
      <c r="U530">
        <v>0</v>
      </c>
      <c r="V530">
        <v>0</v>
      </c>
      <c r="W530" t="s">
        <v>3682</v>
      </c>
    </row>
    <row r="531" spans="1:23" x14ac:dyDescent="0.25">
      <c r="A531">
        <v>24465</v>
      </c>
      <c r="B531" t="s">
        <v>23</v>
      </c>
      <c r="D531">
        <v>538</v>
      </c>
      <c r="E531" t="s">
        <v>3683</v>
      </c>
      <c r="F531" t="s">
        <v>3684</v>
      </c>
      <c r="G531" t="s">
        <v>3685</v>
      </c>
      <c r="I531" t="s">
        <v>3686</v>
      </c>
      <c r="J531" t="s">
        <v>28</v>
      </c>
      <c r="K531" t="s">
        <v>3687</v>
      </c>
      <c r="L531" t="s">
        <v>43</v>
      </c>
      <c r="M531" s="2" t="s">
        <v>3688</v>
      </c>
      <c r="N531" t="s">
        <v>31</v>
      </c>
      <c r="O531" t="s">
        <v>7879</v>
      </c>
      <c r="P531" t="s">
        <v>7888</v>
      </c>
      <c r="Q531" t="s">
        <v>46</v>
      </c>
      <c r="R531" t="s">
        <v>33</v>
      </c>
      <c r="S531" t="s">
        <v>34</v>
      </c>
      <c r="T531" s="1">
        <v>195000</v>
      </c>
      <c r="U531">
        <v>0</v>
      </c>
      <c r="V531">
        <v>0</v>
      </c>
      <c r="W531" t="s">
        <v>3689</v>
      </c>
    </row>
    <row r="532" spans="1:23" x14ac:dyDescent="0.25">
      <c r="A532">
        <v>20273</v>
      </c>
      <c r="B532" t="s">
        <v>23</v>
      </c>
      <c r="D532">
        <v>539</v>
      </c>
      <c r="E532" t="s">
        <v>3690</v>
      </c>
      <c r="F532" t="s">
        <v>3691</v>
      </c>
      <c r="G532" t="s">
        <v>3692</v>
      </c>
      <c r="H532" t="s">
        <v>841</v>
      </c>
      <c r="I532" t="s">
        <v>3693</v>
      </c>
      <c r="J532" t="s">
        <v>53</v>
      </c>
      <c r="K532" t="s">
        <v>3694</v>
      </c>
      <c r="L532" t="s">
        <v>43</v>
      </c>
      <c r="M532">
        <v>2348025265640</v>
      </c>
      <c r="N532" t="s">
        <v>31</v>
      </c>
      <c r="O532" t="s">
        <v>7881</v>
      </c>
      <c r="P532" t="s">
        <v>7893</v>
      </c>
      <c r="Q532" t="s">
        <v>46</v>
      </c>
      <c r="R532" t="s">
        <v>33</v>
      </c>
      <c r="S532" t="s">
        <v>34</v>
      </c>
      <c r="T532" s="1">
        <v>552500</v>
      </c>
      <c r="U532">
        <v>0</v>
      </c>
      <c r="V532">
        <v>0</v>
      </c>
      <c r="W532" t="s">
        <v>3695</v>
      </c>
    </row>
    <row r="533" spans="1:23" x14ac:dyDescent="0.25">
      <c r="A533">
        <v>24457</v>
      </c>
      <c r="B533" t="s">
        <v>23</v>
      </c>
      <c r="D533">
        <v>540</v>
      </c>
      <c r="E533" t="s">
        <v>3696</v>
      </c>
      <c r="F533" t="s">
        <v>3697</v>
      </c>
      <c r="G533" t="s">
        <v>398</v>
      </c>
      <c r="I533" t="s">
        <v>3698</v>
      </c>
      <c r="J533" t="s">
        <v>28</v>
      </c>
      <c r="K533" t="s">
        <v>3699</v>
      </c>
      <c r="L533" t="s">
        <v>765</v>
      </c>
      <c r="M533" t="s">
        <v>3700</v>
      </c>
      <c r="N533" t="s">
        <v>31</v>
      </c>
      <c r="O533" t="s">
        <v>7879</v>
      </c>
      <c r="P533" t="s">
        <v>7981</v>
      </c>
      <c r="Q533" t="s">
        <v>1480</v>
      </c>
      <c r="R533" t="s">
        <v>33</v>
      </c>
      <c r="S533" t="s">
        <v>34</v>
      </c>
      <c r="T533" s="1">
        <v>195000</v>
      </c>
      <c r="U533">
        <v>0</v>
      </c>
      <c r="V533">
        <v>0</v>
      </c>
      <c r="W533" t="s">
        <v>3701</v>
      </c>
    </row>
    <row r="534" spans="1:23" x14ac:dyDescent="0.25">
      <c r="A534">
        <v>24446</v>
      </c>
      <c r="B534" t="s">
        <v>23</v>
      </c>
      <c r="D534">
        <v>541</v>
      </c>
      <c r="E534" s="11" t="s">
        <v>3702</v>
      </c>
      <c r="F534" t="s">
        <v>3703</v>
      </c>
      <c r="G534" t="s">
        <v>2640</v>
      </c>
      <c r="I534" t="s">
        <v>3704</v>
      </c>
      <c r="J534" t="s">
        <v>53</v>
      </c>
      <c r="K534" t="s">
        <v>3705</v>
      </c>
      <c r="L534" t="s">
        <v>765</v>
      </c>
      <c r="M534">
        <v>23234120469</v>
      </c>
      <c r="N534" t="s">
        <v>31</v>
      </c>
      <c r="O534" t="s">
        <v>7879</v>
      </c>
      <c r="P534" t="s">
        <v>7981</v>
      </c>
      <c r="Q534" t="s">
        <v>1480</v>
      </c>
      <c r="R534" t="s">
        <v>33</v>
      </c>
      <c r="S534" t="s">
        <v>34</v>
      </c>
      <c r="T534" s="1">
        <v>195000</v>
      </c>
      <c r="U534">
        <v>0</v>
      </c>
      <c r="V534">
        <v>0</v>
      </c>
      <c r="W534" t="s">
        <v>3706</v>
      </c>
    </row>
    <row r="535" spans="1:23" x14ac:dyDescent="0.25">
      <c r="A535">
        <v>24413</v>
      </c>
      <c r="B535" t="s">
        <v>23</v>
      </c>
      <c r="D535">
        <v>542</v>
      </c>
      <c r="E535" s="11" t="s">
        <v>3707</v>
      </c>
      <c r="F535" t="s">
        <v>2681</v>
      </c>
      <c r="G535" t="s">
        <v>3708</v>
      </c>
      <c r="I535" t="s">
        <v>3709</v>
      </c>
      <c r="J535" t="s">
        <v>53</v>
      </c>
      <c r="K535" t="s">
        <v>3705</v>
      </c>
      <c r="L535" t="s">
        <v>765</v>
      </c>
      <c r="M535">
        <v>23231819123</v>
      </c>
      <c r="N535" t="s">
        <v>31</v>
      </c>
      <c r="O535" t="s">
        <v>7879</v>
      </c>
      <c r="P535" t="s">
        <v>7981</v>
      </c>
      <c r="Q535" t="s">
        <v>1480</v>
      </c>
      <c r="R535" t="s">
        <v>33</v>
      </c>
      <c r="S535" t="s">
        <v>34</v>
      </c>
      <c r="T535" s="1">
        <v>195000</v>
      </c>
      <c r="U535">
        <v>0</v>
      </c>
      <c r="V535">
        <v>0</v>
      </c>
      <c r="W535" t="s">
        <v>3710</v>
      </c>
    </row>
    <row r="536" spans="1:23" x14ac:dyDescent="0.25">
      <c r="A536">
        <v>24456</v>
      </c>
      <c r="B536" t="s">
        <v>23</v>
      </c>
      <c r="D536">
        <v>543</v>
      </c>
      <c r="E536" t="s">
        <v>3711</v>
      </c>
      <c r="F536" t="s">
        <v>3712</v>
      </c>
      <c r="G536" t="s">
        <v>3713</v>
      </c>
      <c r="H536" t="s">
        <v>3714</v>
      </c>
      <c r="I536" t="s">
        <v>3715</v>
      </c>
      <c r="J536" t="s">
        <v>53</v>
      </c>
      <c r="K536" t="s">
        <v>3716</v>
      </c>
      <c r="L536" t="s">
        <v>765</v>
      </c>
      <c r="M536">
        <v>23234610270</v>
      </c>
      <c r="N536" t="s">
        <v>31</v>
      </c>
      <c r="O536" t="s">
        <v>7879</v>
      </c>
      <c r="P536" t="s">
        <v>7981</v>
      </c>
      <c r="Q536" t="s">
        <v>1480</v>
      </c>
      <c r="R536" t="s">
        <v>33</v>
      </c>
      <c r="S536" t="s">
        <v>34</v>
      </c>
      <c r="T536" s="1">
        <v>195000</v>
      </c>
      <c r="U536">
        <v>0</v>
      </c>
      <c r="V536">
        <v>0</v>
      </c>
      <c r="W536" t="s">
        <v>3717</v>
      </c>
    </row>
    <row r="537" spans="1:23" x14ac:dyDescent="0.25">
      <c r="A537">
        <v>24467</v>
      </c>
      <c r="B537" t="s">
        <v>23</v>
      </c>
      <c r="D537">
        <v>544</v>
      </c>
      <c r="E537" s="11" t="s">
        <v>3718</v>
      </c>
      <c r="F537" t="s">
        <v>3719</v>
      </c>
      <c r="G537" t="s">
        <v>3720</v>
      </c>
      <c r="H537" t="s">
        <v>3721</v>
      </c>
      <c r="I537" t="s">
        <v>3722</v>
      </c>
      <c r="J537" t="s">
        <v>53</v>
      </c>
      <c r="K537" t="s">
        <v>3705</v>
      </c>
      <c r="L537" t="s">
        <v>765</v>
      </c>
      <c r="M537">
        <v>23278255197</v>
      </c>
      <c r="N537" t="s">
        <v>31</v>
      </c>
      <c r="O537" t="s">
        <v>7879</v>
      </c>
      <c r="P537" t="s">
        <v>7981</v>
      </c>
      <c r="Q537" t="s">
        <v>1480</v>
      </c>
      <c r="R537" t="s">
        <v>33</v>
      </c>
      <c r="S537" t="s">
        <v>34</v>
      </c>
      <c r="T537" s="1">
        <v>195000</v>
      </c>
      <c r="U537">
        <v>0</v>
      </c>
      <c r="V537">
        <v>0</v>
      </c>
      <c r="W537" t="s">
        <v>3723</v>
      </c>
    </row>
    <row r="538" spans="1:23" x14ac:dyDescent="0.25">
      <c r="A538">
        <v>4859</v>
      </c>
      <c r="B538" t="s">
        <v>23</v>
      </c>
      <c r="D538">
        <v>545</v>
      </c>
      <c r="E538" t="s">
        <v>3724</v>
      </c>
      <c r="F538" t="s">
        <v>3725</v>
      </c>
      <c r="G538" t="s">
        <v>2895</v>
      </c>
      <c r="H538" t="s">
        <v>3726</v>
      </c>
      <c r="I538" t="s">
        <v>7891</v>
      </c>
      <c r="J538" t="s">
        <v>53</v>
      </c>
      <c r="K538" t="s">
        <v>3727</v>
      </c>
      <c r="L538" t="s">
        <v>43</v>
      </c>
      <c r="M538" s="2" t="s">
        <v>3728</v>
      </c>
      <c r="N538" t="s">
        <v>31</v>
      </c>
      <c r="O538" t="s">
        <v>7886</v>
      </c>
      <c r="P538" t="s">
        <v>7888</v>
      </c>
      <c r="Q538" t="s">
        <v>63</v>
      </c>
      <c r="R538" t="s">
        <v>33</v>
      </c>
      <c r="S538" t="s">
        <v>34</v>
      </c>
      <c r="T538" s="1">
        <v>812500</v>
      </c>
      <c r="U538">
        <v>0</v>
      </c>
      <c r="V538" s="1">
        <v>162500</v>
      </c>
      <c r="W538" t="s">
        <v>3729</v>
      </c>
    </row>
    <row r="539" spans="1:23" x14ac:dyDescent="0.25">
      <c r="A539">
        <v>24409</v>
      </c>
      <c r="B539" t="s">
        <v>23</v>
      </c>
      <c r="D539">
        <v>546</v>
      </c>
      <c r="E539" t="s">
        <v>3730</v>
      </c>
      <c r="F539" t="s">
        <v>3731</v>
      </c>
      <c r="G539" t="s">
        <v>3732</v>
      </c>
      <c r="H539" t="s">
        <v>3733</v>
      </c>
      <c r="I539" t="s">
        <v>3734</v>
      </c>
      <c r="J539" t="s">
        <v>28</v>
      </c>
      <c r="K539" t="s">
        <v>3734</v>
      </c>
      <c r="L539" t="s">
        <v>43</v>
      </c>
      <c r="M539" s="2" t="s">
        <v>3735</v>
      </c>
      <c r="N539" t="s">
        <v>31</v>
      </c>
      <c r="O539" t="s">
        <v>7879</v>
      </c>
      <c r="P539" t="s">
        <v>8028</v>
      </c>
      <c r="Q539" t="s">
        <v>87</v>
      </c>
      <c r="R539" t="s">
        <v>33</v>
      </c>
      <c r="S539" t="s">
        <v>34</v>
      </c>
      <c r="T539" s="1">
        <v>195000</v>
      </c>
      <c r="U539">
        <v>0</v>
      </c>
      <c r="V539">
        <v>0</v>
      </c>
      <c r="W539" t="s">
        <v>3736</v>
      </c>
    </row>
    <row r="540" spans="1:23" x14ac:dyDescent="0.25">
      <c r="A540">
        <v>21097</v>
      </c>
      <c r="B540" t="s">
        <v>23</v>
      </c>
      <c r="D540">
        <v>547</v>
      </c>
      <c r="E540" t="s">
        <v>3737</v>
      </c>
      <c r="F540" t="s">
        <v>3738</v>
      </c>
      <c r="G540" t="s">
        <v>3739</v>
      </c>
      <c r="H540" t="s">
        <v>3740</v>
      </c>
      <c r="I540" t="s">
        <v>3741</v>
      </c>
      <c r="J540" t="s">
        <v>53</v>
      </c>
      <c r="K540" t="s">
        <v>1624</v>
      </c>
      <c r="L540" t="s">
        <v>453</v>
      </c>
      <c r="M540" s="2" t="s">
        <v>3742</v>
      </c>
      <c r="N540" t="s">
        <v>31</v>
      </c>
      <c r="O540" t="s">
        <v>7879</v>
      </c>
      <c r="P540" t="s">
        <v>8028</v>
      </c>
      <c r="Q540" t="s">
        <v>455</v>
      </c>
      <c r="R540" t="s">
        <v>130</v>
      </c>
      <c r="S540" t="s">
        <v>131</v>
      </c>
      <c r="T540">
        <v>150</v>
      </c>
      <c r="U540">
        <v>0</v>
      </c>
      <c r="V540">
        <v>0</v>
      </c>
      <c r="W540" t="s">
        <v>3743</v>
      </c>
    </row>
    <row r="541" spans="1:23" x14ac:dyDescent="0.25">
      <c r="A541">
        <v>24463</v>
      </c>
      <c r="B541" t="s">
        <v>23</v>
      </c>
      <c r="D541">
        <v>548</v>
      </c>
      <c r="E541" s="11" t="s">
        <v>3744</v>
      </c>
      <c r="F541" t="s">
        <v>1217</v>
      </c>
      <c r="G541" t="s">
        <v>3745</v>
      </c>
      <c r="H541" t="s">
        <v>3746</v>
      </c>
      <c r="I541" t="s">
        <v>3747</v>
      </c>
      <c r="J541" t="s">
        <v>28</v>
      </c>
      <c r="K541" t="s">
        <v>3748</v>
      </c>
      <c r="L541" t="s">
        <v>765</v>
      </c>
      <c r="M541">
        <v>23280644495</v>
      </c>
      <c r="N541" t="s">
        <v>31</v>
      </c>
      <c r="O541" t="s">
        <v>7879</v>
      </c>
      <c r="P541" t="s">
        <v>7981</v>
      </c>
      <c r="Q541" t="s">
        <v>1480</v>
      </c>
      <c r="R541" t="s">
        <v>33</v>
      </c>
      <c r="S541" t="s">
        <v>34</v>
      </c>
      <c r="T541" s="1">
        <v>195000</v>
      </c>
      <c r="U541">
        <v>0</v>
      </c>
      <c r="V541">
        <v>0</v>
      </c>
      <c r="W541" t="s">
        <v>3749</v>
      </c>
    </row>
    <row r="542" spans="1:23" x14ac:dyDescent="0.25">
      <c r="A542">
        <v>23609</v>
      </c>
      <c r="B542" t="s">
        <v>23</v>
      </c>
      <c r="D542">
        <v>549</v>
      </c>
      <c r="E542" t="s">
        <v>3750</v>
      </c>
      <c r="F542" t="s">
        <v>3751</v>
      </c>
      <c r="G542" t="s">
        <v>376</v>
      </c>
      <c r="H542" t="s">
        <v>3752</v>
      </c>
      <c r="I542" t="s">
        <v>3753</v>
      </c>
      <c r="J542" t="s">
        <v>28</v>
      </c>
      <c r="K542" t="s">
        <v>1923</v>
      </c>
      <c r="L542" t="s">
        <v>43</v>
      </c>
      <c r="M542" s="2" t="s">
        <v>3754</v>
      </c>
      <c r="N542" t="s">
        <v>45</v>
      </c>
      <c r="O542" t="s">
        <v>7879</v>
      </c>
      <c r="P542" t="s">
        <v>7981</v>
      </c>
      <c r="Q542" t="s">
        <v>63</v>
      </c>
      <c r="R542" t="s">
        <v>33</v>
      </c>
      <c r="S542" t="s">
        <v>34</v>
      </c>
      <c r="T542" s="1">
        <v>195000</v>
      </c>
      <c r="U542">
        <v>0</v>
      </c>
      <c r="V542">
        <v>0</v>
      </c>
      <c r="W542" t="s">
        <v>3755</v>
      </c>
    </row>
    <row r="543" spans="1:23" x14ac:dyDescent="0.25">
      <c r="A543">
        <v>9454</v>
      </c>
      <c r="B543" t="s">
        <v>23</v>
      </c>
      <c r="D543">
        <v>550</v>
      </c>
      <c r="E543" t="s">
        <v>3756</v>
      </c>
      <c r="F543" t="s">
        <v>3757</v>
      </c>
      <c r="G543" t="s">
        <v>3758</v>
      </c>
      <c r="H543" t="s">
        <v>3759</v>
      </c>
      <c r="I543" t="s">
        <v>7999</v>
      </c>
      <c r="J543" t="s">
        <v>53</v>
      </c>
      <c r="K543" t="s">
        <v>3760</v>
      </c>
      <c r="L543" t="s">
        <v>43</v>
      </c>
      <c r="M543">
        <v>8036921324</v>
      </c>
      <c r="N543" t="s">
        <v>45</v>
      </c>
      <c r="O543" t="s">
        <v>7881</v>
      </c>
      <c r="P543" t="s">
        <v>7981</v>
      </c>
      <c r="Q543" t="s">
        <v>46</v>
      </c>
      <c r="R543" t="s">
        <v>33</v>
      </c>
      <c r="S543" t="s">
        <v>34</v>
      </c>
      <c r="T543" s="1">
        <v>552500</v>
      </c>
      <c r="U543">
        <v>0</v>
      </c>
      <c r="V543">
        <v>0</v>
      </c>
      <c r="W543" t="s">
        <v>3761</v>
      </c>
    </row>
    <row r="544" spans="1:23" x14ac:dyDescent="0.25">
      <c r="A544">
        <v>6096</v>
      </c>
      <c r="B544" t="s">
        <v>23</v>
      </c>
      <c r="D544">
        <v>551</v>
      </c>
      <c r="E544" s="11" t="s">
        <v>3762</v>
      </c>
      <c r="F544" t="s">
        <v>1013</v>
      </c>
      <c r="G544" t="s">
        <v>3763</v>
      </c>
      <c r="H544" t="s">
        <v>3764</v>
      </c>
      <c r="I544" t="s">
        <v>8000</v>
      </c>
      <c r="J544" t="s">
        <v>28</v>
      </c>
      <c r="K544" t="s">
        <v>3765</v>
      </c>
      <c r="L544" t="s">
        <v>43</v>
      </c>
      <c r="M544" s="2" t="s">
        <v>3766</v>
      </c>
      <c r="N544" t="s">
        <v>45</v>
      </c>
      <c r="O544" t="s">
        <v>7886</v>
      </c>
      <c r="P544" t="s">
        <v>7981</v>
      </c>
      <c r="Q544" t="s">
        <v>46</v>
      </c>
      <c r="R544" t="s">
        <v>33</v>
      </c>
      <c r="S544" t="s">
        <v>34</v>
      </c>
      <c r="T544" s="1">
        <v>812500</v>
      </c>
      <c r="U544">
        <v>0</v>
      </c>
      <c r="V544" s="1">
        <v>162500</v>
      </c>
      <c r="W544" t="s">
        <v>3767</v>
      </c>
    </row>
    <row r="545" spans="1:23" x14ac:dyDescent="0.25">
      <c r="A545">
        <v>24185</v>
      </c>
      <c r="B545" t="s">
        <v>23</v>
      </c>
      <c r="D545">
        <v>552</v>
      </c>
      <c r="E545" s="11" t="s">
        <v>3768</v>
      </c>
      <c r="F545" t="s">
        <v>3769</v>
      </c>
      <c r="G545" t="s">
        <v>91</v>
      </c>
      <c r="H545" t="s">
        <v>465</v>
      </c>
      <c r="I545" t="s">
        <v>3770</v>
      </c>
      <c r="J545" t="s">
        <v>28</v>
      </c>
      <c r="K545" t="s">
        <v>3771</v>
      </c>
      <c r="L545" t="s">
        <v>43</v>
      </c>
      <c r="M545" s="2" t="s">
        <v>3772</v>
      </c>
      <c r="N545" t="s">
        <v>31</v>
      </c>
      <c r="O545" t="s">
        <v>7879</v>
      </c>
      <c r="P545" t="s">
        <v>7940</v>
      </c>
      <c r="Q545" t="s">
        <v>46</v>
      </c>
      <c r="R545" t="s">
        <v>33</v>
      </c>
      <c r="S545" t="s">
        <v>34</v>
      </c>
      <c r="T545" s="1">
        <v>195000</v>
      </c>
      <c r="U545">
        <v>0</v>
      </c>
      <c r="V545">
        <v>0</v>
      </c>
      <c r="W545" t="s">
        <v>3773</v>
      </c>
    </row>
    <row r="546" spans="1:23" x14ac:dyDescent="0.25">
      <c r="A546">
        <v>20767</v>
      </c>
      <c r="B546" t="s">
        <v>23</v>
      </c>
      <c r="D546">
        <v>553</v>
      </c>
      <c r="E546" t="s">
        <v>3774</v>
      </c>
      <c r="F546" t="s">
        <v>3775</v>
      </c>
      <c r="G546" t="s">
        <v>3776</v>
      </c>
      <c r="H546" t="s">
        <v>6812</v>
      </c>
      <c r="I546" t="s">
        <v>3777</v>
      </c>
      <c r="J546" t="s">
        <v>28</v>
      </c>
      <c r="K546" t="s">
        <v>3403</v>
      </c>
      <c r="L546" t="s">
        <v>43</v>
      </c>
      <c r="M546" s="2" t="s">
        <v>3778</v>
      </c>
      <c r="N546" t="s">
        <v>31</v>
      </c>
      <c r="O546" t="s">
        <v>7881</v>
      </c>
      <c r="P546" t="s">
        <v>7940</v>
      </c>
      <c r="Q546" t="s">
        <v>46</v>
      </c>
      <c r="R546" t="s">
        <v>33</v>
      </c>
      <c r="S546" t="s">
        <v>34</v>
      </c>
      <c r="T546" s="1">
        <v>552500</v>
      </c>
      <c r="U546">
        <v>0</v>
      </c>
      <c r="V546">
        <v>0</v>
      </c>
      <c r="W546" t="s">
        <v>3779</v>
      </c>
    </row>
    <row r="547" spans="1:23" x14ac:dyDescent="0.25">
      <c r="A547">
        <v>2747</v>
      </c>
      <c r="B547" t="s">
        <v>23</v>
      </c>
      <c r="D547">
        <v>554</v>
      </c>
      <c r="E547" s="11" t="s">
        <v>3780</v>
      </c>
      <c r="F547" t="s">
        <v>1728</v>
      </c>
      <c r="G547" t="s">
        <v>234</v>
      </c>
      <c r="H547" t="s">
        <v>3781</v>
      </c>
      <c r="I547" t="s">
        <v>8001</v>
      </c>
      <c r="J547" t="s">
        <v>28</v>
      </c>
      <c r="K547" t="s">
        <v>3782</v>
      </c>
      <c r="L547" t="s">
        <v>43</v>
      </c>
      <c r="M547">
        <v>8131391831</v>
      </c>
      <c r="N547" t="s">
        <v>31</v>
      </c>
      <c r="O547" t="s">
        <v>7886</v>
      </c>
      <c r="P547" t="s">
        <v>7981</v>
      </c>
      <c r="Q547" t="s">
        <v>46</v>
      </c>
      <c r="R547" t="s">
        <v>33</v>
      </c>
      <c r="S547" t="s">
        <v>34</v>
      </c>
      <c r="T547" s="1">
        <v>812500</v>
      </c>
      <c r="U547">
        <v>0</v>
      </c>
      <c r="V547" s="1">
        <v>162500</v>
      </c>
      <c r="W547" t="s">
        <v>3783</v>
      </c>
    </row>
    <row r="548" spans="1:23" x14ac:dyDescent="0.25">
      <c r="A548">
        <v>24341</v>
      </c>
      <c r="B548" t="s">
        <v>23</v>
      </c>
      <c r="D548">
        <v>555</v>
      </c>
      <c r="E548" s="11" t="s">
        <v>3784</v>
      </c>
      <c r="F548" t="s">
        <v>2628</v>
      </c>
      <c r="G548" t="s">
        <v>3785</v>
      </c>
      <c r="H548" t="s">
        <v>1524</v>
      </c>
      <c r="I548" t="s">
        <v>3786</v>
      </c>
      <c r="J548" t="s">
        <v>53</v>
      </c>
      <c r="K548" t="s">
        <v>3787</v>
      </c>
      <c r="L548" t="s">
        <v>43</v>
      </c>
      <c r="M548" s="2" t="s">
        <v>3788</v>
      </c>
      <c r="N548" t="s">
        <v>31</v>
      </c>
      <c r="O548" t="s">
        <v>7879</v>
      </c>
      <c r="P548" t="s">
        <v>7893</v>
      </c>
      <c r="Q548" t="s">
        <v>46</v>
      </c>
      <c r="R548" t="s">
        <v>33</v>
      </c>
      <c r="S548" t="s">
        <v>34</v>
      </c>
      <c r="T548" s="1">
        <v>195000</v>
      </c>
      <c r="U548">
        <v>0</v>
      </c>
      <c r="V548">
        <v>0</v>
      </c>
      <c r="W548" t="s">
        <v>3789</v>
      </c>
    </row>
    <row r="549" spans="1:23" x14ac:dyDescent="0.25">
      <c r="A549">
        <v>24466</v>
      </c>
      <c r="B549" t="s">
        <v>23</v>
      </c>
      <c r="D549">
        <v>556</v>
      </c>
      <c r="E549" t="s">
        <v>3790</v>
      </c>
      <c r="F549" t="s">
        <v>3791</v>
      </c>
      <c r="G549" t="s">
        <v>3792</v>
      </c>
      <c r="H549" t="s">
        <v>3793</v>
      </c>
      <c r="I549" t="s">
        <v>3794</v>
      </c>
      <c r="J549" t="s">
        <v>53</v>
      </c>
      <c r="K549" t="s">
        <v>3795</v>
      </c>
      <c r="L549" t="s">
        <v>765</v>
      </c>
      <c r="M549">
        <v>23279091886</v>
      </c>
      <c r="N549" t="s">
        <v>31</v>
      </c>
      <c r="O549" t="s">
        <v>7879</v>
      </c>
      <c r="P549" t="s">
        <v>7981</v>
      </c>
      <c r="Q549" t="s">
        <v>1480</v>
      </c>
      <c r="R549" t="s">
        <v>33</v>
      </c>
      <c r="S549" t="s">
        <v>34</v>
      </c>
      <c r="T549" s="1">
        <v>195000</v>
      </c>
      <c r="U549">
        <v>0</v>
      </c>
      <c r="V549">
        <v>0</v>
      </c>
      <c r="W549" t="s">
        <v>3796</v>
      </c>
    </row>
    <row r="550" spans="1:23" x14ac:dyDescent="0.25">
      <c r="A550">
        <v>10547</v>
      </c>
      <c r="B550" t="s">
        <v>23</v>
      </c>
      <c r="D550">
        <v>557</v>
      </c>
      <c r="E550" t="s">
        <v>3797</v>
      </c>
      <c r="F550" t="s">
        <v>111</v>
      </c>
      <c r="G550" t="s">
        <v>3798</v>
      </c>
      <c r="H550" t="s">
        <v>3799</v>
      </c>
      <c r="I550" t="s">
        <v>7923</v>
      </c>
      <c r="J550" t="s">
        <v>53</v>
      </c>
      <c r="K550" t="s">
        <v>3800</v>
      </c>
      <c r="L550" t="s">
        <v>43</v>
      </c>
      <c r="M550">
        <v>7039053568</v>
      </c>
      <c r="N550" t="s">
        <v>31</v>
      </c>
      <c r="O550" t="s">
        <v>7886</v>
      </c>
      <c r="P550" t="s">
        <v>7894</v>
      </c>
      <c r="Q550" t="s">
        <v>63</v>
      </c>
      <c r="R550" t="s">
        <v>33</v>
      </c>
      <c r="S550" t="s">
        <v>34</v>
      </c>
      <c r="T550" s="1">
        <v>812500</v>
      </c>
      <c r="U550">
        <v>0</v>
      </c>
      <c r="V550" s="1">
        <v>162500</v>
      </c>
      <c r="W550" t="s">
        <v>3801</v>
      </c>
    </row>
    <row r="551" spans="1:23" x14ac:dyDescent="0.25">
      <c r="A551">
        <v>11126</v>
      </c>
      <c r="B551" t="s">
        <v>23</v>
      </c>
      <c r="D551">
        <v>558</v>
      </c>
      <c r="E551" s="11" t="s">
        <v>3802</v>
      </c>
      <c r="F551" t="s">
        <v>3803</v>
      </c>
      <c r="G551" t="s">
        <v>3804</v>
      </c>
      <c r="H551" t="s">
        <v>598</v>
      </c>
      <c r="I551" t="s">
        <v>7960</v>
      </c>
      <c r="J551" t="s">
        <v>53</v>
      </c>
      <c r="K551" t="s">
        <v>3805</v>
      </c>
      <c r="L551" t="s">
        <v>43</v>
      </c>
      <c r="M551">
        <v>7030147475</v>
      </c>
      <c r="N551" t="s">
        <v>1207</v>
      </c>
      <c r="O551" t="s">
        <v>7886</v>
      </c>
      <c r="P551" t="s">
        <v>7940</v>
      </c>
      <c r="Q551" t="s">
        <v>63</v>
      </c>
      <c r="R551" t="s">
        <v>33</v>
      </c>
      <c r="S551" t="s">
        <v>34</v>
      </c>
      <c r="T551" s="1">
        <v>812500</v>
      </c>
      <c r="U551">
        <v>0</v>
      </c>
      <c r="V551" s="1">
        <v>162500</v>
      </c>
      <c r="W551" t="s">
        <v>3806</v>
      </c>
    </row>
    <row r="552" spans="1:23" x14ac:dyDescent="0.25">
      <c r="A552">
        <v>23915</v>
      </c>
      <c r="B552" t="s">
        <v>23</v>
      </c>
      <c r="D552">
        <v>559</v>
      </c>
      <c r="E552" s="11" t="s">
        <v>3807</v>
      </c>
      <c r="F552" t="s">
        <v>3808</v>
      </c>
      <c r="G552" t="s">
        <v>3809</v>
      </c>
      <c r="I552" t="s">
        <v>3810</v>
      </c>
      <c r="J552" t="s">
        <v>28</v>
      </c>
      <c r="K552" t="s">
        <v>3811</v>
      </c>
      <c r="L552" t="s">
        <v>453</v>
      </c>
      <c r="M552" s="2" t="s">
        <v>3812</v>
      </c>
      <c r="N552" t="s">
        <v>31</v>
      </c>
      <c r="O552" t="s">
        <v>7879</v>
      </c>
      <c r="P552" t="s">
        <v>7893</v>
      </c>
      <c r="Q552" t="s">
        <v>455</v>
      </c>
      <c r="R552" t="s">
        <v>130</v>
      </c>
      <c r="S552" t="s">
        <v>131</v>
      </c>
      <c r="T552">
        <v>150</v>
      </c>
      <c r="U552">
        <v>0</v>
      </c>
      <c r="V552">
        <v>0</v>
      </c>
      <c r="W552" t="s">
        <v>3813</v>
      </c>
    </row>
    <row r="553" spans="1:23" x14ac:dyDescent="0.25">
      <c r="A553">
        <v>19076</v>
      </c>
      <c r="B553" t="s">
        <v>23</v>
      </c>
      <c r="D553">
        <v>560</v>
      </c>
      <c r="E553" s="11" t="s">
        <v>3814</v>
      </c>
      <c r="F553" t="s">
        <v>3815</v>
      </c>
      <c r="G553" t="s">
        <v>3816</v>
      </c>
      <c r="H553" t="s">
        <v>3817</v>
      </c>
      <c r="I553" t="s">
        <v>3818</v>
      </c>
      <c r="J553" t="s">
        <v>28</v>
      </c>
      <c r="K553" t="s">
        <v>3819</v>
      </c>
      <c r="L553" t="s">
        <v>43</v>
      </c>
      <c r="M553" s="2" t="s">
        <v>3820</v>
      </c>
      <c r="N553" t="s">
        <v>45</v>
      </c>
      <c r="O553" t="s">
        <v>7879</v>
      </c>
      <c r="P553" t="s">
        <v>7981</v>
      </c>
      <c r="Q553" t="s">
        <v>87</v>
      </c>
      <c r="R553" t="s">
        <v>33</v>
      </c>
      <c r="S553" t="s">
        <v>34</v>
      </c>
      <c r="T553" s="1">
        <v>195000</v>
      </c>
      <c r="U553">
        <v>0</v>
      </c>
      <c r="V553">
        <v>0</v>
      </c>
      <c r="W553" t="s">
        <v>3821</v>
      </c>
    </row>
    <row r="554" spans="1:23" x14ac:dyDescent="0.25">
      <c r="A554">
        <v>5092</v>
      </c>
      <c r="B554" t="s">
        <v>23</v>
      </c>
      <c r="D554">
        <v>561</v>
      </c>
      <c r="E554" t="s">
        <v>3822</v>
      </c>
      <c r="F554" t="s">
        <v>3823</v>
      </c>
      <c r="G554" t="s">
        <v>3824</v>
      </c>
      <c r="H554" t="s">
        <v>3825</v>
      </c>
      <c r="I554" t="s">
        <v>3826</v>
      </c>
      <c r="J554" t="s">
        <v>28</v>
      </c>
      <c r="K554" t="s">
        <v>3827</v>
      </c>
      <c r="L554" t="s">
        <v>43</v>
      </c>
      <c r="M554" s="2" t="s">
        <v>3828</v>
      </c>
      <c r="N554" t="s">
        <v>31</v>
      </c>
      <c r="O554" t="s">
        <v>7886</v>
      </c>
      <c r="P554" t="s">
        <v>7940</v>
      </c>
      <c r="Q554" t="s">
        <v>46</v>
      </c>
      <c r="R554" t="s">
        <v>33</v>
      </c>
      <c r="S554" t="s">
        <v>34</v>
      </c>
      <c r="T554" s="1">
        <v>812500</v>
      </c>
      <c r="U554">
        <v>0</v>
      </c>
      <c r="V554" s="1">
        <v>162500</v>
      </c>
      <c r="W554" t="s">
        <v>3829</v>
      </c>
    </row>
    <row r="555" spans="1:23" x14ac:dyDescent="0.25">
      <c r="A555">
        <v>7518</v>
      </c>
      <c r="B555" t="s">
        <v>23</v>
      </c>
      <c r="D555">
        <v>562</v>
      </c>
      <c r="E555" t="s">
        <v>3830</v>
      </c>
      <c r="F555" t="s">
        <v>3831</v>
      </c>
      <c r="G555" t="s">
        <v>3832</v>
      </c>
      <c r="H555" t="s">
        <v>196</v>
      </c>
      <c r="I555" t="s">
        <v>8002</v>
      </c>
      <c r="J555" t="s">
        <v>28</v>
      </c>
      <c r="K555" t="s">
        <v>2761</v>
      </c>
      <c r="L555" t="s">
        <v>43</v>
      </c>
      <c r="M555">
        <v>8068268420</v>
      </c>
      <c r="N555" t="s">
        <v>31</v>
      </c>
      <c r="O555" t="s">
        <v>7886</v>
      </c>
      <c r="P555" t="s">
        <v>7981</v>
      </c>
      <c r="Q555" t="s">
        <v>46</v>
      </c>
      <c r="R555" t="s">
        <v>33</v>
      </c>
      <c r="S555" t="s">
        <v>34</v>
      </c>
      <c r="T555" s="1">
        <v>812500</v>
      </c>
      <c r="U555">
        <v>0</v>
      </c>
      <c r="V555" s="1">
        <v>162500</v>
      </c>
      <c r="W555" t="s">
        <v>3833</v>
      </c>
    </row>
    <row r="556" spans="1:23" x14ac:dyDescent="0.25">
      <c r="A556">
        <v>24469</v>
      </c>
      <c r="B556" t="s">
        <v>23</v>
      </c>
      <c r="D556">
        <v>563</v>
      </c>
      <c r="E556" t="s">
        <v>3834</v>
      </c>
      <c r="F556" t="s">
        <v>893</v>
      </c>
      <c r="G556" t="s">
        <v>3835</v>
      </c>
      <c r="H556" t="s">
        <v>2225</v>
      </c>
      <c r="I556" t="s">
        <v>3836</v>
      </c>
      <c r="J556" t="s">
        <v>53</v>
      </c>
      <c r="K556" t="s">
        <v>3837</v>
      </c>
      <c r="L556" t="s">
        <v>43</v>
      </c>
      <c r="M556" s="2" t="s">
        <v>3838</v>
      </c>
      <c r="N556" t="s">
        <v>31</v>
      </c>
      <c r="O556" t="s">
        <v>7879</v>
      </c>
      <c r="P556" t="s">
        <v>7940</v>
      </c>
      <c r="Q556" t="s">
        <v>87</v>
      </c>
      <c r="R556" t="s">
        <v>33</v>
      </c>
      <c r="S556" t="s">
        <v>34</v>
      </c>
      <c r="T556" s="1">
        <v>195000</v>
      </c>
      <c r="U556">
        <v>0</v>
      </c>
      <c r="V556">
        <v>0</v>
      </c>
      <c r="W556" t="s">
        <v>3839</v>
      </c>
    </row>
    <row r="557" spans="1:23" x14ac:dyDescent="0.25">
      <c r="A557">
        <v>24259</v>
      </c>
      <c r="B557" t="s">
        <v>23</v>
      </c>
      <c r="D557">
        <v>564</v>
      </c>
      <c r="E557" t="s">
        <v>3840</v>
      </c>
      <c r="F557" t="s">
        <v>2451</v>
      </c>
      <c r="G557" t="s">
        <v>3841</v>
      </c>
      <c r="H557" t="s">
        <v>2976</v>
      </c>
      <c r="I557" t="s">
        <v>3842</v>
      </c>
      <c r="J557" t="s">
        <v>28</v>
      </c>
      <c r="K557" t="s">
        <v>3843</v>
      </c>
      <c r="L557" t="s">
        <v>43</v>
      </c>
      <c r="M557" s="2" t="s">
        <v>3844</v>
      </c>
      <c r="N557" t="s">
        <v>31</v>
      </c>
      <c r="O557" t="s">
        <v>7879</v>
      </c>
      <c r="P557" t="s">
        <v>8028</v>
      </c>
      <c r="Q557" t="s">
        <v>46</v>
      </c>
      <c r="R557" t="s">
        <v>33</v>
      </c>
      <c r="S557" t="s">
        <v>34</v>
      </c>
      <c r="T557" s="1">
        <v>195000</v>
      </c>
      <c r="U557">
        <v>0</v>
      </c>
      <c r="V557">
        <v>0</v>
      </c>
      <c r="W557" t="s">
        <v>3845</v>
      </c>
    </row>
    <row r="558" spans="1:23" x14ac:dyDescent="0.25">
      <c r="A558">
        <v>24028</v>
      </c>
      <c r="B558" t="s">
        <v>23</v>
      </c>
      <c r="D558">
        <v>565</v>
      </c>
      <c r="E558" t="s">
        <v>3846</v>
      </c>
      <c r="F558" t="s">
        <v>3847</v>
      </c>
      <c r="G558" t="s">
        <v>3848</v>
      </c>
      <c r="H558" t="s">
        <v>3849</v>
      </c>
      <c r="I558" t="s">
        <v>3850</v>
      </c>
      <c r="J558" t="s">
        <v>28</v>
      </c>
      <c r="K558" t="s">
        <v>3851</v>
      </c>
      <c r="L558" t="s">
        <v>453</v>
      </c>
      <c r="M558" t="s">
        <v>3852</v>
      </c>
      <c r="N558" t="s">
        <v>31</v>
      </c>
      <c r="O558" t="s">
        <v>7879</v>
      </c>
      <c r="P558" t="s">
        <v>7893</v>
      </c>
      <c r="Q558" t="s">
        <v>455</v>
      </c>
      <c r="R558" t="s">
        <v>130</v>
      </c>
      <c r="S558" t="s">
        <v>131</v>
      </c>
      <c r="T558">
        <v>150</v>
      </c>
      <c r="U558">
        <v>0</v>
      </c>
      <c r="V558">
        <v>0</v>
      </c>
      <c r="W558" t="s">
        <v>3853</v>
      </c>
    </row>
    <row r="559" spans="1:23" x14ac:dyDescent="0.25">
      <c r="A559">
        <v>18416</v>
      </c>
      <c r="B559" t="s">
        <v>23</v>
      </c>
      <c r="D559">
        <v>566</v>
      </c>
      <c r="E559" t="s">
        <v>3854</v>
      </c>
      <c r="F559" t="s">
        <v>3855</v>
      </c>
      <c r="G559" t="s">
        <v>1440</v>
      </c>
      <c r="H559" t="s">
        <v>3856</v>
      </c>
      <c r="I559" t="s">
        <v>3857</v>
      </c>
      <c r="J559" t="s">
        <v>28</v>
      </c>
      <c r="K559" t="s">
        <v>3858</v>
      </c>
      <c r="L559" t="s">
        <v>43</v>
      </c>
      <c r="M559" s="2" t="s">
        <v>3859</v>
      </c>
      <c r="N559" t="s">
        <v>31</v>
      </c>
      <c r="O559" t="s">
        <v>7881</v>
      </c>
      <c r="P559" t="s">
        <v>7940</v>
      </c>
      <c r="Q559" t="s">
        <v>46</v>
      </c>
      <c r="R559" t="s">
        <v>33</v>
      </c>
      <c r="S559" t="s">
        <v>34</v>
      </c>
      <c r="T559" s="1">
        <v>552500</v>
      </c>
      <c r="U559">
        <v>0</v>
      </c>
      <c r="V559">
        <v>0</v>
      </c>
      <c r="W559" t="s">
        <v>3860</v>
      </c>
    </row>
    <row r="560" spans="1:23" x14ac:dyDescent="0.25">
      <c r="A560">
        <v>5785</v>
      </c>
      <c r="B560" t="s">
        <v>23</v>
      </c>
      <c r="D560">
        <v>568</v>
      </c>
      <c r="E560" t="s">
        <v>3861</v>
      </c>
      <c r="F560" t="s">
        <v>3862</v>
      </c>
      <c r="G560" t="s">
        <v>1400</v>
      </c>
      <c r="H560" t="s">
        <v>2266</v>
      </c>
      <c r="I560" t="s">
        <v>3863</v>
      </c>
      <c r="J560" t="s">
        <v>28</v>
      </c>
      <c r="K560" t="s">
        <v>3864</v>
      </c>
      <c r="L560" t="s">
        <v>43</v>
      </c>
      <c r="M560">
        <v>7062413660</v>
      </c>
      <c r="N560" t="s">
        <v>31</v>
      </c>
      <c r="O560" t="s">
        <v>7886</v>
      </c>
      <c r="P560" t="s">
        <v>7940</v>
      </c>
      <c r="Q560" t="s">
        <v>63</v>
      </c>
      <c r="R560" t="s">
        <v>33</v>
      </c>
      <c r="S560" t="s">
        <v>34</v>
      </c>
      <c r="T560" s="1">
        <v>812500</v>
      </c>
      <c r="U560">
        <v>0</v>
      </c>
      <c r="V560" s="1">
        <v>162500</v>
      </c>
      <c r="W560" t="s">
        <v>3865</v>
      </c>
    </row>
    <row r="561" spans="1:23" x14ac:dyDescent="0.25">
      <c r="A561">
        <v>24474</v>
      </c>
      <c r="B561" t="s">
        <v>23</v>
      </c>
      <c r="D561">
        <v>569</v>
      </c>
      <c r="E561" t="s">
        <v>3866</v>
      </c>
      <c r="F561" t="s">
        <v>3867</v>
      </c>
      <c r="G561" t="s">
        <v>3868</v>
      </c>
      <c r="H561" t="s">
        <v>3869</v>
      </c>
      <c r="I561" t="s">
        <v>3870</v>
      </c>
      <c r="J561" t="s">
        <v>28</v>
      </c>
      <c r="K561" t="s">
        <v>3870</v>
      </c>
      <c r="L561" t="s">
        <v>43</v>
      </c>
      <c r="M561">
        <v>2348125422516</v>
      </c>
      <c r="N561" t="s">
        <v>31</v>
      </c>
      <c r="O561" t="s">
        <v>7879</v>
      </c>
      <c r="P561" t="s">
        <v>7888</v>
      </c>
      <c r="Q561" t="s">
        <v>46</v>
      </c>
      <c r="R561" t="s">
        <v>33</v>
      </c>
      <c r="S561" t="s">
        <v>34</v>
      </c>
      <c r="T561" s="1">
        <v>195000</v>
      </c>
      <c r="U561">
        <v>0</v>
      </c>
      <c r="V561">
        <v>0</v>
      </c>
      <c r="W561" t="s">
        <v>3871</v>
      </c>
    </row>
    <row r="562" spans="1:23" x14ac:dyDescent="0.25">
      <c r="A562">
        <v>24292</v>
      </c>
      <c r="B562" t="s">
        <v>23</v>
      </c>
      <c r="D562">
        <v>570</v>
      </c>
      <c r="E562" t="s">
        <v>3872</v>
      </c>
      <c r="F562" t="s">
        <v>3873</v>
      </c>
      <c r="G562" t="s">
        <v>672</v>
      </c>
      <c r="I562" t="s">
        <v>3874</v>
      </c>
      <c r="J562" t="s">
        <v>53</v>
      </c>
      <c r="K562" t="s">
        <v>3875</v>
      </c>
      <c r="L562" t="s">
        <v>43</v>
      </c>
      <c r="M562" s="2" t="s">
        <v>3876</v>
      </c>
      <c r="N562" t="s">
        <v>31</v>
      </c>
      <c r="O562" t="s">
        <v>7879</v>
      </c>
      <c r="P562" t="s">
        <v>7940</v>
      </c>
      <c r="Q562" t="s">
        <v>87</v>
      </c>
      <c r="R562" t="s">
        <v>33</v>
      </c>
      <c r="S562" t="s">
        <v>34</v>
      </c>
      <c r="T562" s="1">
        <v>195000</v>
      </c>
      <c r="U562">
        <v>0</v>
      </c>
      <c r="V562">
        <v>0</v>
      </c>
      <c r="W562" t="s">
        <v>3877</v>
      </c>
    </row>
    <row r="563" spans="1:23" x14ac:dyDescent="0.25">
      <c r="A563">
        <v>24383</v>
      </c>
      <c r="B563" t="s">
        <v>23</v>
      </c>
      <c r="D563">
        <v>571</v>
      </c>
      <c r="E563" t="s">
        <v>3878</v>
      </c>
      <c r="F563" t="s">
        <v>3879</v>
      </c>
      <c r="G563" t="s">
        <v>3880</v>
      </c>
      <c r="H563" t="s">
        <v>1072</v>
      </c>
      <c r="I563" t="s">
        <v>3881</v>
      </c>
      <c r="J563" t="s">
        <v>28</v>
      </c>
      <c r="K563" t="s">
        <v>3882</v>
      </c>
      <c r="L563" t="s">
        <v>43</v>
      </c>
      <c r="M563">
        <v>2349099717294</v>
      </c>
      <c r="N563" t="s">
        <v>31</v>
      </c>
      <c r="O563" t="s">
        <v>7879</v>
      </c>
      <c r="P563" t="s">
        <v>7888</v>
      </c>
      <c r="Q563" t="s">
        <v>46</v>
      </c>
      <c r="R563" t="s">
        <v>33</v>
      </c>
      <c r="S563" t="s">
        <v>34</v>
      </c>
      <c r="T563" s="1">
        <v>195000</v>
      </c>
      <c r="U563">
        <v>0</v>
      </c>
      <c r="V563">
        <v>0</v>
      </c>
      <c r="W563" t="s">
        <v>3883</v>
      </c>
    </row>
    <row r="564" spans="1:23" x14ac:dyDescent="0.25">
      <c r="A564">
        <v>19826</v>
      </c>
      <c r="B564" t="s">
        <v>23</v>
      </c>
      <c r="D564">
        <v>572</v>
      </c>
      <c r="E564" t="s">
        <v>3884</v>
      </c>
      <c r="F564" t="s">
        <v>1353</v>
      </c>
      <c r="G564" t="s">
        <v>3885</v>
      </c>
      <c r="H564" t="s">
        <v>649</v>
      </c>
      <c r="I564" t="s">
        <v>3886</v>
      </c>
      <c r="J564" t="s">
        <v>28</v>
      </c>
      <c r="K564" t="s">
        <v>3887</v>
      </c>
      <c r="L564" t="s">
        <v>43</v>
      </c>
      <c r="M564">
        <v>2348038420446</v>
      </c>
      <c r="N564" t="s">
        <v>45</v>
      </c>
      <c r="O564" t="s">
        <v>7881</v>
      </c>
      <c r="P564" t="s">
        <v>7981</v>
      </c>
      <c r="Q564" t="s">
        <v>63</v>
      </c>
      <c r="R564" t="s">
        <v>33</v>
      </c>
      <c r="S564" t="s">
        <v>34</v>
      </c>
      <c r="T564" s="1">
        <v>552500</v>
      </c>
      <c r="U564">
        <v>0</v>
      </c>
      <c r="V564">
        <v>0</v>
      </c>
      <c r="W564" t="s">
        <v>3888</v>
      </c>
    </row>
    <row r="565" spans="1:23" x14ac:dyDescent="0.25">
      <c r="A565">
        <v>20132</v>
      </c>
      <c r="B565" t="s">
        <v>23</v>
      </c>
      <c r="D565">
        <v>573</v>
      </c>
      <c r="E565" t="s">
        <v>3889</v>
      </c>
      <c r="F565" t="s">
        <v>3890</v>
      </c>
      <c r="G565" t="s">
        <v>1692</v>
      </c>
      <c r="H565" t="s">
        <v>3891</v>
      </c>
      <c r="I565" t="s">
        <v>3892</v>
      </c>
      <c r="J565" t="s">
        <v>28</v>
      </c>
      <c r="K565" t="s">
        <v>3893</v>
      </c>
      <c r="L565" t="s">
        <v>43</v>
      </c>
      <c r="M565" s="2" t="s">
        <v>3894</v>
      </c>
      <c r="N565" t="s">
        <v>31</v>
      </c>
      <c r="O565" t="s">
        <v>7881</v>
      </c>
      <c r="P565" t="s">
        <v>7981</v>
      </c>
      <c r="Q565" t="s">
        <v>46</v>
      </c>
      <c r="R565" t="s">
        <v>33</v>
      </c>
      <c r="S565" t="s">
        <v>34</v>
      </c>
      <c r="T565" s="1">
        <v>552500</v>
      </c>
      <c r="U565">
        <v>0</v>
      </c>
      <c r="V565">
        <v>0</v>
      </c>
      <c r="W565" t="s">
        <v>3895</v>
      </c>
    </row>
    <row r="566" spans="1:23" x14ac:dyDescent="0.25">
      <c r="A566">
        <v>6601</v>
      </c>
      <c r="B566" t="s">
        <v>23</v>
      </c>
      <c r="D566">
        <v>574</v>
      </c>
      <c r="E566" t="s">
        <v>3896</v>
      </c>
      <c r="F566" t="s">
        <v>3897</v>
      </c>
      <c r="G566" t="s">
        <v>3898</v>
      </c>
      <c r="H566" t="s">
        <v>3899</v>
      </c>
      <c r="I566" t="s">
        <v>8003</v>
      </c>
      <c r="J566" t="s">
        <v>28</v>
      </c>
      <c r="K566" t="s">
        <v>3900</v>
      </c>
      <c r="L566" t="s">
        <v>43</v>
      </c>
      <c r="M566">
        <v>8078497024</v>
      </c>
      <c r="N566" t="s">
        <v>2333</v>
      </c>
      <c r="O566" t="s">
        <v>7886</v>
      </c>
      <c r="P566" t="s">
        <v>7981</v>
      </c>
      <c r="Q566" t="s">
        <v>63</v>
      </c>
      <c r="R566" t="s">
        <v>33</v>
      </c>
      <c r="S566" t="s">
        <v>34</v>
      </c>
      <c r="T566" s="1">
        <v>812500</v>
      </c>
      <c r="U566">
        <v>0</v>
      </c>
      <c r="V566" s="1">
        <v>162500</v>
      </c>
      <c r="W566" t="s">
        <v>3901</v>
      </c>
    </row>
    <row r="567" spans="1:23" x14ac:dyDescent="0.25">
      <c r="A567">
        <v>24303</v>
      </c>
      <c r="B567" t="s">
        <v>23</v>
      </c>
      <c r="D567">
        <v>575</v>
      </c>
      <c r="E567" t="s">
        <v>3902</v>
      </c>
      <c r="F567" t="s">
        <v>368</v>
      </c>
      <c r="G567" t="s">
        <v>3903</v>
      </c>
      <c r="H567" t="s">
        <v>3904</v>
      </c>
      <c r="I567" t="s">
        <v>3905</v>
      </c>
      <c r="J567" t="s">
        <v>28</v>
      </c>
      <c r="K567" t="s">
        <v>3906</v>
      </c>
      <c r="L567" t="s">
        <v>43</v>
      </c>
      <c r="M567" s="2" t="s">
        <v>3907</v>
      </c>
      <c r="N567" t="s">
        <v>31</v>
      </c>
      <c r="O567" t="s">
        <v>7879</v>
      </c>
      <c r="P567" t="s">
        <v>7940</v>
      </c>
      <c r="Q567" t="s">
        <v>46</v>
      </c>
      <c r="R567" t="s">
        <v>33</v>
      </c>
      <c r="S567" t="s">
        <v>34</v>
      </c>
      <c r="T567" s="1">
        <v>195000</v>
      </c>
      <c r="U567">
        <v>0</v>
      </c>
      <c r="V567">
        <v>0</v>
      </c>
      <c r="W567" t="s">
        <v>3908</v>
      </c>
    </row>
    <row r="568" spans="1:23" x14ac:dyDescent="0.25">
      <c r="A568">
        <v>526</v>
      </c>
      <c r="B568" t="s">
        <v>23</v>
      </c>
      <c r="D568">
        <v>576</v>
      </c>
      <c r="E568" t="s">
        <v>3909</v>
      </c>
      <c r="F568" t="s">
        <v>3910</v>
      </c>
      <c r="G568" t="s">
        <v>3911</v>
      </c>
      <c r="H568" t="s">
        <v>196</v>
      </c>
      <c r="I568" t="s">
        <v>3912</v>
      </c>
      <c r="J568" t="s">
        <v>28</v>
      </c>
      <c r="K568" t="s">
        <v>3913</v>
      </c>
      <c r="L568" t="s">
        <v>43</v>
      </c>
      <c r="M568" s="2" t="s">
        <v>3914</v>
      </c>
      <c r="N568" t="s">
        <v>31</v>
      </c>
      <c r="O568" t="s">
        <v>7886</v>
      </c>
      <c r="P568" t="s">
        <v>7940</v>
      </c>
      <c r="Q568" t="s">
        <v>46</v>
      </c>
      <c r="R568" t="s">
        <v>33</v>
      </c>
      <c r="S568" t="s">
        <v>34</v>
      </c>
      <c r="T568" s="1">
        <v>812500</v>
      </c>
      <c r="U568">
        <v>0</v>
      </c>
      <c r="V568" s="1">
        <v>162500</v>
      </c>
      <c r="W568" t="s">
        <v>3915</v>
      </c>
    </row>
    <row r="569" spans="1:23" x14ac:dyDescent="0.25">
      <c r="A569">
        <v>944</v>
      </c>
      <c r="B569" t="s">
        <v>23</v>
      </c>
      <c r="D569">
        <v>577</v>
      </c>
      <c r="E569" t="s">
        <v>3916</v>
      </c>
      <c r="F569" t="s">
        <v>3917</v>
      </c>
      <c r="G569" t="s">
        <v>3918</v>
      </c>
      <c r="H569" t="s">
        <v>1219</v>
      </c>
      <c r="I569" t="s">
        <v>3919</v>
      </c>
      <c r="J569" t="s">
        <v>53</v>
      </c>
      <c r="K569" t="s">
        <v>3920</v>
      </c>
      <c r="L569" t="s">
        <v>43</v>
      </c>
      <c r="M569">
        <v>7036196102</v>
      </c>
      <c r="N569" t="s">
        <v>31</v>
      </c>
      <c r="O569" t="s">
        <v>7886</v>
      </c>
      <c r="P569" t="s">
        <v>7940</v>
      </c>
      <c r="Q569" t="s">
        <v>46</v>
      </c>
      <c r="R569" t="s">
        <v>33</v>
      </c>
      <c r="S569" t="s">
        <v>34</v>
      </c>
      <c r="T569" s="1">
        <v>812500</v>
      </c>
      <c r="U569">
        <v>0</v>
      </c>
      <c r="V569" s="1">
        <v>162500</v>
      </c>
      <c r="W569" t="s">
        <v>3921</v>
      </c>
    </row>
    <row r="570" spans="1:23" x14ac:dyDescent="0.25">
      <c r="A570">
        <v>1318</v>
      </c>
      <c r="B570" t="s">
        <v>23</v>
      </c>
      <c r="D570">
        <v>578</v>
      </c>
      <c r="E570" t="s">
        <v>3922</v>
      </c>
      <c r="F570" t="s">
        <v>3923</v>
      </c>
      <c r="G570" t="s">
        <v>3924</v>
      </c>
      <c r="H570" t="s">
        <v>3925</v>
      </c>
      <c r="I570" t="s">
        <v>7892</v>
      </c>
      <c r="J570" t="s">
        <v>28</v>
      </c>
      <c r="K570" t="s">
        <v>3926</v>
      </c>
      <c r="L570" t="s">
        <v>43</v>
      </c>
      <c r="M570" s="2" t="s">
        <v>3927</v>
      </c>
      <c r="N570" t="s">
        <v>31</v>
      </c>
      <c r="O570" t="s">
        <v>7886</v>
      </c>
      <c r="P570" t="s">
        <v>7888</v>
      </c>
      <c r="Q570" t="s">
        <v>46</v>
      </c>
      <c r="R570" t="s">
        <v>33</v>
      </c>
      <c r="S570" t="s">
        <v>34</v>
      </c>
      <c r="T570" s="1">
        <v>812500</v>
      </c>
      <c r="U570">
        <v>0</v>
      </c>
      <c r="V570" s="1">
        <v>162500</v>
      </c>
      <c r="W570" t="s">
        <v>3928</v>
      </c>
    </row>
    <row r="571" spans="1:23" x14ac:dyDescent="0.25">
      <c r="A571">
        <v>5169</v>
      </c>
      <c r="B571" t="s">
        <v>23</v>
      </c>
      <c r="D571">
        <v>579</v>
      </c>
      <c r="E571" t="s">
        <v>3929</v>
      </c>
      <c r="F571" t="s">
        <v>3930</v>
      </c>
      <c r="G571" t="s">
        <v>3931</v>
      </c>
      <c r="H571" t="s">
        <v>3932</v>
      </c>
      <c r="I571" t="s">
        <v>3933</v>
      </c>
      <c r="J571" t="s">
        <v>53</v>
      </c>
      <c r="K571" t="s">
        <v>3934</v>
      </c>
      <c r="L571" t="s">
        <v>43</v>
      </c>
      <c r="M571" s="2" t="s">
        <v>3935</v>
      </c>
      <c r="N571" t="s">
        <v>45</v>
      </c>
      <c r="O571" t="s">
        <v>7879</v>
      </c>
      <c r="P571" t="s">
        <v>7940</v>
      </c>
      <c r="Q571" t="s">
        <v>46</v>
      </c>
      <c r="R571" t="s">
        <v>33</v>
      </c>
      <c r="S571" t="s">
        <v>34</v>
      </c>
      <c r="T571" s="1">
        <v>195000</v>
      </c>
      <c r="U571">
        <v>0</v>
      </c>
      <c r="V571">
        <v>0</v>
      </c>
      <c r="W571" t="s">
        <v>3936</v>
      </c>
    </row>
    <row r="572" spans="1:23" x14ac:dyDescent="0.25">
      <c r="A572">
        <v>10374</v>
      </c>
      <c r="B572" t="s">
        <v>23</v>
      </c>
      <c r="D572">
        <v>580</v>
      </c>
      <c r="E572" t="s">
        <v>3937</v>
      </c>
      <c r="F572" t="s">
        <v>3938</v>
      </c>
      <c r="G572" t="s">
        <v>3939</v>
      </c>
      <c r="H572" t="s">
        <v>1462</v>
      </c>
      <c r="I572" t="s">
        <v>3940</v>
      </c>
      <c r="J572" t="s">
        <v>53</v>
      </c>
      <c r="K572" t="s">
        <v>3941</v>
      </c>
      <c r="L572" t="s">
        <v>43</v>
      </c>
      <c r="M572" s="2" t="s">
        <v>3942</v>
      </c>
      <c r="N572" t="s">
        <v>31</v>
      </c>
      <c r="O572" t="s">
        <v>7886</v>
      </c>
      <c r="P572" t="s">
        <v>7940</v>
      </c>
      <c r="Q572" t="s">
        <v>63</v>
      </c>
      <c r="R572" t="s">
        <v>33</v>
      </c>
      <c r="S572" t="s">
        <v>34</v>
      </c>
      <c r="T572" s="1">
        <v>812500</v>
      </c>
      <c r="U572">
        <v>0</v>
      </c>
      <c r="V572" s="1">
        <v>162500</v>
      </c>
      <c r="W572" t="s">
        <v>3943</v>
      </c>
    </row>
    <row r="573" spans="1:23" x14ac:dyDescent="0.25">
      <c r="A573">
        <v>19569</v>
      </c>
      <c r="B573" t="s">
        <v>23</v>
      </c>
      <c r="D573">
        <v>581</v>
      </c>
      <c r="E573" t="s">
        <v>3944</v>
      </c>
      <c r="F573" t="s">
        <v>3945</v>
      </c>
      <c r="G573" t="s">
        <v>3946</v>
      </c>
      <c r="H573" t="s">
        <v>3947</v>
      </c>
      <c r="I573" t="s">
        <v>3948</v>
      </c>
      <c r="J573" t="s">
        <v>28</v>
      </c>
      <c r="K573" t="s">
        <v>3949</v>
      </c>
      <c r="L573" t="s">
        <v>43</v>
      </c>
      <c r="M573">
        <v>2348038536811</v>
      </c>
      <c r="N573" t="s">
        <v>31</v>
      </c>
      <c r="O573" t="s">
        <v>7881</v>
      </c>
      <c r="P573" t="s">
        <v>7981</v>
      </c>
      <c r="Q573" t="s">
        <v>63</v>
      </c>
      <c r="R573" t="s">
        <v>33</v>
      </c>
      <c r="S573" t="s">
        <v>34</v>
      </c>
      <c r="T573" s="1">
        <v>552500</v>
      </c>
      <c r="U573">
        <v>0</v>
      </c>
      <c r="V573">
        <v>0</v>
      </c>
      <c r="W573" t="s">
        <v>3950</v>
      </c>
    </row>
    <row r="574" spans="1:23" x14ac:dyDescent="0.25">
      <c r="A574">
        <v>19462</v>
      </c>
      <c r="B574" t="s">
        <v>23</v>
      </c>
      <c r="D574">
        <v>582</v>
      </c>
      <c r="E574" t="s">
        <v>3951</v>
      </c>
      <c r="F574" t="s">
        <v>3952</v>
      </c>
      <c r="G574" t="s">
        <v>3953</v>
      </c>
      <c r="H574" t="s">
        <v>3954</v>
      </c>
      <c r="I574" t="s">
        <v>3955</v>
      </c>
      <c r="J574" t="s">
        <v>28</v>
      </c>
      <c r="K574" t="s">
        <v>3956</v>
      </c>
      <c r="L574" t="s">
        <v>43</v>
      </c>
      <c r="M574" s="2" t="s">
        <v>3957</v>
      </c>
      <c r="N574" t="s">
        <v>31</v>
      </c>
      <c r="O574" t="s">
        <v>7886</v>
      </c>
      <c r="P574" t="s">
        <v>7940</v>
      </c>
      <c r="Q574" t="s">
        <v>63</v>
      </c>
      <c r="R574" t="s">
        <v>33</v>
      </c>
      <c r="S574" t="s">
        <v>34</v>
      </c>
      <c r="T574" s="1">
        <v>812500</v>
      </c>
      <c r="U574">
        <v>0</v>
      </c>
      <c r="V574" s="1">
        <v>162500</v>
      </c>
      <c r="W574" t="s">
        <v>3958</v>
      </c>
    </row>
    <row r="575" spans="1:23" x14ac:dyDescent="0.25">
      <c r="A575">
        <v>24268</v>
      </c>
      <c r="B575" t="s">
        <v>23</v>
      </c>
      <c r="D575">
        <v>583</v>
      </c>
      <c r="E575" t="s">
        <v>3959</v>
      </c>
      <c r="F575" t="s">
        <v>3960</v>
      </c>
      <c r="G575" t="s">
        <v>3961</v>
      </c>
      <c r="H575" t="s">
        <v>3962</v>
      </c>
      <c r="I575" t="s">
        <v>3963</v>
      </c>
      <c r="J575" t="s">
        <v>28</v>
      </c>
      <c r="K575" t="s">
        <v>3964</v>
      </c>
      <c r="L575" t="s">
        <v>43</v>
      </c>
      <c r="M575" s="2" t="s">
        <v>3965</v>
      </c>
      <c r="N575" t="s">
        <v>31</v>
      </c>
      <c r="O575" t="s">
        <v>7881</v>
      </c>
      <c r="P575" t="s">
        <v>7888</v>
      </c>
      <c r="Q575" t="s">
        <v>63</v>
      </c>
      <c r="R575" t="s">
        <v>33</v>
      </c>
      <c r="S575" t="s">
        <v>34</v>
      </c>
      <c r="T575" s="1">
        <v>552500</v>
      </c>
      <c r="U575" s="1">
        <v>110500</v>
      </c>
      <c r="V575">
        <v>0</v>
      </c>
      <c r="W575" t="s">
        <v>3966</v>
      </c>
    </row>
    <row r="576" spans="1:23" x14ac:dyDescent="0.25">
      <c r="A576">
        <v>4983</v>
      </c>
      <c r="B576" t="s">
        <v>23</v>
      </c>
      <c r="D576">
        <v>584</v>
      </c>
      <c r="E576" t="s">
        <v>3967</v>
      </c>
      <c r="F576" t="s">
        <v>3968</v>
      </c>
      <c r="G576" t="s">
        <v>3969</v>
      </c>
      <c r="H576" t="s">
        <v>3970</v>
      </c>
      <c r="I576" t="s">
        <v>7961</v>
      </c>
      <c r="J576" t="s">
        <v>53</v>
      </c>
      <c r="K576" t="s">
        <v>3971</v>
      </c>
      <c r="L576" t="s">
        <v>43</v>
      </c>
      <c r="M576">
        <v>2347031577322</v>
      </c>
      <c r="N576" t="s">
        <v>31</v>
      </c>
      <c r="O576" t="s">
        <v>7886</v>
      </c>
      <c r="P576" t="s">
        <v>7940</v>
      </c>
      <c r="Q576" t="s">
        <v>63</v>
      </c>
      <c r="R576" t="s">
        <v>33</v>
      </c>
      <c r="S576" t="s">
        <v>34</v>
      </c>
      <c r="T576" s="1">
        <v>812500</v>
      </c>
      <c r="U576">
        <v>0</v>
      </c>
      <c r="V576" s="1">
        <v>162500</v>
      </c>
      <c r="W576" t="s">
        <v>3972</v>
      </c>
    </row>
    <row r="577" spans="1:23" x14ac:dyDescent="0.25">
      <c r="A577">
        <v>20430</v>
      </c>
      <c r="B577" t="s">
        <v>23</v>
      </c>
      <c r="D577">
        <v>585</v>
      </c>
      <c r="E577" t="s">
        <v>3973</v>
      </c>
      <c r="F577" t="s">
        <v>3974</v>
      </c>
      <c r="G577" t="s">
        <v>592</v>
      </c>
      <c r="H577" t="s">
        <v>644</v>
      </c>
      <c r="I577" t="s">
        <v>3975</v>
      </c>
      <c r="J577" t="s">
        <v>28</v>
      </c>
      <c r="K577" t="s">
        <v>3681</v>
      </c>
      <c r="L577" t="s">
        <v>43</v>
      </c>
      <c r="M577" s="2" t="s">
        <v>3976</v>
      </c>
      <c r="N577" t="s">
        <v>31</v>
      </c>
      <c r="O577" t="s">
        <v>7881</v>
      </c>
      <c r="P577" t="s">
        <v>7940</v>
      </c>
      <c r="Q577" t="s">
        <v>46</v>
      </c>
      <c r="R577" t="s">
        <v>33</v>
      </c>
      <c r="S577" t="s">
        <v>34</v>
      </c>
      <c r="T577" s="1">
        <v>552500</v>
      </c>
      <c r="U577">
        <v>0</v>
      </c>
      <c r="V577">
        <v>0</v>
      </c>
      <c r="W577" t="s">
        <v>3977</v>
      </c>
    </row>
    <row r="578" spans="1:23" x14ac:dyDescent="0.25">
      <c r="A578">
        <v>1490</v>
      </c>
      <c r="B578" t="s">
        <v>23</v>
      </c>
      <c r="D578">
        <v>586</v>
      </c>
      <c r="E578" t="s">
        <v>3978</v>
      </c>
      <c r="F578" t="s">
        <v>3979</v>
      </c>
      <c r="G578" t="s">
        <v>3980</v>
      </c>
      <c r="H578" t="s">
        <v>3981</v>
      </c>
      <c r="I578" t="s">
        <v>7924</v>
      </c>
      <c r="J578" t="s">
        <v>53</v>
      </c>
      <c r="K578" t="s">
        <v>3982</v>
      </c>
      <c r="L578" t="s">
        <v>43</v>
      </c>
      <c r="M578">
        <v>8161534496</v>
      </c>
      <c r="N578" t="s">
        <v>31</v>
      </c>
      <c r="O578" t="s">
        <v>7886</v>
      </c>
      <c r="P578" t="s">
        <v>7901</v>
      </c>
      <c r="Q578" t="s">
        <v>63</v>
      </c>
      <c r="R578" t="s">
        <v>33</v>
      </c>
      <c r="S578" t="s">
        <v>34</v>
      </c>
      <c r="T578" s="1">
        <v>812500</v>
      </c>
      <c r="U578">
        <v>0</v>
      </c>
      <c r="V578" s="1">
        <v>162500</v>
      </c>
      <c r="W578" t="s">
        <v>3983</v>
      </c>
    </row>
    <row r="579" spans="1:23" x14ac:dyDescent="0.25">
      <c r="A579">
        <v>18899</v>
      </c>
      <c r="B579" t="s">
        <v>23</v>
      </c>
      <c r="D579">
        <v>587</v>
      </c>
      <c r="E579" t="s">
        <v>3984</v>
      </c>
      <c r="F579" t="s">
        <v>3985</v>
      </c>
      <c r="G579" t="s">
        <v>3986</v>
      </c>
      <c r="I579" t="s">
        <v>3987</v>
      </c>
      <c r="J579" t="s">
        <v>28</v>
      </c>
      <c r="K579" t="s">
        <v>1152</v>
      </c>
      <c r="L579" t="s">
        <v>30</v>
      </c>
      <c r="M579" t="s">
        <v>3988</v>
      </c>
      <c r="N579" t="s">
        <v>31</v>
      </c>
      <c r="O579" t="s">
        <v>7881</v>
      </c>
      <c r="P579" t="s">
        <v>7940</v>
      </c>
      <c r="Q579" t="s">
        <v>455</v>
      </c>
      <c r="R579" t="s">
        <v>33</v>
      </c>
      <c r="S579" t="s">
        <v>34</v>
      </c>
      <c r="T579" s="1">
        <v>552500</v>
      </c>
      <c r="U579">
        <v>0</v>
      </c>
      <c r="V579">
        <v>0</v>
      </c>
      <c r="W579" t="s">
        <v>3989</v>
      </c>
    </row>
    <row r="580" spans="1:23" x14ac:dyDescent="0.25">
      <c r="A580">
        <v>5757</v>
      </c>
      <c r="B580" t="s">
        <v>23</v>
      </c>
      <c r="D580">
        <v>588</v>
      </c>
      <c r="E580" t="s">
        <v>3990</v>
      </c>
      <c r="F580" t="s">
        <v>3991</v>
      </c>
      <c r="G580" t="s">
        <v>3992</v>
      </c>
      <c r="H580" t="s">
        <v>3993</v>
      </c>
      <c r="I580" t="s">
        <v>3994</v>
      </c>
      <c r="J580" t="s">
        <v>28</v>
      </c>
      <c r="K580" t="s">
        <v>3995</v>
      </c>
      <c r="L580" t="s">
        <v>43</v>
      </c>
      <c r="M580" t="s">
        <v>3996</v>
      </c>
      <c r="N580" t="s">
        <v>31</v>
      </c>
      <c r="O580" t="s">
        <v>7886</v>
      </c>
      <c r="P580" t="s">
        <v>7940</v>
      </c>
      <c r="Q580" t="s">
        <v>63</v>
      </c>
      <c r="R580" t="s">
        <v>33</v>
      </c>
      <c r="S580" t="s">
        <v>34</v>
      </c>
      <c r="T580" s="1">
        <v>812500</v>
      </c>
      <c r="U580">
        <v>0</v>
      </c>
      <c r="V580" s="1">
        <v>162500</v>
      </c>
      <c r="W580" t="s">
        <v>3997</v>
      </c>
    </row>
    <row r="581" spans="1:23" x14ac:dyDescent="0.25">
      <c r="A581">
        <v>24471</v>
      </c>
      <c r="B581" t="s">
        <v>23</v>
      </c>
      <c r="D581">
        <v>589</v>
      </c>
      <c r="E581" t="s">
        <v>3998</v>
      </c>
      <c r="F581" t="s">
        <v>3999</v>
      </c>
      <c r="G581" t="s">
        <v>4000</v>
      </c>
      <c r="H581" t="s">
        <v>679</v>
      </c>
      <c r="I581" t="s">
        <v>4001</v>
      </c>
      <c r="J581" t="s">
        <v>53</v>
      </c>
      <c r="K581" t="s">
        <v>4002</v>
      </c>
      <c r="L581" t="s">
        <v>43</v>
      </c>
      <c r="M581" s="2" t="s">
        <v>4003</v>
      </c>
      <c r="N581" t="s">
        <v>31</v>
      </c>
      <c r="O581" t="s">
        <v>7879</v>
      </c>
      <c r="P581" t="s">
        <v>8028</v>
      </c>
      <c r="Q581" t="s">
        <v>63</v>
      </c>
      <c r="R581" t="s">
        <v>33</v>
      </c>
      <c r="S581" t="s">
        <v>34</v>
      </c>
      <c r="T581" s="1">
        <v>195000</v>
      </c>
      <c r="U581">
        <v>0</v>
      </c>
      <c r="V581">
        <v>0</v>
      </c>
      <c r="W581" t="s">
        <v>4004</v>
      </c>
    </row>
    <row r="582" spans="1:23" x14ac:dyDescent="0.25">
      <c r="A582">
        <v>24214</v>
      </c>
      <c r="B582" t="s">
        <v>23</v>
      </c>
      <c r="D582">
        <v>590</v>
      </c>
      <c r="E582" t="s">
        <v>4005</v>
      </c>
      <c r="F582" t="s">
        <v>307</v>
      </c>
      <c r="G582" t="s">
        <v>2358</v>
      </c>
      <c r="H582" t="s">
        <v>3146</v>
      </c>
      <c r="I582" t="s">
        <v>4006</v>
      </c>
      <c r="J582" t="s">
        <v>28</v>
      </c>
      <c r="K582" t="s">
        <v>2677</v>
      </c>
      <c r="L582" t="s">
        <v>43</v>
      </c>
      <c r="M582" s="2" t="s">
        <v>4007</v>
      </c>
      <c r="N582" t="s">
        <v>31</v>
      </c>
      <c r="O582" t="s">
        <v>7879</v>
      </c>
      <c r="P582" t="s">
        <v>7981</v>
      </c>
      <c r="Q582" t="s">
        <v>63</v>
      </c>
      <c r="R582" t="s">
        <v>33</v>
      </c>
      <c r="S582" t="s">
        <v>34</v>
      </c>
      <c r="T582" s="1">
        <v>195000</v>
      </c>
      <c r="U582">
        <v>0</v>
      </c>
      <c r="V582">
        <v>0</v>
      </c>
      <c r="W582" t="s">
        <v>4008</v>
      </c>
    </row>
    <row r="583" spans="1:23" x14ac:dyDescent="0.25">
      <c r="A583">
        <v>24451</v>
      </c>
      <c r="B583" t="s">
        <v>23</v>
      </c>
      <c r="D583">
        <v>591</v>
      </c>
      <c r="E583" t="s">
        <v>4009</v>
      </c>
      <c r="F583" t="s">
        <v>4010</v>
      </c>
      <c r="G583" t="s">
        <v>4011</v>
      </c>
      <c r="H583" t="s">
        <v>4012</v>
      </c>
      <c r="I583" t="s">
        <v>4013</v>
      </c>
      <c r="J583" t="s">
        <v>28</v>
      </c>
      <c r="K583" t="s">
        <v>4014</v>
      </c>
      <c r="L583" t="s">
        <v>43</v>
      </c>
      <c r="M583" s="2" t="s">
        <v>4015</v>
      </c>
      <c r="N583" t="s">
        <v>31</v>
      </c>
      <c r="O583" t="s">
        <v>7879</v>
      </c>
      <c r="P583" t="s">
        <v>7940</v>
      </c>
      <c r="Q583" t="s">
        <v>87</v>
      </c>
      <c r="R583" t="s">
        <v>33</v>
      </c>
      <c r="S583" t="s">
        <v>34</v>
      </c>
      <c r="T583" s="1">
        <v>195000</v>
      </c>
      <c r="U583">
        <v>0</v>
      </c>
      <c r="V583">
        <v>0</v>
      </c>
      <c r="W583" t="s">
        <v>4016</v>
      </c>
    </row>
    <row r="584" spans="1:23" x14ac:dyDescent="0.25">
      <c r="A584">
        <v>23976</v>
      </c>
      <c r="B584" t="s">
        <v>23</v>
      </c>
      <c r="D584">
        <v>592</v>
      </c>
      <c r="E584" t="s">
        <v>4017</v>
      </c>
      <c r="F584" t="s">
        <v>4018</v>
      </c>
      <c r="G584" t="s">
        <v>4019</v>
      </c>
      <c r="H584" t="s">
        <v>4020</v>
      </c>
      <c r="I584" t="s">
        <v>4021</v>
      </c>
      <c r="J584" t="s">
        <v>28</v>
      </c>
      <c r="K584" t="s">
        <v>4022</v>
      </c>
      <c r="L584" t="s">
        <v>453</v>
      </c>
      <c r="M584" t="s">
        <v>4023</v>
      </c>
      <c r="N584" t="s">
        <v>31</v>
      </c>
      <c r="O584" t="s">
        <v>7879</v>
      </c>
      <c r="P584" t="s">
        <v>7940</v>
      </c>
      <c r="Q584" t="s">
        <v>455</v>
      </c>
      <c r="R584" t="s">
        <v>130</v>
      </c>
      <c r="S584" t="s">
        <v>131</v>
      </c>
      <c r="T584">
        <v>150</v>
      </c>
      <c r="U584">
        <v>0</v>
      </c>
      <c r="V584">
        <v>0</v>
      </c>
      <c r="W584" t="s">
        <v>4024</v>
      </c>
    </row>
    <row r="585" spans="1:23" x14ac:dyDescent="0.25">
      <c r="A585">
        <v>19264</v>
      </c>
      <c r="B585" t="s">
        <v>23</v>
      </c>
      <c r="D585">
        <v>593</v>
      </c>
      <c r="E585" t="s">
        <v>4025</v>
      </c>
      <c r="F585" t="s">
        <v>3855</v>
      </c>
      <c r="G585" t="s">
        <v>1973</v>
      </c>
      <c r="H585" t="s">
        <v>4026</v>
      </c>
      <c r="I585" t="s">
        <v>4027</v>
      </c>
      <c r="J585" t="s">
        <v>28</v>
      </c>
      <c r="K585" t="s">
        <v>4028</v>
      </c>
      <c r="L585" t="s">
        <v>43</v>
      </c>
      <c r="M585" s="2" t="s">
        <v>4029</v>
      </c>
      <c r="N585" t="s">
        <v>31</v>
      </c>
      <c r="O585" t="s">
        <v>7881</v>
      </c>
      <c r="P585" t="s">
        <v>7893</v>
      </c>
      <c r="Q585" t="s">
        <v>46</v>
      </c>
      <c r="R585" t="s">
        <v>33</v>
      </c>
      <c r="S585" t="s">
        <v>34</v>
      </c>
      <c r="T585" s="1">
        <v>552500</v>
      </c>
      <c r="U585">
        <v>0</v>
      </c>
      <c r="V585">
        <v>0</v>
      </c>
      <c r="W585" t="s">
        <v>4030</v>
      </c>
    </row>
    <row r="586" spans="1:23" x14ac:dyDescent="0.25">
      <c r="A586">
        <v>2134</v>
      </c>
      <c r="B586" t="s">
        <v>23</v>
      </c>
      <c r="D586">
        <v>594</v>
      </c>
      <c r="E586" t="s">
        <v>4031</v>
      </c>
      <c r="F586" t="s">
        <v>1978</v>
      </c>
      <c r="G586" t="s">
        <v>4032</v>
      </c>
      <c r="H586" t="s">
        <v>841</v>
      </c>
      <c r="I586" t="s">
        <v>8004</v>
      </c>
      <c r="J586" t="s">
        <v>28</v>
      </c>
      <c r="K586" t="s">
        <v>2443</v>
      </c>
      <c r="L586" t="s">
        <v>43</v>
      </c>
      <c r="M586">
        <v>8039207203</v>
      </c>
      <c r="N586" t="s">
        <v>31</v>
      </c>
      <c r="O586" t="s">
        <v>7886</v>
      </c>
      <c r="P586" t="s">
        <v>7981</v>
      </c>
      <c r="Q586" t="s">
        <v>46</v>
      </c>
      <c r="R586" t="s">
        <v>33</v>
      </c>
      <c r="S586" t="s">
        <v>34</v>
      </c>
      <c r="T586" s="1">
        <v>812500</v>
      </c>
      <c r="U586">
        <v>0</v>
      </c>
      <c r="V586" s="1">
        <v>162500</v>
      </c>
      <c r="W586" t="s">
        <v>4033</v>
      </c>
    </row>
    <row r="587" spans="1:23" x14ac:dyDescent="0.25">
      <c r="A587">
        <v>6354</v>
      </c>
      <c r="B587" t="s">
        <v>23</v>
      </c>
      <c r="D587">
        <v>595</v>
      </c>
      <c r="E587" t="s">
        <v>4034</v>
      </c>
      <c r="F587" t="s">
        <v>4035</v>
      </c>
      <c r="G587" t="s">
        <v>1566</v>
      </c>
      <c r="H587" t="s">
        <v>4036</v>
      </c>
      <c r="I587" t="s">
        <v>7962</v>
      </c>
      <c r="J587" t="s">
        <v>28</v>
      </c>
      <c r="K587" t="s">
        <v>4037</v>
      </c>
      <c r="L587" t="s">
        <v>43</v>
      </c>
      <c r="M587" s="2" t="s">
        <v>4038</v>
      </c>
      <c r="N587" t="s">
        <v>1207</v>
      </c>
      <c r="O587" t="s">
        <v>7886</v>
      </c>
      <c r="P587" t="s">
        <v>7940</v>
      </c>
      <c r="Q587" t="s">
        <v>46</v>
      </c>
      <c r="R587" t="s">
        <v>33</v>
      </c>
      <c r="S587" t="s">
        <v>34</v>
      </c>
      <c r="T587" s="1">
        <v>812500</v>
      </c>
      <c r="U587">
        <v>0</v>
      </c>
      <c r="V587" s="1">
        <v>162500</v>
      </c>
      <c r="W587" t="s">
        <v>4039</v>
      </c>
    </row>
    <row r="588" spans="1:23" x14ac:dyDescent="0.25">
      <c r="A588">
        <v>22520</v>
      </c>
      <c r="B588" t="s">
        <v>23</v>
      </c>
      <c r="D588">
        <v>596</v>
      </c>
      <c r="E588" t="s">
        <v>4040</v>
      </c>
      <c r="F588" t="s">
        <v>4041</v>
      </c>
      <c r="G588" t="s">
        <v>4042</v>
      </c>
      <c r="I588" t="s">
        <v>7963</v>
      </c>
      <c r="J588" t="s">
        <v>28</v>
      </c>
      <c r="K588" t="s">
        <v>4043</v>
      </c>
      <c r="L588" t="s">
        <v>43</v>
      </c>
      <c r="M588">
        <v>2349032828496</v>
      </c>
      <c r="N588" t="s">
        <v>31</v>
      </c>
      <c r="O588" t="s">
        <v>7879</v>
      </c>
      <c r="P588" t="s">
        <v>7940</v>
      </c>
      <c r="Q588" t="s">
        <v>63</v>
      </c>
      <c r="R588" t="s">
        <v>33</v>
      </c>
      <c r="S588" t="s">
        <v>34</v>
      </c>
      <c r="T588" s="1">
        <v>195000</v>
      </c>
      <c r="U588">
        <v>0</v>
      </c>
      <c r="V588">
        <v>0</v>
      </c>
      <c r="W588" t="s">
        <v>4044</v>
      </c>
    </row>
    <row r="589" spans="1:23" x14ac:dyDescent="0.25">
      <c r="A589">
        <v>5493</v>
      </c>
      <c r="B589" t="s">
        <v>23</v>
      </c>
      <c r="D589">
        <v>597</v>
      </c>
      <c r="E589" t="s">
        <v>4045</v>
      </c>
      <c r="F589" t="s">
        <v>4046</v>
      </c>
      <c r="G589" t="s">
        <v>4047</v>
      </c>
      <c r="H589" t="s">
        <v>4048</v>
      </c>
      <c r="I589" t="s">
        <v>7925</v>
      </c>
      <c r="J589" t="s">
        <v>53</v>
      </c>
      <c r="K589" t="s">
        <v>4049</v>
      </c>
      <c r="L589" t="s">
        <v>43</v>
      </c>
      <c r="M589">
        <v>8037827888</v>
      </c>
      <c r="N589" t="s">
        <v>45</v>
      </c>
      <c r="O589" t="s">
        <v>7881</v>
      </c>
      <c r="P589" t="s">
        <v>7893</v>
      </c>
      <c r="Q589" t="s">
        <v>46</v>
      </c>
      <c r="R589" t="s">
        <v>33</v>
      </c>
      <c r="S589" t="s">
        <v>34</v>
      </c>
      <c r="T589" s="1">
        <v>552500</v>
      </c>
      <c r="U589">
        <v>0</v>
      </c>
      <c r="V589">
        <v>0</v>
      </c>
      <c r="W589" t="s">
        <v>4050</v>
      </c>
    </row>
    <row r="590" spans="1:23" x14ac:dyDescent="0.25">
      <c r="A590">
        <v>24340</v>
      </c>
      <c r="B590" t="s">
        <v>23</v>
      </c>
      <c r="D590">
        <v>598</v>
      </c>
      <c r="E590" t="s">
        <v>4051</v>
      </c>
      <c r="F590" t="s">
        <v>209</v>
      </c>
      <c r="G590" t="s">
        <v>4052</v>
      </c>
      <c r="H590" t="s">
        <v>4053</v>
      </c>
      <c r="I590" t="s">
        <v>4054</v>
      </c>
      <c r="J590" t="s">
        <v>53</v>
      </c>
      <c r="K590" t="s">
        <v>4055</v>
      </c>
      <c r="L590" t="s">
        <v>43</v>
      </c>
      <c r="M590" s="2" t="s">
        <v>4056</v>
      </c>
      <c r="N590" t="s">
        <v>31</v>
      </c>
      <c r="O590" t="s">
        <v>7879</v>
      </c>
      <c r="P590" t="s">
        <v>7893</v>
      </c>
      <c r="Q590" t="s">
        <v>63</v>
      </c>
      <c r="R590" t="s">
        <v>33</v>
      </c>
      <c r="S590" t="s">
        <v>34</v>
      </c>
      <c r="T590" s="1">
        <v>195000</v>
      </c>
      <c r="U590">
        <v>0</v>
      </c>
      <c r="V590">
        <v>0</v>
      </c>
      <c r="W590" t="s">
        <v>4057</v>
      </c>
    </row>
    <row r="591" spans="1:23" x14ac:dyDescent="0.25">
      <c r="A591">
        <v>24426</v>
      </c>
      <c r="B591" t="s">
        <v>23</v>
      </c>
      <c r="D591">
        <v>599</v>
      </c>
      <c r="E591" t="s">
        <v>4058</v>
      </c>
      <c r="F591" t="s">
        <v>4059</v>
      </c>
      <c r="G591" t="s">
        <v>4060</v>
      </c>
      <c r="H591" t="s">
        <v>3360</v>
      </c>
      <c r="I591" t="s">
        <v>4061</v>
      </c>
      <c r="J591" t="s">
        <v>53</v>
      </c>
      <c r="K591" t="s">
        <v>4062</v>
      </c>
      <c r="L591" t="s">
        <v>43</v>
      </c>
      <c r="M591">
        <v>2349039968196</v>
      </c>
      <c r="N591" t="s">
        <v>31</v>
      </c>
      <c r="O591" t="s">
        <v>7879</v>
      </c>
      <c r="P591" t="s">
        <v>7893</v>
      </c>
      <c r="Q591" t="s">
        <v>63</v>
      </c>
      <c r="R591" t="s">
        <v>33</v>
      </c>
      <c r="S591" t="s">
        <v>34</v>
      </c>
      <c r="T591" s="1">
        <v>195000</v>
      </c>
      <c r="U591">
        <v>0</v>
      </c>
      <c r="V591">
        <v>0</v>
      </c>
      <c r="W591" t="s">
        <v>4063</v>
      </c>
    </row>
    <row r="592" spans="1:23" x14ac:dyDescent="0.25">
      <c r="A592">
        <v>21117</v>
      </c>
      <c r="B592" t="s">
        <v>23</v>
      </c>
      <c r="D592">
        <v>600</v>
      </c>
      <c r="E592" t="s">
        <v>4064</v>
      </c>
      <c r="F592" t="s">
        <v>4065</v>
      </c>
      <c r="G592" t="s">
        <v>4066</v>
      </c>
      <c r="H592" t="s">
        <v>4067</v>
      </c>
      <c r="I592" t="s">
        <v>4068</v>
      </c>
      <c r="J592" t="s">
        <v>53</v>
      </c>
      <c r="K592" t="s">
        <v>4069</v>
      </c>
      <c r="L592" t="s">
        <v>43</v>
      </c>
      <c r="M592" s="2" t="s">
        <v>4070</v>
      </c>
      <c r="N592" t="s">
        <v>31</v>
      </c>
      <c r="O592" t="s">
        <v>7881</v>
      </c>
      <c r="P592" t="s">
        <v>7981</v>
      </c>
      <c r="Q592" t="s">
        <v>46</v>
      </c>
      <c r="R592" t="s">
        <v>33</v>
      </c>
      <c r="S592" t="s">
        <v>34</v>
      </c>
      <c r="T592" s="1">
        <v>552500</v>
      </c>
      <c r="U592">
        <v>0</v>
      </c>
      <c r="V592">
        <v>0</v>
      </c>
      <c r="W592" t="s">
        <v>4071</v>
      </c>
    </row>
    <row r="593" spans="1:23" x14ac:dyDescent="0.25">
      <c r="A593">
        <v>7792</v>
      </c>
      <c r="B593" t="s">
        <v>23</v>
      </c>
      <c r="D593">
        <v>601</v>
      </c>
      <c r="E593" t="s">
        <v>4072</v>
      </c>
      <c r="F593" t="s">
        <v>4073</v>
      </c>
      <c r="G593" t="s">
        <v>4074</v>
      </c>
      <c r="H593" t="s">
        <v>783</v>
      </c>
      <c r="I593" t="s">
        <v>4075</v>
      </c>
      <c r="J593" t="s">
        <v>28</v>
      </c>
      <c r="K593" t="s">
        <v>4076</v>
      </c>
      <c r="L593" t="s">
        <v>43</v>
      </c>
      <c r="M593">
        <v>7030656265</v>
      </c>
      <c r="N593" t="s">
        <v>31</v>
      </c>
      <c r="O593" t="s">
        <v>7886</v>
      </c>
      <c r="P593" t="s">
        <v>7981</v>
      </c>
      <c r="Q593" t="s">
        <v>63</v>
      </c>
      <c r="R593" t="s">
        <v>33</v>
      </c>
      <c r="S593" t="s">
        <v>34</v>
      </c>
      <c r="T593" s="1">
        <v>812500</v>
      </c>
      <c r="U593">
        <v>0</v>
      </c>
      <c r="V593" s="1">
        <v>162500</v>
      </c>
      <c r="W593" t="s">
        <v>4077</v>
      </c>
    </row>
    <row r="594" spans="1:23" x14ac:dyDescent="0.25">
      <c r="A594">
        <v>8135</v>
      </c>
      <c r="B594" t="s">
        <v>23</v>
      </c>
      <c r="D594">
        <v>602</v>
      </c>
      <c r="E594" t="s">
        <v>4078</v>
      </c>
      <c r="F594" t="s">
        <v>4079</v>
      </c>
      <c r="G594" t="s">
        <v>4080</v>
      </c>
      <c r="H594" t="s">
        <v>4081</v>
      </c>
      <c r="I594" t="s">
        <v>8005</v>
      </c>
      <c r="J594" t="s">
        <v>53</v>
      </c>
      <c r="K594" t="s">
        <v>4082</v>
      </c>
      <c r="L594" t="s">
        <v>43</v>
      </c>
      <c r="M594">
        <v>7060489302</v>
      </c>
      <c r="N594" t="s">
        <v>31</v>
      </c>
      <c r="O594" t="s">
        <v>7886</v>
      </c>
      <c r="P594" t="s">
        <v>7981</v>
      </c>
      <c r="Q594" t="s">
        <v>63</v>
      </c>
      <c r="R594" t="s">
        <v>33</v>
      </c>
      <c r="S594" t="s">
        <v>34</v>
      </c>
      <c r="T594" s="1">
        <v>812500</v>
      </c>
      <c r="U594">
        <v>0</v>
      </c>
      <c r="V594" s="1">
        <v>162500</v>
      </c>
      <c r="W594" t="s">
        <v>4083</v>
      </c>
    </row>
    <row r="595" spans="1:23" x14ac:dyDescent="0.25">
      <c r="A595">
        <v>24429</v>
      </c>
      <c r="B595" t="s">
        <v>23</v>
      </c>
      <c r="D595">
        <v>603</v>
      </c>
      <c r="E595" t="s">
        <v>4084</v>
      </c>
      <c r="F595" t="s">
        <v>4085</v>
      </c>
      <c r="G595" t="s">
        <v>4086</v>
      </c>
      <c r="H595" t="s">
        <v>4087</v>
      </c>
      <c r="I595" t="s">
        <v>4088</v>
      </c>
      <c r="J595" t="s">
        <v>53</v>
      </c>
      <c r="K595" t="s">
        <v>4089</v>
      </c>
      <c r="L595" t="s">
        <v>43</v>
      </c>
      <c r="M595" s="2" t="s">
        <v>4090</v>
      </c>
      <c r="N595" t="s">
        <v>31</v>
      </c>
      <c r="O595" t="s">
        <v>7879</v>
      </c>
      <c r="P595" t="s">
        <v>7940</v>
      </c>
      <c r="Q595" t="s">
        <v>63</v>
      </c>
      <c r="R595" t="s">
        <v>33</v>
      </c>
      <c r="S595" t="s">
        <v>34</v>
      </c>
      <c r="T595" s="1">
        <v>195000</v>
      </c>
      <c r="U595">
        <v>0</v>
      </c>
      <c r="V595">
        <v>0</v>
      </c>
      <c r="W595" t="s">
        <v>4091</v>
      </c>
    </row>
    <row r="596" spans="1:23" x14ac:dyDescent="0.25">
      <c r="A596">
        <v>4328</v>
      </c>
      <c r="B596" t="s">
        <v>23</v>
      </c>
      <c r="D596">
        <v>604</v>
      </c>
      <c r="E596" t="s">
        <v>4092</v>
      </c>
      <c r="F596" t="s">
        <v>4093</v>
      </c>
      <c r="G596" t="s">
        <v>4094</v>
      </c>
      <c r="H596" t="s">
        <v>3047</v>
      </c>
      <c r="I596" t="s">
        <v>4095</v>
      </c>
      <c r="J596" t="s">
        <v>53</v>
      </c>
      <c r="K596" t="s">
        <v>4096</v>
      </c>
      <c r="L596" t="s">
        <v>43</v>
      </c>
      <c r="M596" s="2" t="s">
        <v>4097</v>
      </c>
      <c r="N596" t="s">
        <v>31</v>
      </c>
      <c r="O596" t="s">
        <v>7881</v>
      </c>
      <c r="P596" t="s">
        <v>7893</v>
      </c>
      <c r="Q596" t="s">
        <v>63</v>
      </c>
      <c r="R596" t="s">
        <v>33</v>
      </c>
      <c r="S596" t="s">
        <v>34</v>
      </c>
      <c r="T596" s="1">
        <v>552500</v>
      </c>
      <c r="U596">
        <v>0</v>
      </c>
      <c r="V596">
        <v>0</v>
      </c>
      <c r="W596" t="s">
        <v>4098</v>
      </c>
    </row>
    <row r="597" spans="1:23" x14ac:dyDescent="0.25">
      <c r="A597">
        <v>6047</v>
      </c>
      <c r="B597" t="s">
        <v>23</v>
      </c>
      <c r="D597">
        <v>605</v>
      </c>
      <c r="E597" t="s">
        <v>4099</v>
      </c>
      <c r="F597" t="s">
        <v>2804</v>
      </c>
      <c r="G597" t="s">
        <v>4100</v>
      </c>
      <c r="H597" t="s">
        <v>196</v>
      </c>
      <c r="I597" t="s">
        <v>7964</v>
      </c>
      <c r="J597" t="s">
        <v>28</v>
      </c>
      <c r="K597" t="s">
        <v>4101</v>
      </c>
      <c r="L597" t="s">
        <v>43</v>
      </c>
      <c r="M597" t="s">
        <v>4102</v>
      </c>
      <c r="N597" t="s">
        <v>31</v>
      </c>
      <c r="O597" t="s">
        <v>7886</v>
      </c>
      <c r="P597" t="s">
        <v>7940</v>
      </c>
      <c r="Q597" t="s">
        <v>46</v>
      </c>
      <c r="R597" t="s">
        <v>33</v>
      </c>
      <c r="S597" t="s">
        <v>34</v>
      </c>
      <c r="T597" s="1">
        <v>812500</v>
      </c>
      <c r="U597">
        <v>0</v>
      </c>
      <c r="V597" s="1">
        <v>162500</v>
      </c>
      <c r="W597" t="s">
        <v>4103</v>
      </c>
    </row>
    <row r="598" spans="1:23" x14ac:dyDescent="0.25">
      <c r="A598">
        <v>10266</v>
      </c>
      <c r="B598" t="s">
        <v>23</v>
      </c>
      <c r="D598">
        <v>606</v>
      </c>
      <c r="E598" t="s">
        <v>4104</v>
      </c>
      <c r="F598" t="s">
        <v>775</v>
      </c>
      <c r="G598" t="s">
        <v>4105</v>
      </c>
      <c r="H598" t="s">
        <v>1219</v>
      </c>
      <c r="I598" t="s">
        <v>4106</v>
      </c>
      <c r="J598" t="s">
        <v>28</v>
      </c>
      <c r="K598" t="s">
        <v>4107</v>
      </c>
      <c r="L598" t="s">
        <v>43</v>
      </c>
      <c r="M598" s="2" t="s">
        <v>4108</v>
      </c>
      <c r="N598" t="s">
        <v>31</v>
      </c>
      <c r="O598" t="s">
        <v>7881</v>
      </c>
      <c r="P598" t="s">
        <v>7981</v>
      </c>
      <c r="Q598" t="s">
        <v>46</v>
      </c>
      <c r="R598" t="s">
        <v>33</v>
      </c>
      <c r="S598" t="s">
        <v>34</v>
      </c>
      <c r="T598" s="1">
        <v>552500</v>
      </c>
      <c r="U598">
        <v>0</v>
      </c>
      <c r="V598">
        <v>0</v>
      </c>
      <c r="W598" t="s">
        <v>4109</v>
      </c>
    </row>
    <row r="599" spans="1:23" x14ac:dyDescent="0.25">
      <c r="A599">
        <v>24373</v>
      </c>
      <c r="B599" t="s">
        <v>23</v>
      </c>
      <c r="D599">
        <v>607</v>
      </c>
      <c r="E599" t="s">
        <v>4110</v>
      </c>
      <c r="F599" t="s">
        <v>4111</v>
      </c>
      <c r="G599" t="s">
        <v>2195</v>
      </c>
      <c r="H599" t="s">
        <v>4112</v>
      </c>
      <c r="I599" t="s">
        <v>4113</v>
      </c>
      <c r="J599" t="s">
        <v>53</v>
      </c>
      <c r="K599" t="s">
        <v>4114</v>
      </c>
      <c r="L599" t="s">
        <v>43</v>
      </c>
      <c r="M599" s="2" t="s">
        <v>4115</v>
      </c>
      <c r="N599" t="s">
        <v>31</v>
      </c>
      <c r="O599" t="s">
        <v>7879</v>
      </c>
      <c r="P599" t="s">
        <v>7940</v>
      </c>
      <c r="Q599" t="s">
        <v>63</v>
      </c>
      <c r="R599" t="s">
        <v>33</v>
      </c>
      <c r="S599" t="s">
        <v>34</v>
      </c>
      <c r="T599" s="1">
        <v>195000</v>
      </c>
      <c r="U599">
        <v>0</v>
      </c>
      <c r="V599">
        <v>0</v>
      </c>
      <c r="W599" t="s">
        <v>4116</v>
      </c>
    </row>
    <row r="600" spans="1:23" x14ac:dyDescent="0.25">
      <c r="A600">
        <v>1559</v>
      </c>
      <c r="B600" t="s">
        <v>23</v>
      </c>
      <c r="D600">
        <v>608</v>
      </c>
      <c r="E600" t="s">
        <v>4117</v>
      </c>
      <c r="F600" t="s">
        <v>4118</v>
      </c>
      <c r="G600" t="s">
        <v>4119</v>
      </c>
      <c r="H600" t="s">
        <v>3785</v>
      </c>
      <c r="I600" t="s">
        <v>8006</v>
      </c>
      <c r="J600" t="s">
        <v>53</v>
      </c>
      <c r="K600" t="s">
        <v>4120</v>
      </c>
      <c r="L600" t="s">
        <v>43</v>
      </c>
      <c r="M600">
        <v>8036516058</v>
      </c>
      <c r="N600" t="s">
        <v>2333</v>
      </c>
      <c r="O600" t="s">
        <v>7886</v>
      </c>
      <c r="P600" t="s">
        <v>7981</v>
      </c>
      <c r="Q600" t="s">
        <v>46</v>
      </c>
      <c r="R600" t="s">
        <v>33</v>
      </c>
      <c r="S600" t="s">
        <v>34</v>
      </c>
      <c r="T600" s="1">
        <v>812500</v>
      </c>
      <c r="U600">
        <v>0</v>
      </c>
      <c r="V600" s="1">
        <v>162500</v>
      </c>
      <c r="W600" t="s">
        <v>4121</v>
      </c>
    </row>
    <row r="601" spans="1:23" x14ac:dyDescent="0.25">
      <c r="A601">
        <v>5252</v>
      </c>
      <c r="B601" t="s">
        <v>23</v>
      </c>
      <c r="D601">
        <v>609</v>
      </c>
      <c r="E601" t="s">
        <v>4122</v>
      </c>
      <c r="F601" t="s">
        <v>4123</v>
      </c>
      <c r="G601" t="s">
        <v>4124</v>
      </c>
      <c r="H601" t="s">
        <v>1692</v>
      </c>
      <c r="I601" t="s">
        <v>7910</v>
      </c>
      <c r="J601" t="s">
        <v>28</v>
      </c>
      <c r="K601" t="s">
        <v>717</v>
      </c>
      <c r="L601" t="s">
        <v>43</v>
      </c>
      <c r="M601">
        <v>8033790384</v>
      </c>
      <c r="N601" t="s">
        <v>31</v>
      </c>
      <c r="O601" t="s">
        <v>7886</v>
      </c>
      <c r="P601" t="s">
        <v>7894</v>
      </c>
      <c r="Q601" t="s">
        <v>63</v>
      </c>
      <c r="R601" t="s">
        <v>33</v>
      </c>
      <c r="S601" t="s">
        <v>34</v>
      </c>
      <c r="T601" s="1">
        <v>812500</v>
      </c>
      <c r="U601">
        <v>0</v>
      </c>
      <c r="V601" s="1">
        <v>162500</v>
      </c>
      <c r="W601" t="s">
        <v>4125</v>
      </c>
    </row>
    <row r="602" spans="1:23" x14ac:dyDescent="0.25">
      <c r="A602">
        <v>5956</v>
      </c>
      <c r="B602" t="s">
        <v>23</v>
      </c>
      <c r="D602">
        <v>610</v>
      </c>
      <c r="E602" t="s">
        <v>4126</v>
      </c>
      <c r="F602" t="s">
        <v>4127</v>
      </c>
      <c r="G602" t="s">
        <v>135</v>
      </c>
      <c r="H602" t="s">
        <v>4128</v>
      </c>
      <c r="I602" t="s">
        <v>7965</v>
      </c>
      <c r="J602" t="s">
        <v>53</v>
      </c>
      <c r="K602" t="s">
        <v>4129</v>
      </c>
      <c r="L602" t="s">
        <v>43</v>
      </c>
      <c r="M602" s="2" t="s">
        <v>4130</v>
      </c>
      <c r="N602" t="s">
        <v>31</v>
      </c>
      <c r="O602" t="s">
        <v>7886</v>
      </c>
      <c r="P602" t="s">
        <v>7940</v>
      </c>
      <c r="Q602" t="s">
        <v>63</v>
      </c>
      <c r="R602" t="s">
        <v>33</v>
      </c>
      <c r="S602" t="s">
        <v>34</v>
      </c>
      <c r="T602" s="1">
        <v>812500</v>
      </c>
      <c r="U602">
        <v>0</v>
      </c>
      <c r="V602" s="1">
        <v>162500</v>
      </c>
      <c r="W602" t="s">
        <v>4131</v>
      </c>
    </row>
    <row r="603" spans="1:23" x14ac:dyDescent="0.25">
      <c r="A603">
        <v>24478</v>
      </c>
      <c r="B603" t="s">
        <v>23</v>
      </c>
      <c r="D603">
        <v>611</v>
      </c>
      <c r="E603" t="s">
        <v>4132</v>
      </c>
      <c r="F603" t="s">
        <v>4133</v>
      </c>
      <c r="G603" t="s">
        <v>776</v>
      </c>
      <c r="H603" t="s">
        <v>1463</v>
      </c>
      <c r="I603" t="s">
        <v>4134</v>
      </c>
      <c r="J603" t="s">
        <v>53</v>
      </c>
      <c r="K603" t="s">
        <v>4135</v>
      </c>
      <c r="L603" t="s">
        <v>43</v>
      </c>
      <c r="M603" s="2" t="s">
        <v>4136</v>
      </c>
      <c r="N603" t="s">
        <v>31</v>
      </c>
      <c r="O603" t="s">
        <v>7879</v>
      </c>
      <c r="P603" t="s">
        <v>7893</v>
      </c>
      <c r="Q603" t="s">
        <v>46</v>
      </c>
      <c r="R603" t="s">
        <v>33</v>
      </c>
      <c r="S603" t="s">
        <v>34</v>
      </c>
      <c r="T603" s="1">
        <v>195000</v>
      </c>
      <c r="U603">
        <v>0</v>
      </c>
      <c r="V603">
        <v>0</v>
      </c>
      <c r="W603" t="s">
        <v>4137</v>
      </c>
    </row>
    <row r="604" spans="1:23" x14ac:dyDescent="0.25">
      <c r="A604">
        <v>1385</v>
      </c>
      <c r="B604" t="s">
        <v>23</v>
      </c>
      <c r="D604">
        <v>612</v>
      </c>
      <c r="E604" t="s">
        <v>4138</v>
      </c>
      <c r="F604" t="s">
        <v>643</v>
      </c>
      <c r="G604" t="s">
        <v>4139</v>
      </c>
      <c r="H604" t="s">
        <v>3155</v>
      </c>
      <c r="I604" t="s">
        <v>7926</v>
      </c>
      <c r="J604" t="s">
        <v>53</v>
      </c>
      <c r="K604" t="s">
        <v>4140</v>
      </c>
      <c r="L604" t="s">
        <v>43</v>
      </c>
      <c r="M604">
        <v>8032828142</v>
      </c>
      <c r="N604" t="s">
        <v>31</v>
      </c>
      <c r="O604" t="s">
        <v>7886</v>
      </c>
      <c r="P604" t="s">
        <v>7903</v>
      </c>
      <c r="Q604" t="s">
        <v>46</v>
      </c>
      <c r="R604" t="s">
        <v>33</v>
      </c>
      <c r="S604" t="s">
        <v>34</v>
      </c>
      <c r="T604" s="1">
        <v>812500</v>
      </c>
      <c r="U604">
        <v>0</v>
      </c>
      <c r="V604" s="1">
        <v>162500</v>
      </c>
      <c r="W604" t="s">
        <v>4141</v>
      </c>
    </row>
    <row r="605" spans="1:23" x14ac:dyDescent="0.25">
      <c r="A605">
        <v>23651</v>
      </c>
      <c r="B605" t="s">
        <v>23</v>
      </c>
      <c r="D605">
        <v>613</v>
      </c>
      <c r="E605" t="s">
        <v>4142</v>
      </c>
      <c r="F605" t="s">
        <v>111</v>
      </c>
      <c r="G605" t="s">
        <v>4143</v>
      </c>
      <c r="H605" t="s">
        <v>4144</v>
      </c>
      <c r="I605" t="s">
        <v>4145</v>
      </c>
      <c r="J605" t="s">
        <v>28</v>
      </c>
      <c r="K605" t="s">
        <v>4146</v>
      </c>
      <c r="L605" t="s">
        <v>43</v>
      </c>
      <c r="M605" s="2" t="s">
        <v>4147</v>
      </c>
      <c r="N605" t="s">
        <v>31</v>
      </c>
      <c r="O605" t="s">
        <v>7879</v>
      </c>
      <c r="P605" t="s">
        <v>7940</v>
      </c>
      <c r="Q605" t="s">
        <v>87</v>
      </c>
      <c r="R605" t="s">
        <v>33</v>
      </c>
      <c r="S605" t="s">
        <v>34</v>
      </c>
      <c r="T605" s="1">
        <v>195000</v>
      </c>
      <c r="U605">
        <v>0</v>
      </c>
      <c r="V605">
        <v>0</v>
      </c>
      <c r="W605" t="s">
        <v>4148</v>
      </c>
    </row>
    <row r="606" spans="1:23" x14ac:dyDescent="0.25">
      <c r="A606">
        <v>8082</v>
      </c>
      <c r="B606" t="s">
        <v>23</v>
      </c>
      <c r="D606">
        <v>614</v>
      </c>
      <c r="E606" t="s">
        <v>4149</v>
      </c>
      <c r="F606" t="s">
        <v>4150</v>
      </c>
      <c r="G606" t="s">
        <v>3880</v>
      </c>
      <c r="H606" t="s">
        <v>4151</v>
      </c>
      <c r="I606" t="s">
        <v>4152</v>
      </c>
      <c r="J606" t="s">
        <v>28</v>
      </c>
      <c r="K606" t="s">
        <v>4153</v>
      </c>
      <c r="L606" t="s">
        <v>43</v>
      </c>
      <c r="M606">
        <v>8037550532</v>
      </c>
      <c r="N606" t="s">
        <v>2333</v>
      </c>
      <c r="O606" t="s">
        <v>7886</v>
      </c>
      <c r="P606" t="s">
        <v>7981</v>
      </c>
      <c r="Q606" t="s">
        <v>46</v>
      </c>
      <c r="R606" t="s">
        <v>33</v>
      </c>
      <c r="S606" t="s">
        <v>34</v>
      </c>
      <c r="T606" s="1">
        <v>812500</v>
      </c>
      <c r="U606">
        <v>0</v>
      </c>
      <c r="V606" s="1">
        <v>162500</v>
      </c>
      <c r="W606" t="s">
        <v>4154</v>
      </c>
    </row>
    <row r="607" spans="1:23" x14ac:dyDescent="0.25">
      <c r="A607">
        <v>2078</v>
      </c>
      <c r="B607" t="s">
        <v>23</v>
      </c>
      <c r="D607">
        <v>615</v>
      </c>
      <c r="E607" t="s">
        <v>4155</v>
      </c>
      <c r="F607" t="s">
        <v>4156</v>
      </c>
      <c r="G607" t="s">
        <v>4157</v>
      </c>
      <c r="H607" t="s">
        <v>465</v>
      </c>
      <c r="I607" t="s">
        <v>8007</v>
      </c>
      <c r="J607" t="s">
        <v>28</v>
      </c>
      <c r="K607" t="s">
        <v>93</v>
      </c>
      <c r="L607" t="s">
        <v>43</v>
      </c>
      <c r="M607" s="2" t="s">
        <v>4158</v>
      </c>
      <c r="N607" t="s">
        <v>31</v>
      </c>
      <c r="O607" t="s">
        <v>7886</v>
      </c>
      <c r="P607" t="s">
        <v>7981</v>
      </c>
      <c r="Q607" t="s">
        <v>46</v>
      </c>
      <c r="R607" t="s">
        <v>33</v>
      </c>
      <c r="S607" t="s">
        <v>34</v>
      </c>
      <c r="T607" s="1">
        <v>812500</v>
      </c>
      <c r="U607">
        <v>0</v>
      </c>
      <c r="V607" s="1">
        <v>162500</v>
      </c>
      <c r="W607" t="s">
        <v>4159</v>
      </c>
    </row>
    <row r="608" spans="1:23" x14ac:dyDescent="0.25">
      <c r="A608">
        <v>18519</v>
      </c>
      <c r="B608" t="s">
        <v>23</v>
      </c>
      <c r="D608">
        <v>616</v>
      </c>
      <c r="E608" t="s">
        <v>4160</v>
      </c>
      <c r="F608" t="s">
        <v>3153</v>
      </c>
      <c r="G608" t="s">
        <v>4161</v>
      </c>
      <c r="H608" t="s">
        <v>4162</v>
      </c>
      <c r="I608" t="s">
        <v>4163</v>
      </c>
      <c r="J608" t="s">
        <v>28</v>
      </c>
      <c r="K608" t="s">
        <v>4164</v>
      </c>
      <c r="L608" t="s">
        <v>43</v>
      </c>
      <c r="M608" s="2" t="s">
        <v>4165</v>
      </c>
      <c r="N608" t="s">
        <v>31</v>
      </c>
      <c r="O608" t="s">
        <v>7886</v>
      </c>
      <c r="P608" t="s">
        <v>7940</v>
      </c>
      <c r="Q608" t="s">
        <v>46</v>
      </c>
      <c r="R608" t="s">
        <v>33</v>
      </c>
      <c r="S608" t="s">
        <v>34</v>
      </c>
      <c r="T608" s="1">
        <v>812500</v>
      </c>
      <c r="U608">
        <v>0</v>
      </c>
      <c r="V608" s="1">
        <v>162500</v>
      </c>
      <c r="W608" t="s">
        <v>4166</v>
      </c>
    </row>
    <row r="609" spans="1:23" x14ac:dyDescent="0.25">
      <c r="A609">
        <v>24396</v>
      </c>
      <c r="B609" t="s">
        <v>23</v>
      </c>
      <c r="D609">
        <v>617</v>
      </c>
      <c r="E609" t="s">
        <v>4167</v>
      </c>
      <c r="F609" t="s">
        <v>4168</v>
      </c>
      <c r="G609" t="s">
        <v>4169</v>
      </c>
      <c r="I609">
        <v>233204967492</v>
      </c>
      <c r="J609" t="s">
        <v>53</v>
      </c>
      <c r="K609" t="s">
        <v>480</v>
      </c>
      <c r="L609" t="s">
        <v>453</v>
      </c>
      <c r="M609">
        <v>233204967492</v>
      </c>
      <c r="N609" t="s">
        <v>31</v>
      </c>
      <c r="O609" t="s">
        <v>7879</v>
      </c>
      <c r="P609" t="s">
        <v>7893</v>
      </c>
      <c r="Q609" t="s">
        <v>455</v>
      </c>
      <c r="R609" t="s">
        <v>130</v>
      </c>
      <c r="S609" t="s">
        <v>131</v>
      </c>
      <c r="T609">
        <v>150</v>
      </c>
      <c r="U609">
        <v>0</v>
      </c>
      <c r="V609">
        <v>0</v>
      </c>
      <c r="W609" t="s">
        <v>4170</v>
      </c>
    </row>
    <row r="610" spans="1:23" x14ac:dyDescent="0.25">
      <c r="A610">
        <v>20503</v>
      </c>
      <c r="B610" t="s">
        <v>23</v>
      </c>
      <c r="D610">
        <v>618</v>
      </c>
      <c r="E610" t="s">
        <v>4171</v>
      </c>
      <c r="F610" t="s">
        <v>4172</v>
      </c>
      <c r="G610" t="s">
        <v>4173</v>
      </c>
      <c r="H610" t="s">
        <v>4174</v>
      </c>
      <c r="I610" t="s">
        <v>4175</v>
      </c>
      <c r="J610" t="s">
        <v>53</v>
      </c>
      <c r="K610" t="s">
        <v>4176</v>
      </c>
      <c r="L610" t="s">
        <v>453</v>
      </c>
      <c r="M610" s="2" t="s">
        <v>4177</v>
      </c>
      <c r="N610" t="s">
        <v>45</v>
      </c>
      <c r="O610" t="s">
        <v>7879</v>
      </c>
      <c r="P610" t="s">
        <v>7940</v>
      </c>
      <c r="Q610" t="s">
        <v>455</v>
      </c>
      <c r="R610" t="s">
        <v>130</v>
      </c>
      <c r="S610" t="s">
        <v>131</v>
      </c>
      <c r="T610">
        <v>150</v>
      </c>
      <c r="U610">
        <v>0</v>
      </c>
      <c r="V610">
        <v>0</v>
      </c>
      <c r="W610" t="s">
        <v>4178</v>
      </c>
    </row>
    <row r="611" spans="1:23" x14ac:dyDescent="0.25">
      <c r="A611">
        <v>24417</v>
      </c>
      <c r="B611" t="s">
        <v>23</v>
      </c>
      <c r="D611">
        <v>619</v>
      </c>
      <c r="E611" t="s">
        <v>4179</v>
      </c>
      <c r="F611" t="s">
        <v>4180</v>
      </c>
      <c r="G611" t="s">
        <v>264</v>
      </c>
      <c r="H611" t="s">
        <v>4181</v>
      </c>
      <c r="I611" t="s">
        <v>4182</v>
      </c>
      <c r="J611" t="s">
        <v>53</v>
      </c>
      <c r="K611" t="s">
        <v>289</v>
      </c>
      <c r="L611" t="s">
        <v>43</v>
      </c>
      <c r="M611" s="2" t="s">
        <v>4183</v>
      </c>
      <c r="N611" t="s">
        <v>31</v>
      </c>
      <c r="O611" t="s">
        <v>7879</v>
      </c>
      <c r="P611" t="s">
        <v>8028</v>
      </c>
      <c r="Q611" t="s">
        <v>46</v>
      </c>
      <c r="R611" t="s">
        <v>33</v>
      </c>
      <c r="S611" t="s">
        <v>34</v>
      </c>
      <c r="T611" s="1">
        <v>195000</v>
      </c>
      <c r="U611">
        <v>0</v>
      </c>
      <c r="V611">
        <v>0</v>
      </c>
      <c r="W611" t="s">
        <v>4184</v>
      </c>
    </row>
    <row r="612" spans="1:23" x14ac:dyDescent="0.25">
      <c r="A612">
        <v>21514</v>
      </c>
      <c r="B612" t="s">
        <v>23</v>
      </c>
      <c r="D612">
        <v>620</v>
      </c>
      <c r="E612" t="s">
        <v>4185</v>
      </c>
      <c r="F612" t="s">
        <v>3855</v>
      </c>
      <c r="G612" t="s">
        <v>592</v>
      </c>
      <c r="I612" t="s">
        <v>4186</v>
      </c>
      <c r="J612" t="s">
        <v>28</v>
      </c>
      <c r="K612" t="s">
        <v>4187</v>
      </c>
      <c r="L612" t="s">
        <v>43</v>
      </c>
      <c r="M612" s="2" t="s">
        <v>4188</v>
      </c>
      <c r="N612" t="s">
        <v>31</v>
      </c>
      <c r="O612" t="s">
        <v>7881</v>
      </c>
      <c r="P612" t="s">
        <v>7888</v>
      </c>
      <c r="Q612" t="s">
        <v>46</v>
      </c>
      <c r="R612" t="s">
        <v>33</v>
      </c>
      <c r="S612" t="s">
        <v>34</v>
      </c>
      <c r="T612" s="1">
        <v>552500</v>
      </c>
      <c r="U612" s="1">
        <v>110500</v>
      </c>
      <c r="V612">
        <v>0</v>
      </c>
      <c r="W612" t="s">
        <v>4189</v>
      </c>
    </row>
    <row r="613" spans="1:23" x14ac:dyDescent="0.25">
      <c r="A613">
        <v>7824</v>
      </c>
      <c r="B613" t="s">
        <v>23</v>
      </c>
      <c r="D613">
        <v>621</v>
      </c>
      <c r="E613" t="s">
        <v>4190</v>
      </c>
      <c r="F613" t="s">
        <v>4191</v>
      </c>
      <c r="G613" t="s">
        <v>4192</v>
      </c>
      <c r="H613" t="s">
        <v>4193</v>
      </c>
      <c r="I613" t="s">
        <v>7927</v>
      </c>
      <c r="J613" t="s">
        <v>53</v>
      </c>
      <c r="K613" t="s">
        <v>4194</v>
      </c>
      <c r="L613" t="s">
        <v>43</v>
      </c>
      <c r="M613">
        <v>8062401688</v>
      </c>
      <c r="N613" t="s">
        <v>31</v>
      </c>
      <c r="O613" t="s">
        <v>7886</v>
      </c>
      <c r="P613" t="s">
        <v>7903</v>
      </c>
      <c r="Q613" t="s">
        <v>46</v>
      </c>
      <c r="R613" t="s">
        <v>33</v>
      </c>
      <c r="S613" t="s">
        <v>34</v>
      </c>
      <c r="T613" s="1">
        <v>812500</v>
      </c>
      <c r="U613">
        <v>0</v>
      </c>
      <c r="V613" s="1">
        <v>162500</v>
      </c>
      <c r="W613" t="s">
        <v>4195</v>
      </c>
    </row>
    <row r="614" spans="1:23" x14ac:dyDescent="0.25">
      <c r="A614">
        <v>24464</v>
      </c>
      <c r="B614" t="s">
        <v>23</v>
      </c>
      <c r="D614">
        <v>622</v>
      </c>
      <c r="E614" t="s">
        <v>4196</v>
      </c>
      <c r="F614" t="s">
        <v>4197</v>
      </c>
      <c r="G614" t="s">
        <v>4198</v>
      </c>
      <c r="H614" t="s">
        <v>4199</v>
      </c>
      <c r="I614" t="s">
        <v>4200</v>
      </c>
      <c r="J614" t="s">
        <v>28</v>
      </c>
      <c r="K614" t="s">
        <v>4201</v>
      </c>
      <c r="L614" t="s">
        <v>43</v>
      </c>
      <c r="M614" s="2" t="s">
        <v>4202</v>
      </c>
      <c r="N614" t="s">
        <v>31</v>
      </c>
      <c r="O614" t="s">
        <v>7879</v>
      </c>
      <c r="P614" t="s">
        <v>7981</v>
      </c>
      <c r="Q614" t="s">
        <v>63</v>
      </c>
      <c r="R614" t="s">
        <v>33</v>
      </c>
      <c r="S614" t="s">
        <v>34</v>
      </c>
      <c r="T614" s="1">
        <v>195000</v>
      </c>
      <c r="U614">
        <v>0</v>
      </c>
      <c r="V614">
        <v>0</v>
      </c>
      <c r="W614" t="s">
        <v>4203</v>
      </c>
    </row>
    <row r="615" spans="1:23" x14ac:dyDescent="0.25">
      <c r="A615">
        <v>24131</v>
      </c>
      <c r="B615" t="s">
        <v>23</v>
      </c>
      <c r="D615">
        <v>623</v>
      </c>
      <c r="E615" t="s">
        <v>4204</v>
      </c>
      <c r="F615" t="s">
        <v>4205</v>
      </c>
      <c r="G615" t="s">
        <v>4206</v>
      </c>
      <c r="H615" t="s">
        <v>4207</v>
      </c>
      <c r="I615" t="s">
        <v>4208</v>
      </c>
      <c r="J615" t="s">
        <v>53</v>
      </c>
      <c r="K615" t="s">
        <v>364</v>
      </c>
      <c r="L615" t="s">
        <v>43</v>
      </c>
      <c r="M615" s="2" t="s">
        <v>4209</v>
      </c>
      <c r="N615" t="s">
        <v>31</v>
      </c>
      <c r="O615" t="s">
        <v>7879</v>
      </c>
      <c r="P615" t="s">
        <v>7893</v>
      </c>
      <c r="Q615" t="s">
        <v>46</v>
      </c>
      <c r="R615" t="s">
        <v>33</v>
      </c>
      <c r="S615" t="s">
        <v>34</v>
      </c>
      <c r="T615" s="1">
        <v>195000</v>
      </c>
      <c r="U615">
        <v>0</v>
      </c>
      <c r="V615">
        <v>0</v>
      </c>
      <c r="W615" t="s">
        <v>4210</v>
      </c>
    </row>
    <row r="616" spans="1:23" x14ac:dyDescent="0.25">
      <c r="A616">
        <v>6439</v>
      </c>
      <c r="B616" t="s">
        <v>23</v>
      </c>
      <c r="D616">
        <v>624</v>
      </c>
      <c r="E616" t="s">
        <v>4211</v>
      </c>
      <c r="F616" t="s">
        <v>4212</v>
      </c>
      <c r="G616" t="s">
        <v>4213</v>
      </c>
      <c r="I616" t="s">
        <v>8008</v>
      </c>
      <c r="J616" t="s">
        <v>53</v>
      </c>
      <c r="K616" t="s">
        <v>4214</v>
      </c>
      <c r="L616" t="s">
        <v>43</v>
      </c>
      <c r="M616">
        <v>8035338658</v>
      </c>
      <c r="N616" t="s">
        <v>31</v>
      </c>
      <c r="O616" t="s">
        <v>7886</v>
      </c>
      <c r="P616" t="s">
        <v>7981</v>
      </c>
      <c r="Q616" t="s">
        <v>46</v>
      </c>
      <c r="R616" t="s">
        <v>33</v>
      </c>
      <c r="S616" t="s">
        <v>34</v>
      </c>
      <c r="T616" s="1">
        <v>812500</v>
      </c>
      <c r="U616">
        <v>0</v>
      </c>
      <c r="V616" s="1">
        <v>162500</v>
      </c>
      <c r="W616" t="s">
        <v>4215</v>
      </c>
    </row>
    <row r="617" spans="1:23" x14ac:dyDescent="0.25">
      <c r="A617">
        <v>3734</v>
      </c>
      <c r="B617" t="s">
        <v>23</v>
      </c>
      <c r="D617">
        <v>625</v>
      </c>
      <c r="E617" t="s">
        <v>4216</v>
      </c>
      <c r="F617" t="s">
        <v>4217</v>
      </c>
      <c r="G617" t="s">
        <v>4218</v>
      </c>
      <c r="H617" t="s">
        <v>4219</v>
      </c>
      <c r="I617" t="s">
        <v>8009</v>
      </c>
      <c r="J617" t="s">
        <v>53</v>
      </c>
      <c r="K617" t="s">
        <v>4220</v>
      </c>
      <c r="L617" t="s">
        <v>43</v>
      </c>
      <c r="M617" s="2" t="s">
        <v>4221</v>
      </c>
      <c r="N617" t="s">
        <v>31</v>
      </c>
      <c r="O617" t="s">
        <v>7886</v>
      </c>
      <c r="P617" t="s">
        <v>7981</v>
      </c>
      <c r="Q617" t="s">
        <v>63</v>
      </c>
      <c r="R617" t="s">
        <v>33</v>
      </c>
      <c r="S617" t="s">
        <v>34</v>
      </c>
      <c r="T617" s="1">
        <v>812500</v>
      </c>
      <c r="U617">
        <v>0</v>
      </c>
      <c r="V617" s="1">
        <v>162500</v>
      </c>
      <c r="W617" t="s">
        <v>4222</v>
      </c>
    </row>
    <row r="618" spans="1:23" x14ac:dyDescent="0.25">
      <c r="A618">
        <v>24327</v>
      </c>
      <c r="B618" t="s">
        <v>23</v>
      </c>
      <c r="D618">
        <v>626</v>
      </c>
      <c r="E618" t="s">
        <v>4223</v>
      </c>
      <c r="F618" t="s">
        <v>4224</v>
      </c>
      <c r="G618" t="s">
        <v>2453</v>
      </c>
      <c r="H618" t="s">
        <v>2858</v>
      </c>
      <c r="I618" t="s">
        <v>4225</v>
      </c>
      <c r="J618" t="s">
        <v>28</v>
      </c>
      <c r="K618" t="s">
        <v>4226</v>
      </c>
      <c r="L618" t="s">
        <v>43</v>
      </c>
      <c r="M618" s="2" t="s">
        <v>4227</v>
      </c>
      <c r="N618" t="s">
        <v>31</v>
      </c>
      <c r="O618" t="s">
        <v>7879</v>
      </c>
      <c r="P618" t="s">
        <v>7940</v>
      </c>
      <c r="Q618" t="s">
        <v>87</v>
      </c>
      <c r="R618" t="s">
        <v>33</v>
      </c>
      <c r="S618" t="s">
        <v>34</v>
      </c>
      <c r="T618" s="1">
        <v>195000</v>
      </c>
      <c r="U618">
        <v>0</v>
      </c>
      <c r="V618">
        <v>0</v>
      </c>
      <c r="W618" t="s">
        <v>4228</v>
      </c>
    </row>
    <row r="619" spans="1:23" x14ac:dyDescent="0.25">
      <c r="A619">
        <v>24480</v>
      </c>
      <c r="B619" t="s">
        <v>23</v>
      </c>
      <c r="D619">
        <v>627</v>
      </c>
      <c r="E619" t="s">
        <v>4229</v>
      </c>
      <c r="F619" t="s">
        <v>2804</v>
      </c>
      <c r="G619" t="s">
        <v>4230</v>
      </c>
      <c r="H619" t="s">
        <v>4231</v>
      </c>
      <c r="I619" t="s">
        <v>4232</v>
      </c>
      <c r="J619" t="s">
        <v>53</v>
      </c>
      <c r="K619" t="s">
        <v>2483</v>
      </c>
      <c r="L619" t="s">
        <v>43</v>
      </c>
      <c r="M619" s="2" t="s">
        <v>4233</v>
      </c>
      <c r="N619" t="s">
        <v>31</v>
      </c>
      <c r="O619" t="s">
        <v>7879</v>
      </c>
      <c r="P619" t="s">
        <v>7940</v>
      </c>
      <c r="Q619" t="s">
        <v>46</v>
      </c>
      <c r="R619" t="s">
        <v>33</v>
      </c>
      <c r="S619" t="s">
        <v>34</v>
      </c>
      <c r="T619" s="1">
        <v>195000</v>
      </c>
      <c r="U619">
        <v>0</v>
      </c>
      <c r="V619">
        <v>0</v>
      </c>
      <c r="W619" t="s">
        <v>4234</v>
      </c>
    </row>
    <row r="620" spans="1:23" x14ac:dyDescent="0.25">
      <c r="A620">
        <v>2729</v>
      </c>
      <c r="B620" t="s">
        <v>23</v>
      </c>
      <c r="D620">
        <v>628</v>
      </c>
      <c r="E620" t="s">
        <v>4235</v>
      </c>
      <c r="F620" t="s">
        <v>4236</v>
      </c>
      <c r="G620" t="s">
        <v>1051</v>
      </c>
      <c r="H620" t="s">
        <v>4237</v>
      </c>
      <c r="I620" t="s">
        <v>8010</v>
      </c>
      <c r="J620" t="s">
        <v>53</v>
      </c>
      <c r="K620" t="s">
        <v>4238</v>
      </c>
      <c r="L620" t="s">
        <v>43</v>
      </c>
      <c r="M620">
        <v>2347039715050</v>
      </c>
      <c r="N620" t="s">
        <v>31</v>
      </c>
      <c r="O620" t="s">
        <v>7886</v>
      </c>
      <c r="P620" t="s">
        <v>7981</v>
      </c>
      <c r="Q620" t="s">
        <v>63</v>
      </c>
      <c r="R620" t="s">
        <v>33</v>
      </c>
      <c r="S620" t="s">
        <v>34</v>
      </c>
      <c r="T620" s="1">
        <v>812500</v>
      </c>
      <c r="U620">
        <v>0</v>
      </c>
      <c r="V620" s="1">
        <v>162500</v>
      </c>
      <c r="W620" t="s">
        <v>4239</v>
      </c>
    </row>
    <row r="621" spans="1:23" x14ac:dyDescent="0.25">
      <c r="A621">
        <v>19602</v>
      </c>
      <c r="B621" t="s">
        <v>23</v>
      </c>
      <c r="D621">
        <v>629</v>
      </c>
      <c r="E621" t="s">
        <v>4240</v>
      </c>
      <c r="F621" t="s">
        <v>4241</v>
      </c>
      <c r="G621" t="s">
        <v>2091</v>
      </c>
      <c r="H621" t="s">
        <v>4242</v>
      </c>
      <c r="I621" t="s">
        <v>4243</v>
      </c>
      <c r="J621" t="s">
        <v>28</v>
      </c>
      <c r="K621" t="s">
        <v>4244</v>
      </c>
      <c r="L621" t="s">
        <v>43</v>
      </c>
      <c r="M621" s="2" t="s">
        <v>4245</v>
      </c>
      <c r="N621" t="s">
        <v>45</v>
      </c>
      <c r="O621" t="s">
        <v>7881</v>
      </c>
      <c r="P621" t="s">
        <v>7981</v>
      </c>
      <c r="Q621" t="s">
        <v>46</v>
      </c>
      <c r="R621" t="s">
        <v>33</v>
      </c>
      <c r="S621" t="s">
        <v>34</v>
      </c>
      <c r="T621" s="1">
        <v>552500</v>
      </c>
      <c r="U621">
        <v>0</v>
      </c>
      <c r="V621">
        <v>0</v>
      </c>
      <c r="W621" t="s">
        <v>4246</v>
      </c>
    </row>
    <row r="622" spans="1:23" x14ac:dyDescent="0.25">
      <c r="A622">
        <v>9476</v>
      </c>
      <c r="B622" t="s">
        <v>23</v>
      </c>
      <c r="D622">
        <v>630</v>
      </c>
      <c r="E622" t="s">
        <v>4247</v>
      </c>
      <c r="F622" t="s">
        <v>4248</v>
      </c>
      <c r="G622" t="s">
        <v>4249</v>
      </c>
      <c r="H622" t="s">
        <v>4250</v>
      </c>
      <c r="I622" t="s">
        <v>4251</v>
      </c>
      <c r="J622" t="s">
        <v>28</v>
      </c>
      <c r="K622" t="s">
        <v>4252</v>
      </c>
      <c r="L622" t="s">
        <v>43</v>
      </c>
      <c r="M622">
        <v>8136194195</v>
      </c>
      <c r="N622" t="s">
        <v>31</v>
      </c>
      <c r="O622" t="s">
        <v>7881</v>
      </c>
      <c r="P622" t="s">
        <v>7940</v>
      </c>
      <c r="Q622" t="s">
        <v>63</v>
      </c>
      <c r="R622" t="s">
        <v>33</v>
      </c>
      <c r="S622" t="s">
        <v>34</v>
      </c>
      <c r="T622" s="1">
        <v>552500</v>
      </c>
      <c r="U622">
        <v>0</v>
      </c>
      <c r="V622">
        <v>0</v>
      </c>
      <c r="W622" t="s">
        <v>4253</v>
      </c>
    </row>
    <row r="623" spans="1:23" x14ac:dyDescent="0.25">
      <c r="A623">
        <v>23253</v>
      </c>
      <c r="B623" t="s">
        <v>23</v>
      </c>
      <c r="D623">
        <v>631</v>
      </c>
      <c r="E623" t="s">
        <v>4254</v>
      </c>
      <c r="F623" t="s">
        <v>4255</v>
      </c>
      <c r="G623" t="s">
        <v>4256</v>
      </c>
      <c r="H623" t="s">
        <v>4257</v>
      </c>
      <c r="I623" t="s">
        <v>4258</v>
      </c>
      <c r="J623" t="s">
        <v>28</v>
      </c>
      <c r="K623" t="s">
        <v>4259</v>
      </c>
      <c r="L623" t="s">
        <v>43</v>
      </c>
      <c r="M623" s="2" t="s">
        <v>4260</v>
      </c>
      <c r="N623" t="s">
        <v>31</v>
      </c>
      <c r="O623" t="s">
        <v>7879</v>
      </c>
      <c r="P623" t="s">
        <v>8028</v>
      </c>
      <c r="Q623" t="s">
        <v>63</v>
      </c>
      <c r="R623" t="s">
        <v>33</v>
      </c>
      <c r="S623" t="s">
        <v>34</v>
      </c>
      <c r="T623" s="1">
        <v>195000</v>
      </c>
      <c r="U623">
        <v>0</v>
      </c>
      <c r="V623">
        <v>0</v>
      </c>
      <c r="W623" t="s">
        <v>4261</v>
      </c>
    </row>
    <row r="624" spans="1:23" x14ac:dyDescent="0.25">
      <c r="A624">
        <v>19431</v>
      </c>
      <c r="B624" t="s">
        <v>23</v>
      </c>
      <c r="D624">
        <v>632</v>
      </c>
      <c r="E624" t="s">
        <v>4262</v>
      </c>
      <c r="F624" t="s">
        <v>1998</v>
      </c>
      <c r="G624" t="s">
        <v>465</v>
      </c>
      <c r="H624" t="s">
        <v>196</v>
      </c>
      <c r="I624" t="s">
        <v>4263</v>
      </c>
      <c r="J624" t="s">
        <v>53</v>
      </c>
      <c r="K624" t="s">
        <v>4264</v>
      </c>
      <c r="L624" t="s">
        <v>43</v>
      </c>
      <c r="M624" s="2" t="s">
        <v>4265</v>
      </c>
      <c r="N624" t="s">
        <v>31</v>
      </c>
      <c r="O624" t="s">
        <v>7881</v>
      </c>
      <c r="P624" t="s">
        <v>7981</v>
      </c>
      <c r="Q624" t="s">
        <v>46</v>
      </c>
      <c r="R624" t="s">
        <v>33</v>
      </c>
      <c r="S624" t="s">
        <v>34</v>
      </c>
      <c r="T624" s="1">
        <v>552500</v>
      </c>
      <c r="U624">
        <v>0</v>
      </c>
      <c r="V624">
        <v>0</v>
      </c>
      <c r="W624" t="s">
        <v>4266</v>
      </c>
    </row>
    <row r="625" spans="1:23" x14ac:dyDescent="0.25">
      <c r="A625">
        <v>18663</v>
      </c>
      <c r="B625" t="s">
        <v>23</v>
      </c>
      <c r="D625">
        <v>633</v>
      </c>
      <c r="E625" t="s">
        <v>4267</v>
      </c>
      <c r="F625" t="s">
        <v>4268</v>
      </c>
      <c r="G625" t="s">
        <v>522</v>
      </c>
      <c r="H625" t="s">
        <v>599</v>
      </c>
      <c r="I625" t="s">
        <v>7966</v>
      </c>
      <c r="J625" t="s">
        <v>28</v>
      </c>
      <c r="K625" t="s">
        <v>4269</v>
      </c>
      <c r="L625" t="s">
        <v>43</v>
      </c>
      <c r="M625" s="2" t="s">
        <v>4270</v>
      </c>
      <c r="N625" t="s">
        <v>31</v>
      </c>
      <c r="O625" t="s">
        <v>7886</v>
      </c>
      <c r="P625" t="s">
        <v>7940</v>
      </c>
      <c r="Q625" t="s">
        <v>63</v>
      </c>
      <c r="R625" t="s">
        <v>33</v>
      </c>
      <c r="S625" t="s">
        <v>34</v>
      </c>
      <c r="T625" s="1">
        <v>812500</v>
      </c>
      <c r="U625">
        <v>0</v>
      </c>
      <c r="V625" s="1">
        <v>162500</v>
      </c>
      <c r="W625" t="s">
        <v>4271</v>
      </c>
    </row>
    <row r="626" spans="1:23" x14ac:dyDescent="0.25">
      <c r="A626">
        <v>24285</v>
      </c>
      <c r="B626" t="s">
        <v>23</v>
      </c>
      <c r="D626">
        <v>634</v>
      </c>
      <c r="E626" t="s">
        <v>4272</v>
      </c>
      <c r="F626" t="s">
        <v>4273</v>
      </c>
      <c r="G626" t="s">
        <v>4274</v>
      </c>
      <c r="H626" t="s">
        <v>4275</v>
      </c>
      <c r="I626" t="s">
        <v>4276</v>
      </c>
      <c r="J626" t="s">
        <v>28</v>
      </c>
      <c r="K626" t="s">
        <v>4277</v>
      </c>
      <c r="L626" t="s">
        <v>43</v>
      </c>
      <c r="M626" s="2" t="s">
        <v>4278</v>
      </c>
      <c r="N626" t="s">
        <v>31</v>
      </c>
      <c r="O626" t="s">
        <v>7879</v>
      </c>
      <c r="P626" t="s">
        <v>8028</v>
      </c>
      <c r="Q626" t="s">
        <v>63</v>
      </c>
      <c r="R626" t="s">
        <v>33</v>
      </c>
      <c r="S626" t="s">
        <v>34</v>
      </c>
      <c r="T626" s="1">
        <v>195000</v>
      </c>
      <c r="U626">
        <v>0</v>
      </c>
      <c r="V626">
        <v>0</v>
      </c>
      <c r="W626" t="s">
        <v>4279</v>
      </c>
    </row>
    <row r="627" spans="1:23" x14ac:dyDescent="0.25">
      <c r="A627">
        <v>3705</v>
      </c>
      <c r="B627" t="s">
        <v>23</v>
      </c>
      <c r="D627">
        <v>635</v>
      </c>
      <c r="E627" t="s">
        <v>4280</v>
      </c>
      <c r="F627" t="s">
        <v>4281</v>
      </c>
      <c r="G627" t="s">
        <v>4282</v>
      </c>
      <c r="H627" t="s">
        <v>4283</v>
      </c>
      <c r="I627" t="s">
        <v>4284</v>
      </c>
      <c r="J627" t="s">
        <v>53</v>
      </c>
      <c r="K627" t="s">
        <v>4285</v>
      </c>
      <c r="L627" t="s">
        <v>43</v>
      </c>
      <c r="M627" s="2" t="s">
        <v>4286</v>
      </c>
      <c r="N627" t="s">
        <v>31</v>
      </c>
      <c r="O627" t="s">
        <v>7886</v>
      </c>
      <c r="P627" t="s">
        <v>7981</v>
      </c>
      <c r="Q627" t="s">
        <v>63</v>
      </c>
      <c r="R627" t="s">
        <v>33</v>
      </c>
      <c r="S627" t="s">
        <v>34</v>
      </c>
      <c r="T627" s="1">
        <v>812500</v>
      </c>
      <c r="U627">
        <v>0</v>
      </c>
      <c r="V627" s="1">
        <v>162500</v>
      </c>
      <c r="W627" t="s">
        <v>4287</v>
      </c>
    </row>
    <row r="628" spans="1:23" x14ac:dyDescent="0.25">
      <c r="A628">
        <v>19646</v>
      </c>
      <c r="B628" t="s">
        <v>23</v>
      </c>
      <c r="D628">
        <v>636</v>
      </c>
      <c r="E628" t="s">
        <v>4288</v>
      </c>
      <c r="F628" t="s">
        <v>4289</v>
      </c>
      <c r="G628" t="s">
        <v>4290</v>
      </c>
      <c r="H628" t="s">
        <v>4291</v>
      </c>
      <c r="I628" t="s">
        <v>4292</v>
      </c>
      <c r="J628" t="s">
        <v>53</v>
      </c>
      <c r="K628" t="s">
        <v>4293</v>
      </c>
      <c r="L628" t="s">
        <v>43</v>
      </c>
      <c r="M628" s="2" t="s">
        <v>4294</v>
      </c>
      <c r="N628" t="s">
        <v>45</v>
      </c>
      <c r="O628" t="s">
        <v>7881</v>
      </c>
      <c r="P628" t="s">
        <v>7893</v>
      </c>
      <c r="Q628" t="s">
        <v>63</v>
      </c>
      <c r="R628" t="s">
        <v>33</v>
      </c>
      <c r="S628" t="s">
        <v>34</v>
      </c>
      <c r="T628" s="1">
        <v>552500</v>
      </c>
      <c r="U628">
        <v>0</v>
      </c>
      <c r="V628">
        <v>0</v>
      </c>
      <c r="W628" t="s">
        <v>4295</v>
      </c>
    </row>
    <row r="629" spans="1:23" x14ac:dyDescent="0.25">
      <c r="A629">
        <v>24418</v>
      </c>
      <c r="B629" t="s">
        <v>23</v>
      </c>
      <c r="D629">
        <v>637</v>
      </c>
      <c r="E629" t="s">
        <v>4296</v>
      </c>
      <c r="F629" t="s">
        <v>4297</v>
      </c>
      <c r="G629" t="s">
        <v>4298</v>
      </c>
      <c r="H629" t="s">
        <v>398</v>
      </c>
      <c r="I629" t="s">
        <v>4299</v>
      </c>
      <c r="J629" t="s">
        <v>28</v>
      </c>
      <c r="K629" t="s">
        <v>4300</v>
      </c>
      <c r="L629" t="s">
        <v>43</v>
      </c>
      <c r="M629" s="2" t="s">
        <v>4301</v>
      </c>
      <c r="N629" t="s">
        <v>31</v>
      </c>
      <c r="O629" t="s">
        <v>7879</v>
      </c>
      <c r="P629" t="s">
        <v>7940</v>
      </c>
      <c r="Q629" t="s">
        <v>46</v>
      </c>
      <c r="R629" t="s">
        <v>33</v>
      </c>
      <c r="S629" t="s">
        <v>34</v>
      </c>
      <c r="T629" s="1">
        <v>195000</v>
      </c>
      <c r="U629">
        <v>0</v>
      </c>
      <c r="V629">
        <v>0</v>
      </c>
      <c r="W629" t="s">
        <v>4302</v>
      </c>
    </row>
    <row r="630" spans="1:23" x14ac:dyDescent="0.25">
      <c r="A630">
        <v>11532</v>
      </c>
      <c r="B630" t="s">
        <v>23</v>
      </c>
      <c r="D630">
        <v>638</v>
      </c>
      <c r="E630" t="s">
        <v>4303</v>
      </c>
      <c r="F630" t="s">
        <v>4304</v>
      </c>
      <c r="G630" t="s">
        <v>4305</v>
      </c>
      <c r="H630" t="s">
        <v>4306</v>
      </c>
      <c r="I630" t="s">
        <v>4307</v>
      </c>
      <c r="J630" t="s">
        <v>28</v>
      </c>
      <c r="K630" t="s">
        <v>4308</v>
      </c>
      <c r="L630" t="s">
        <v>43</v>
      </c>
      <c r="M630" s="2" t="s">
        <v>4309</v>
      </c>
      <c r="N630" t="s">
        <v>31</v>
      </c>
      <c r="O630" t="s">
        <v>7881</v>
      </c>
      <c r="P630" t="s">
        <v>7893</v>
      </c>
      <c r="Q630" t="s">
        <v>46</v>
      </c>
      <c r="R630" t="s">
        <v>33</v>
      </c>
      <c r="S630" t="s">
        <v>34</v>
      </c>
      <c r="T630" s="1">
        <v>552500</v>
      </c>
      <c r="U630">
        <v>0</v>
      </c>
      <c r="V630">
        <v>0</v>
      </c>
      <c r="W630" t="s">
        <v>4310</v>
      </c>
    </row>
    <row r="631" spans="1:23" x14ac:dyDescent="0.25">
      <c r="A631">
        <v>24257</v>
      </c>
      <c r="B631" t="s">
        <v>23</v>
      </c>
      <c r="D631">
        <v>639</v>
      </c>
      <c r="E631" t="s">
        <v>4311</v>
      </c>
      <c r="F631" t="s">
        <v>2019</v>
      </c>
      <c r="G631" t="s">
        <v>91</v>
      </c>
      <c r="H631" t="s">
        <v>3659</v>
      </c>
      <c r="I631" t="s">
        <v>4312</v>
      </c>
      <c r="J631" t="s">
        <v>28</v>
      </c>
      <c r="K631" t="s">
        <v>4313</v>
      </c>
      <c r="L631" t="s">
        <v>43</v>
      </c>
      <c r="M631" s="2" t="s">
        <v>4314</v>
      </c>
      <c r="N631" t="s">
        <v>31</v>
      </c>
      <c r="O631" t="s">
        <v>7879</v>
      </c>
      <c r="P631" t="s">
        <v>7893</v>
      </c>
      <c r="Q631" t="s">
        <v>46</v>
      </c>
      <c r="R631" t="s">
        <v>33</v>
      </c>
      <c r="S631" t="s">
        <v>34</v>
      </c>
      <c r="T631" s="1">
        <v>195000</v>
      </c>
      <c r="U631">
        <v>0</v>
      </c>
      <c r="V631">
        <v>0</v>
      </c>
      <c r="W631" t="s">
        <v>4315</v>
      </c>
    </row>
    <row r="632" spans="1:23" x14ac:dyDescent="0.25">
      <c r="A632">
        <v>20475</v>
      </c>
      <c r="B632" t="s">
        <v>23</v>
      </c>
      <c r="D632">
        <v>640</v>
      </c>
      <c r="E632" t="s">
        <v>4316</v>
      </c>
      <c r="F632" t="s">
        <v>4317</v>
      </c>
      <c r="G632" t="s">
        <v>4318</v>
      </c>
      <c r="H632" t="s">
        <v>4319</v>
      </c>
      <c r="I632" t="s">
        <v>3403</v>
      </c>
      <c r="J632" t="s">
        <v>28</v>
      </c>
      <c r="K632" t="s">
        <v>3403</v>
      </c>
      <c r="L632" t="s">
        <v>43</v>
      </c>
      <c r="M632" s="2" t="s">
        <v>4320</v>
      </c>
      <c r="N632" t="s">
        <v>31</v>
      </c>
      <c r="O632" t="s">
        <v>7881</v>
      </c>
      <c r="P632" t="s">
        <v>7940</v>
      </c>
      <c r="Q632" t="s">
        <v>46</v>
      </c>
      <c r="R632" t="s">
        <v>33</v>
      </c>
      <c r="S632" t="s">
        <v>34</v>
      </c>
      <c r="T632" s="1">
        <v>552500</v>
      </c>
      <c r="U632">
        <v>0</v>
      </c>
      <c r="V632">
        <v>0</v>
      </c>
      <c r="W632" t="s">
        <v>4321</v>
      </c>
    </row>
    <row r="633" spans="1:23" x14ac:dyDescent="0.25">
      <c r="A633">
        <v>20052</v>
      </c>
      <c r="B633" t="s">
        <v>23</v>
      </c>
      <c r="D633">
        <v>641</v>
      </c>
      <c r="E633" t="s">
        <v>4322</v>
      </c>
      <c r="F633" t="s">
        <v>4323</v>
      </c>
      <c r="G633" t="s">
        <v>4324</v>
      </c>
      <c r="H633" t="s">
        <v>196</v>
      </c>
      <c r="I633" t="s">
        <v>4325</v>
      </c>
      <c r="J633" t="s">
        <v>53</v>
      </c>
      <c r="K633" t="s">
        <v>4326</v>
      </c>
      <c r="L633" t="s">
        <v>43</v>
      </c>
      <c r="M633" s="2" t="s">
        <v>4327</v>
      </c>
      <c r="N633" t="s">
        <v>31</v>
      </c>
      <c r="O633" t="s">
        <v>7881</v>
      </c>
      <c r="P633" t="s">
        <v>7980</v>
      </c>
      <c r="Q633" t="s">
        <v>46</v>
      </c>
      <c r="R633" t="s">
        <v>33</v>
      </c>
      <c r="S633" t="s">
        <v>34</v>
      </c>
      <c r="T633" s="1">
        <v>552500</v>
      </c>
      <c r="U633" s="1">
        <v>110500</v>
      </c>
      <c r="V633">
        <v>0</v>
      </c>
      <c r="W633" t="s">
        <v>4328</v>
      </c>
    </row>
    <row r="634" spans="1:23" x14ac:dyDescent="0.25">
      <c r="A634">
        <v>6019</v>
      </c>
      <c r="B634" t="s">
        <v>23</v>
      </c>
      <c r="D634">
        <v>642</v>
      </c>
      <c r="E634" t="s">
        <v>4329</v>
      </c>
      <c r="F634" t="s">
        <v>4330</v>
      </c>
      <c r="G634" t="s">
        <v>4331</v>
      </c>
      <c r="H634" t="s">
        <v>4332</v>
      </c>
      <c r="I634" t="s">
        <v>4333</v>
      </c>
      <c r="J634" t="s">
        <v>28</v>
      </c>
      <c r="K634" t="s">
        <v>4334</v>
      </c>
      <c r="L634" t="s">
        <v>43</v>
      </c>
      <c r="M634">
        <v>8052294849</v>
      </c>
      <c r="N634" t="s">
        <v>31</v>
      </c>
      <c r="O634" t="s">
        <v>7886</v>
      </c>
      <c r="P634" t="s">
        <v>7940</v>
      </c>
      <c r="Q634" t="s">
        <v>63</v>
      </c>
      <c r="R634" t="s">
        <v>33</v>
      </c>
      <c r="S634" t="s">
        <v>34</v>
      </c>
      <c r="T634" s="1">
        <v>812500</v>
      </c>
      <c r="U634">
        <v>0</v>
      </c>
      <c r="V634" s="1">
        <v>162500</v>
      </c>
      <c r="W634" t="s">
        <v>4335</v>
      </c>
    </row>
    <row r="635" spans="1:23" x14ac:dyDescent="0.25">
      <c r="A635">
        <v>7851</v>
      </c>
      <c r="B635" t="s">
        <v>23</v>
      </c>
      <c r="D635">
        <v>643</v>
      </c>
      <c r="E635" t="s">
        <v>4336</v>
      </c>
      <c r="F635" t="s">
        <v>4337</v>
      </c>
      <c r="G635" t="s">
        <v>4338</v>
      </c>
      <c r="H635" t="s">
        <v>4339</v>
      </c>
      <c r="I635" t="s">
        <v>4340</v>
      </c>
      <c r="J635" t="s">
        <v>53</v>
      </c>
      <c r="K635" t="s">
        <v>4341</v>
      </c>
      <c r="L635" t="s">
        <v>43</v>
      </c>
      <c r="M635" s="2" t="s">
        <v>4342</v>
      </c>
      <c r="N635" t="s">
        <v>31</v>
      </c>
      <c r="O635" t="s">
        <v>7886</v>
      </c>
      <c r="P635" t="s">
        <v>7894</v>
      </c>
      <c r="Q635" t="s">
        <v>63</v>
      </c>
      <c r="R635" t="s">
        <v>33</v>
      </c>
      <c r="S635" t="s">
        <v>34</v>
      </c>
      <c r="T635" s="1">
        <v>812500</v>
      </c>
      <c r="U635">
        <v>0</v>
      </c>
      <c r="V635" s="1">
        <v>162500</v>
      </c>
      <c r="W635" t="s">
        <v>4343</v>
      </c>
    </row>
    <row r="636" spans="1:23" x14ac:dyDescent="0.25">
      <c r="A636">
        <v>24461</v>
      </c>
      <c r="B636" t="s">
        <v>23</v>
      </c>
      <c r="D636">
        <v>644</v>
      </c>
      <c r="E636" t="s">
        <v>4344</v>
      </c>
      <c r="F636" t="s">
        <v>4345</v>
      </c>
      <c r="G636" t="s">
        <v>4346</v>
      </c>
      <c r="I636" t="s">
        <v>4347</v>
      </c>
      <c r="J636" t="s">
        <v>53</v>
      </c>
      <c r="K636" t="s">
        <v>4348</v>
      </c>
      <c r="L636" t="s">
        <v>43</v>
      </c>
      <c r="M636">
        <v>2348039893955</v>
      </c>
      <c r="N636" t="s">
        <v>31</v>
      </c>
      <c r="O636" t="s">
        <v>7879</v>
      </c>
      <c r="P636" t="s">
        <v>7893</v>
      </c>
      <c r="Q636" t="s">
        <v>46</v>
      </c>
      <c r="R636" t="s">
        <v>33</v>
      </c>
      <c r="S636" t="s">
        <v>34</v>
      </c>
      <c r="T636" s="1">
        <v>195000</v>
      </c>
      <c r="U636">
        <v>0</v>
      </c>
      <c r="V636">
        <v>0</v>
      </c>
      <c r="W636" t="s">
        <v>4349</v>
      </c>
    </row>
    <row r="637" spans="1:23" x14ac:dyDescent="0.25">
      <c r="A637">
        <v>24352</v>
      </c>
      <c r="B637" t="s">
        <v>23</v>
      </c>
      <c r="D637">
        <v>645</v>
      </c>
      <c r="E637" t="s">
        <v>4350</v>
      </c>
      <c r="F637" t="s">
        <v>4351</v>
      </c>
      <c r="G637" t="s">
        <v>4032</v>
      </c>
      <c r="H637" t="s">
        <v>4352</v>
      </c>
      <c r="I637" t="s">
        <v>4353</v>
      </c>
      <c r="J637" t="s">
        <v>28</v>
      </c>
      <c r="K637" t="s">
        <v>1193</v>
      </c>
      <c r="L637" t="s">
        <v>43</v>
      </c>
      <c r="M637" s="2" t="s">
        <v>4354</v>
      </c>
      <c r="N637" t="s">
        <v>31</v>
      </c>
      <c r="O637" t="s">
        <v>7879</v>
      </c>
      <c r="P637" t="s">
        <v>7940</v>
      </c>
      <c r="Q637" t="s">
        <v>63</v>
      </c>
      <c r="R637" t="s">
        <v>33</v>
      </c>
      <c r="S637" t="s">
        <v>34</v>
      </c>
      <c r="T637" s="1">
        <v>195000</v>
      </c>
      <c r="U637">
        <v>0</v>
      </c>
      <c r="V637">
        <v>0</v>
      </c>
      <c r="W637" t="s">
        <v>4355</v>
      </c>
    </row>
    <row r="638" spans="1:23" x14ac:dyDescent="0.25">
      <c r="A638">
        <v>8356</v>
      </c>
      <c r="B638" t="s">
        <v>23</v>
      </c>
      <c r="D638">
        <v>646</v>
      </c>
      <c r="E638" t="s">
        <v>4356</v>
      </c>
      <c r="F638" t="s">
        <v>4357</v>
      </c>
      <c r="G638" t="s">
        <v>4358</v>
      </c>
      <c r="H638" t="s">
        <v>672</v>
      </c>
      <c r="I638" t="s">
        <v>4359</v>
      </c>
      <c r="J638" t="s">
        <v>53</v>
      </c>
      <c r="K638" t="s">
        <v>4360</v>
      </c>
      <c r="L638" t="s">
        <v>43</v>
      </c>
      <c r="M638">
        <v>8137580868</v>
      </c>
      <c r="N638" t="s">
        <v>31</v>
      </c>
      <c r="O638" t="s">
        <v>7886</v>
      </c>
      <c r="P638" t="s">
        <v>7894</v>
      </c>
      <c r="Q638" t="s">
        <v>63</v>
      </c>
      <c r="R638" t="s">
        <v>33</v>
      </c>
      <c r="S638" t="s">
        <v>34</v>
      </c>
      <c r="T638" s="1">
        <v>812500</v>
      </c>
      <c r="U638">
        <v>0</v>
      </c>
      <c r="V638" s="1">
        <v>162500</v>
      </c>
      <c r="W638" t="s">
        <v>4361</v>
      </c>
    </row>
    <row r="639" spans="1:23" x14ac:dyDescent="0.25">
      <c r="A639">
        <v>1587</v>
      </c>
      <c r="B639" t="s">
        <v>1627</v>
      </c>
      <c r="C639" t="s">
        <v>4362</v>
      </c>
      <c r="D639">
        <v>647</v>
      </c>
      <c r="E639" t="s">
        <v>4363</v>
      </c>
      <c r="F639" t="s">
        <v>4364</v>
      </c>
      <c r="G639" t="s">
        <v>398</v>
      </c>
      <c r="H639" t="s">
        <v>4365</v>
      </c>
      <c r="I639" t="s">
        <v>8011</v>
      </c>
      <c r="J639" t="s">
        <v>28</v>
      </c>
      <c r="K639" t="s">
        <v>4366</v>
      </c>
      <c r="L639" t="s">
        <v>43</v>
      </c>
      <c r="M639">
        <v>8063154378</v>
      </c>
      <c r="N639" t="s">
        <v>31</v>
      </c>
      <c r="O639" t="s">
        <v>7886</v>
      </c>
      <c r="P639" t="s">
        <v>7981</v>
      </c>
      <c r="Q639" t="s">
        <v>46</v>
      </c>
      <c r="R639" t="s">
        <v>33</v>
      </c>
      <c r="S639" t="s">
        <v>34</v>
      </c>
      <c r="T639" s="1">
        <v>812500</v>
      </c>
      <c r="U639">
        <v>0</v>
      </c>
      <c r="V639" s="1">
        <v>162500</v>
      </c>
      <c r="W639" t="s">
        <v>4367</v>
      </c>
    </row>
    <row r="640" spans="1:23" x14ac:dyDescent="0.25">
      <c r="A640">
        <v>19353</v>
      </c>
      <c r="B640" t="s">
        <v>23</v>
      </c>
      <c r="D640">
        <v>648</v>
      </c>
      <c r="E640" t="s">
        <v>4368</v>
      </c>
      <c r="F640" t="s">
        <v>2385</v>
      </c>
      <c r="G640" t="s">
        <v>83</v>
      </c>
      <c r="H640" t="s">
        <v>4369</v>
      </c>
      <c r="I640" t="s">
        <v>4370</v>
      </c>
      <c r="J640" t="s">
        <v>28</v>
      </c>
      <c r="K640" t="s">
        <v>4371</v>
      </c>
      <c r="L640" t="s">
        <v>43</v>
      </c>
      <c r="M640">
        <v>2347061888558</v>
      </c>
      <c r="N640" t="s">
        <v>31</v>
      </c>
      <c r="O640" t="s">
        <v>7881</v>
      </c>
      <c r="P640" t="s">
        <v>7940</v>
      </c>
      <c r="Q640" t="s">
        <v>87</v>
      </c>
      <c r="R640" t="s">
        <v>33</v>
      </c>
      <c r="S640" t="s">
        <v>34</v>
      </c>
      <c r="T640" s="1">
        <v>552500</v>
      </c>
      <c r="U640">
        <v>0</v>
      </c>
      <c r="V640">
        <v>0</v>
      </c>
      <c r="W640" t="s">
        <v>4372</v>
      </c>
    </row>
    <row r="641" spans="1:23" x14ac:dyDescent="0.25">
      <c r="A641">
        <v>24485</v>
      </c>
      <c r="B641" t="s">
        <v>23</v>
      </c>
      <c r="D641">
        <v>649</v>
      </c>
      <c r="E641" t="s">
        <v>4373</v>
      </c>
      <c r="F641" t="s">
        <v>1353</v>
      </c>
      <c r="G641" t="s">
        <v>4374</v>
      </c>
      <c r="H641" t="s">
        <v>607</v>
      </c>
      <c r="I641" t="s">
        <v>7967</v>
      </c>
      <c r="J641" t="s">
        <v>28</v>
      </c>
      <c r="K641" t="s">
        <v>4375</v>
      </c>
      <c r="L641" t="s">
        <v>43</v>
      </c>
      <c r="M641" s="2" t="s">
        <v>4376</v>
      </c>
      <c r="N641" t="s">
        <v>31</v>
      </c>
      <c r="O641" t="s">
        <v>7881</v>
      </c>
      <c r="P641" t="s">
        <v>7940</v>
      </c>
      <c r="Q641" t="s">
        <v>87</v>
      </c>
      <c r="R641" t="s">
        <v>33</v>
      </c>
      <c r="S641" t="s">
        <v>34</v>
      </c>
      <c r="T641" s="1">
        <v>552500</v>
      </c>
      <c r="U641">
        <v>0</v>
      </c>
      <c r="V641">
        <v>0</v>
      </c>
      <c r="W641" t="s">
        <v>4377</v>
      </c>
    </row>
    <row r="642" spans="1:23" x14ac:dyDescent="0.25">
      <c r="A642">
        <v>10944</v>
      </c>
      <c r="B642" t="s">
        <v>23</v>
      </c>
      <c r="D642">
        <v>650</v>
      </c>
      <c r="E642" t="s">
        <v>4378</v>
      </c>
      <c r="F642" t="s">
        <v>4379</v>
      </c>
      <c r="G642" t="s">
        <v>4380</v>
      </c>
      <c r="H642" t="s">
        <v>6813</v>
      </c>
      <c r="I642" t="s">
        <v>4381</v>
      </c>
      <c r="J642" t="s">
        <v>28</v>
      </c>
      <c r="K642" t="s">
        <v>4382</v>
      </c>
      <c r="L642" t="s">
        <v>43</v>
      </c>
      <c r="M642" s="2" t="s">
        <v>4383</v>
      </c>
      <c r="N642" t="s">
        <v>31</v>
      </c>
      <c r="O642" t="s">
        <v>7881</v>
      </c>
      <c r="P642" t="s">
        <v>7940</v>
      </c>
      <c r="Q642" t="s">
        <v>63</v>
      </c>
      <c r="R642" t="s">
        <v>33</v>
      </c>
      <c r="S642" t="s">
        <v>34</v>
      </c>
      <c r="T642" s="1">
        <v>552500</v>
      </c>
      <c r="U642">
        <v>0</v>
      </c>
      <c r="V642">
        <v>0</v>
      </c>
      <c r="W642" t="s">
        <v>4384</v>
      </c>
    </row>
    <row r="643" spans="1:23" x14ac:dyDescent="0.25">
      <c r="A643">
        <v>24477</v>
      </c>
      <c r="B643" t="s">
        <v>23</v>
      </c>
      <c r="D643">
        <v>651</v>
      </c>
      <c r="E643" t="s">
        <v>4385</v>
      </c>
      <c r="F643" t="s">
        <v>4386</v>
      </c>
      <c r="G643" t="s">
        <v>4387</v>
      </c>
      <c r="H643" t="s">
        <v>4388</v>
      </c>
      <c r="I643" t="s">
        <v>4389</v>
      </c>
      <c r="J643" t="s">
        <v>28</v>
      </c>
      <c r="K643" t="s">
        <v>4390</v>
      </c>
      <c r="L643" t="s">
        <v>43</v>
      </c>
      <c r="M643" s="2" t="s">
        <v>4391</v>
      </c>
      <c r="N643" t="s">
        <v>31</v>
      </c>
      <c r="O643" t="s">
        <v>7879</v>
      </c>
      <c r="P643" t="s">
        <v>7893</v>
      </c>
      <c r="Q643" t="s">
        <v>46</v>
      </c>
      <c r="R643" t="s">
        <v>33</v>
      </c>
      <c r="S643" t="s">
        <v>34</v>
      </c>
      <c r="T643" s="1">
        <v>195000</v>
      </c>
      <c r="U643">
        <v>0</v>
      </c>
      <c r="V643">
        <v>0</v>
      </c>
      <c r="W643" t="s">
        <v>4392</v>
      </c>
    </row>
    <row r="644" spans="1:23" x14ac:dyDescent="0.25">
      <c r="A644">
        <v>21280</v>
      </c>
      <c r="B644" t="s">
        <v>23</v>
      </c>
      <c r="D644">
        <v>652</v>
      </c>
      <c r="E644" t="s">
        <v>4393</v>
      </c>
      <c r="F644" t="s">
        <v>4394</v>
      </c>
      <c r="G644" t="s">
        <v>4395</v>
      </c>
      <c r="H644" t="s">
        <v>515</v>
      </c>
      <c r="I644" t="s">
        <v>8031</v>
      </c>
      <c r="J644" t="s">
        <v>28</v>
      </c>
      <c r="K644" t="s">
        <v>8031</v>
      </c>
      <c r="L644" t="s">
        <v>43</v>
      </c>
      <c r="M644" s="2" t="s">
        <v>4396</v>
      </c>
      <c r="N644" t="s">
        <v>31</v>
      </c>
      <c r="O644" t="s">
        <v>7881</v>
      </c>
      <c r="P644" t="s">
        <v>8028</v>
      </c>
      <c r="Q644" t="s">
        <v>63</v>
      </c>
      <c r="R644" t="s">
        <v>33</v>
      </c>
      <c r="S644" t="s">
        <v>34</v>
      </c>
      <c r="T644" s="1">
        <v>552500</v>
      </c>
      <c r="U644">
        <v>0</v>
      </c>
      <c r="V644">
        <v>0</v>
      </c>
      <c r="W644" t="s">
        <v>4397</v>
      </c>
    </row>
    <row r="645" spans="1:23" x14ac:dyDescent="0.25">
      <c r="A645">
        <v>24433</v>
      </c>
      <c r="B645" t="s">
        <v>23</v>
      </c>
      <c r="D645">
        <v>653</v>
      </c>
      <c r="E645" t="s">
        <v>4398</v>
      </c>
      <c r="F645" t="s">
        <v>570</v>
      </c>
      <c r="G645" t="s">
        <v>4399</v>
      </c>
      <c r="H645" t="s">
        <v>4400</v>
      </c>
      <c r="I645" t="s">
        <v>4401</v>
      </c>
      <c r="J645" t="s">
        <v>53</v>
      </c>
      <c r="K645" t="s">
        <v>4402</v>
      </c>
      <c r="L645" t="s">
        <v>43</v>
      </c>
      <c r="M645" s="2" t="s">
        <v>4403</v>
      </c>
      <c r="N645" t="s">
        <v>31</v>
      </c>
      <c r="O645" t="s">
        <v>7879</v>
      </c>
      <c r="P645" t="s">
        <v>7940</v>
      </c>
      <c r="Q645" t="s">
        <v>46</v>
      </c>
      <c r="R645" t="s">
        <v>33</v>
      </c>
      <c r="S645" t="s">
        <v>34</v>
      </c>
      <c r="T645" s="1">
        <v>195000</v>
      </c>
      <c r="U645">
        <v>0</v>
      </c>
      <c r="V645">
        <v>0</v>
      </c>
      <c r="W645" t="s">
        <v>4404</v>
      </c>
    </row>
    <row r="646" spans="1:23" x14ac:dyDescent="0.25">
      <c r="A646">
        <v>24092</v>
      </c>
      <c r="B646" t="s">
        <v>23</v>
      </c>
      <c r="D646">
        <v>654</v>
      </c>
      <c r="E646" t="s">
        <v>4405</v>
      </c>
      <c r="F646" t="s">
        <v>6815</v>
      </c>
      <c r="G646" t="s">
        <v>4406</v>
      </c>
      <c r="H646" t="s">
        <v>6814</v>
      </c>
      <c r="I646" t="s">
        <v>4407</v>
      </c>
      <c r="J646" t="s">
        <v>28</v>
      </c>
      <c r="K646" t="s">
        <v>4408</v>
      </c>
      <c r="L646" t="s">
        <v>43</v>
      </c>
      <c r="M646" s="2" t="s">
        <v>4409</v>
      </c>
      <c r="N646" t="s">
        <v>31</v>
      </c>
      <c r="O646" t="s">
        <v>7879</v>
      </c>
      <c r="P646" t="s">
        <v>7893</v>
      </c>
      <c r="Q646" t="s">
        <v>46</v>
      </c>
      <c r="R646" t="s">
        <v>33</v>
      </c>
      <c r="S646" t="s">
        <v>34</v>
      </c>
      <c r="T646" s="1">
        <v>195000</v>
      </c>
      <c r="U646">
        <v>0</v>
      </c>
      <c r="V646">
        <v>0</v>
      </c>
      <c r="W646" t="s">
        <v>4410</v>
      </c>
    </row>
    <row r="647" spans="1:23" x14ac:dyDescent="0.25">
      <c r="A647">
        <v>24160</v>
      </c>
      <c r="B647" t="s">
        <v>23</v>
      </c>
      <c r="D647">
        <v>655</v>
      </c>
      <c r="E647" s="11" t="s">
        <v>4411</v>
      </c>
      <c r="F647" t="s">
        <v>233</v>
      </c>
      <c r="G647" t="s">
        <v>4412</v>
      </c>
      <c r="I647" t="s">
        <v>4413</v>
      </c>
      <c r="J647" t="s">
        <v>28</v>
      </c>
      <c r="K647" t="s">
        <v>4414</v>
      </c>
      <c r="L647" t="s">
        <v>43</v>
      </c>
      <c r="M647">
        <v>2349039912222</v>
      </c>
      <c r="N647" t="s">
        <v>31</v>
      </c>
      <c r="O647" t="s">
        <v>7879</v>
      </c>
      <c r="P647" t="s">
        <v>7981</v>
      </c>
      <c r="Q647" t="s">
        <v>46</v>
      </c>
      <c r="R647" t="s">
        <v>33</v>
      </c>
      <c r="S647" t="s">
        <v>34</v>
      </c>
      <c r="T647" s="1">
        <v>195000</v>
      </c>
      <c r="U647">
        <v>0</v>
      </c>
      <c r="V647">
        <v>0</v>
      </c>
      <c r="W647" t="s">
        <v>4415</v>
      </c>
    </row>
    <row r="648" spans="1:23" x14ac:dyDescent="0.25">
      <c r="A648">
        <v>18884</v>
      </c>
      <c r="B648" t="s">
        <v>23</v>
      </c>
      <c r="D648">
        <v>656</v>
      </c>
      <c r="E648" t="s">
        <v>4416</v>
      </c>
      <c r="F648" t="s">
        <v>4417</v>
      </c>
      <c r="G648" t="s">
        <v>4418</v>
      </c>
      <c r="I648" t="s">
        <v>4419</v>
      </c>
      <c r="J648" t="s">
        <v>28</v>
      </c>
      <c r="K648" t="s">
        <v>4419</v>
      </c>
      <c r="L648" t="s">
        <v>30</v>
      </c>
      <c r="M648">
        <v>2203200029</v>
      </c>
      <c r="N648" t="s">
        <v>31</v>
      </c>
      <c r="O648" t="s">
        <v>7881</v>
      </c>
      <c r="P648" t="s">
        <v>7940</v>
      </c>
      <c r="Q648" t="s">
        <v>32</v>
      </c>
      <c r="R648" t="s">
        <v>130</v>
      </c>
      <c r="S648" t="s">
        <v>131</v>
      </c>
      <c r="T648">
        <v>425</v>
      </c>
      <c r="U648">
        <v>0</v>
      </c>
      <c r="V648">
        <v>0</v>
      </c>
      <c r="W648" t="s">
        <v>4420</v>
      </c>
    </row>
    <row r="649" spans="1:23" x14ac:dyDescent="0.25">
      <c r="A649">
        <v>18821</v>
      </c>
      <c r="B649" t="s">
        <v>23</v>
      </c>
      <c r="D649">
        <v>657</v>
      </c>
      <c r="E649" t="s">
        <v>4421</v>
      </c>
      <c r="F649" t="s">
        <v>4422</v>
      </c>
      <c r="G649" t="s">
        <v>4423</v>
      </c>
      <c r="I649">
        <v>2203623769</v>
      </c>
      <c r="J649" t="s">
        <v>53</v>
      </c>
      <c r="K649" t="s">
        <v>4424</v>
      </c>
      <c r="L649" t="s">
        <v>30</v>
      </c>
      <c r="M649">
        <v>2207261567</v>
      </c>
      <c r="N649" t="s">
        <v>31</v>
      </c>
      <c r="O649" t="s">
        <v>7881</v>
      </c>
      <c r="P649" t="s">
        <v>7940</v>
      </c>
      <c r="Q649" t="s">
        <v>455</v>
      </c>
      <c r="R649" t="s">
        <v>33</v>
      </c>
      <c r="S649" t="s">
        <v>34</v>
      </c>
      <c r="T649" s="1">
        <v>552500</v>
      </c>
      <c r="U649">
        <v>0</v>
      </c>
      <c r="V649">
        <v>0</v>
      </c>
      <c r="W649" t="s">
        <v>4425</v>
      </c>
    </row>
    <row r="650" spans="1:23" x14ac:dyDescent="0.25">
      <c r="A650">
        <v>9387</v>
      </c>
      <c r="B650" t="s">
        <v>23</v>
      </c>
      <c r="D650">
        <v>658</v>
      </c>
      <c r="E650" t="s">
        <v>4426</v>
      </c>
      <c r="F650" t="s">
        <v>4427</v>
      </c>
      <c r="G650" t="s">
        <v>4428</v>
      </c>
      <c r="H650" t="s">
        <v>4429</v>
      </c>
      <c r="I650" t="s">
        <v>4430</v>
      </c>
      <c r="J650" t="s">
        <v>28</v>
      </c>
      <c r="K650" t="s">
        <v>4431</v>
      </c>
      <c r="L650" t="s">
        <v>43</v>
      </c>
      <c r="M650">
        <v>8131642710</v>
      </c>
      <c r="N650" t="s">
        <v>31</v>
      </c>
      <c r="O650" t="s">
        <v>7881</v>
      </c>
      <c r="P650" t="s">
        <v>7981</v>
      </c>
      <c r="Q650" t="s">
        <v>46</v>
      </c>
      <c r="R650" t="s">
        <v>33</v>
      </c>
      <c r="S650" t="s">
        <v>34</v>
      </c>
      <c r="T650" s="1">
        <v>552500</v>
      </c>
      <c r="U650">
        <v>0</v>
      </c>
      <c r="V650">
        <v>0</v>
      </c>
      <c r="W650" t="s">
        <v>4432</v>
      </c>
    </row>
    <row r="651" spans="1:23" x14ac:dyDescent="0.25">
      <c r="A651">
        <v>23818</v>
      </c>
      <c r="B651" t="s">
        <v>23</v>
      </c>
      <c r="D651">
        <v>659</v>
      </c>
      <c r="E651" t="s">
        <v>4433</v>
      </c>
      <c r="F651" t="s">
        <v>4434</v>
      </c>
      <c r="G651" t="s">
        <v>1157</v>
      </c>
      <c r="H651" t="s">
        <v>4435</v>
      </c>
      <c r="I651" t="s">
        <v>4436</v>
      </c>
      <c r="J651" t="s">
        <v>53</v>
      </c>
      <c r="K651" t="s">
        <v>8032</v>
      </c>
      <c r="L651" t="s">
        <v>43</v>
      </c>
      <c r="M651" s="2" t="s">
        <v>4437</v>
      </c>
      <c r="N651" t="s">
        <v>31</v>
      </c>
      <c r="O651" t="s">
        <v>7879</v>
      </c>
      <c r="P651" t="s">
        <v>8028</v>
      </c>
      <c r="Q651" t="s">
        <v>87</v>
      </c>
      <c r="R651" t="s">
        <v>33</v>
      </c>
      <c r="S651" t="s">
        <v>34</v>
      </c>
      <c r="T651" s="1">
        <v>195000</v>
      </c>
      <c r="U651">
        <v>0</v>
      </c>
      <c r="V651">
        <v>0</v>
      </c>
      <c r="W651" t="s">
        <v>4438</v>
      </c>
    </row>
    <row r="652" spans="1:23" x14ac:dyDescent="0.25">
      <c r="A652">
        <v>22401</v>
      </c>
      <c r="B652" t="s">
        <v>23</v>
      </c>
      <c r="D652">
        <v>660</v>
      </c>
      <c r="E652" t="s">
        <v>4439</v>
      </c>
      <c r="F652" t="s">
        <v>4440</v>
      </c>
      <c r="G652" t="s">
        <v>2559</v>
      </c>
      <c r="H652" t="s">
        <v>4441</v>
      </c>
      <c r="I652" t="s">
        <v>4442</v>
      </c>
      <c r="J652" t="s">
        <v>28</v>
      </c>
      <c r="K652" t="s">
        <v>4443</v>
      </c>
      <c r="L652" t="s">
        <v>43</v>
      </c>
      <c r="M652" s="2" t="s">
        <v>4444</v>
      </c>
      <c r="N652" t="s">
        <v>45</v>
      </c>
      <c r="O652" t="s">
        <v>7879</v>
      </c>
      <c r="P652" t="s">
        <v>7893</v>
      </c>
      <c r="Q652" t="s">
        <v>87</v>
      </c>
      <c r="R652" t="s">
        <v>33</v>
      </c>
      <c r="S652" t="s">
        <v>34</v>
      </c>
      <c r="T652" s="1">
        <v>195000</v>
      </c>
      <c r="U652">
        <v>0</v>
      </c>
      <c r="V652">
        <v>0</v>
      </c>
      <c r="W652" t="s">
        <v>4445</v>
      </c>
    </row>
    <row r="653" spans="1:23" x14ac:dyDescent="0.25">
      <c r="A653">
        <v>17960</v>
      </c>
      <c r="B653" t="s">
        <v>23</v>
      </c>
      <c r="D653">
        <v>662</v>
      </c>
      <c r="E653" t="s">
        <v>4447</v>
      </c>
      <c r="F653" t="s">
        <v>4448</v>
      </c>
      <c r="G653" t="s">
        <v>4449</v>
      </c>
      <c r="H653" t="s">
        <v>599</v>
      </c>
      <c r="I653" t="s">
        <v>4450</v>
      </c>
      <c r="J653" t="s">
        <v>28</v>
      </c>
      <c r="K653" t="s">
        <v>4451</v>
      </c>
      <c r="L653" t="s">
        <v>43</v>
      </c>
      <c r="M653" s="2" t="s">
        <v>4452</v>
      </c>
      <c r="N653" t="s">
        <v>31</v>
      </c>
      <c r="O653" t="s">
        <v>7881</v>
      </c>
      <c r="P653" t="s">
        <v>7940</v>
      </c>
      <c r="Q653" t="s">
        <v>63</v>
      </c>
      <c r="R653" t="s">
        <v>33</v>
      </c>
      <c r="S653" t="s">
        <v>34</v>
      </c>
      <c r="T653" s="1">
        <v>552500</v>
      </c>
      <c r="U653">
        <v>0</v>
      </c>
      <c r="V653">
        <v>0</v>
      </c>
      <c r="W653" t="s">
        <v>4453</v>
      </c>
    </row>
    <row r="654" spans="1:23" x14ac:dyDescent="0.25">
      <c r="A654">
        <v>11183</v>
      </c>
      <c r="B654" t="s">
        <v>23</v>
      </c>
      <c r="D654">
        <v>663</v>
      </c>
      <c r="E654" t="s">
        <v>4454</v>
      </c>
      <c r="F654" t="s">
        <v>4455</v>
      </c>
      <c r="G654" t="s">
        <v>1668</v>
      </c>
      <c r="H654" t="s">
        <v>361</v>
      </c>
      <c r="I654" t="s">
        <v>4456</v>
      </c>
      <c r="J654" t="s">
        <v>53</v>
      </c>
      <c r="K654" t="s">
        <v>4457</v>
      </c>
      <c r="L654" t="s">
        <v>43</v>
      </c>
      <c r="M654">
        <v>8035333504</v>
      </c>
      <c r="N654" t="s">
        <v>45</v>
      </c>
      <c r="O654" t="s">
        <v>7879</v>
      </c>
      <c r="P654" t="s">
        <v>7893</v>
      </c>
      <c r="Q654" t="s">
        <v>46</v>
      </c>
      <c r="R654" t="s">
        <v>33</v>
      </c>
      <c r="S654" t="s">
        <v>34</v>
      </c>
      <c r="T654" s="1">
        <v>195000</v>
      </c>
      <c r="U654">
        <v>0</v>
      </c>
      <c r="V654">
        <v>0</v>
      </c>
      <c r="W654" t="s">
        <v>4458</v>
      </c>
    </row>
    <row r="655" spans="1:23" x14ac:dyDescent="0.25">
      <c r="A655">
        <v>24067</v>
      </c>
      <c r="B655" t="s">
        <v>23</v>
      </c>
      <c r="D655">
        <v>664</v>
      </c>
      <c r="E655" t="s">
        <v>4459</v>
      </c>
      <c r="F655" t="s">
        <v>4460</v>
      </c>
      <c r="G655" t="s">
        <v>4461</v>
      </c>
      <c r="H655" t="s">
        <v>4462</v>
      </c>
      <c r="I655" t="s">
        <v>4463</v>
      </c>
      <c r="J655" t="s">
        <v>28</v>
      </c>
      <c r="K655" t="s">
        <v>4464</v>
      </c>
      <c r="L655" t="s">
        <v>43</v>
      </c>
      <c r="M655" s="2" t="s">
        <v>4465</v>
      </c>
      <c r="N655" t="s">
        <v>31</v>
      </c>
      <c r="O655" t="s">
        <v>7879</v>
      </c>
      <c r="P655" t="s">
        <v>8028</v>
      </c>
      <c r="Q655" t="s">
        <v>63</v>
      </c>
      <c r="R655" t="s">
        <v>33</v>
      </c>
      <c r="S655" t="s">
        <v>34</v>
      </c>
      <c r="T655" s="1">
        <v>195000</v>
      </c>
      <c r="U655">
        <v>0</v>
      </c>
      <c r="V655">
        <v>0</v>
      </c>
      <c r="W655" t="s">
        <v>4466</v>
      </c>
    </row>
    <row r="656" spans="1:23" x14ac:dyDescent="0.25">
      <c r="A656">
        <v>22396</v>
      </c>
      <c r="B656" t="s">
        <v>23</v>
      </c>
      <c r="D656">
        <v>665</v>
      </c>
      <c r="E656" t="s">
        <v>4467</v>
      </c>
      <c r="F656" t="s">
        <v>4468</v>
      </c>
      <c r="G656" t="s">
        <v>4469</v>
      </c>
      <c r="I656" t="s">
        <v>4470</v>
      </c>
      <c r="J656" t="s">
        <v>28</v>
      </c>
      <c r="K656" t="s">
        <v>4471</v>
      </c>
      <c r="L656" t="s">
        <v>453</v>
      </c>
      <c r="M656">
        <v>233553194310</v>
      </c>
      <c r="N656" t="s">
        <v>31</v>
      </c>
      <c r="O656" t="s">
        <v>7881</v>
      </c>
      <c r="P656" t="s">
        <v>7888</v>
      </c>
      <c r="Q656" t="s">
        <v>455</v>
      </c>
      <c r="R656" t="s">
        <v>130</v>
      </c>
      <c r="S656" t="s">
        <v>131</v>
      </c>
      <c r="T656">
        <v>425</v>
      </c>
      <c r="U656">
        <v>85</v>
      </c>
      <c r="V656">
        <v>0</v>
      </c>
      <c r="W656" t="s">
        <v>4472</v>
      </c>
    </row>
    <row r="657" spans="1:23" x14ac:dyDescent="0.25">
      <c r="A657">
        <v>6939</v>
      </c>
      <c r="B657" t="s">
        <v>23</v>
      </c>
      <c r="D657">
        <v>666</v>
      </c>
      <c r="E657" t="s">
        <v>4473</v>
      </c>
      <c r="F657" t="s">
        <v>4474</v>
      </c>
      <c r="G657" t="s">
        <v>4475</v>
      </c>
      <c r="H657" t="s">
        <v>4476</v>
      </c>
      <c r="I657" t="s">
        <v>4477</v>
      </c>
      <c r="J657" t="s">
        <v>53</v>
      </c>
      <c r="K657" t="s">
        <v>4478</v>
      </c>
      <c r="L657" t="s">
        <v>43</v>
      </c>
      <c r="M657">
        <v>8058805422</v>
      </c>
      <c r="N657" t="s">
        <v>45</v>
      </c>
      <c r="O657" t="s">
        <v>7881</v>
      </c>
      <c r="P657" t="s">
        <v>7893</v>
      </c>
      <c r="Q657" t="s">
        <v>46</v>
      </c>
      <c r="R657" t="s">
        <v>33</v>
      </c>
      <c r="S657" t="s">
        <v>34</v>
      </c>
      <c r="T657" s="1">
        <v>552500</v>
      </c>
      <c r="U657">
        <v>0</v>
      </c>
      <c r="V657">
        <v>0</v>
      </c>
      <c r="W657" t="s">
        <v>4479</v>
      </c>
    </row>
    <row r="658" spans="1:23" x14ac:dyDescent="0.25">
      <c r="A658">
        <v>6686</v>
      </c>
      <c r="B658" t="s">
        <v>23</v>
      </c>
      <c r="D658">
        <v>667</v>
      </c>
      <c r="E658" t="s">
        <v>4480</v>
      </c>
      <c r="F658" t="s">
        <v>775</v>
      </c>
      <c r="G658" t="s">
        <v>4481</v>
      </c>
      <c r="H658" t="s">
        <v>4482</v>
      </c>
      <c r="I658" t="s">
        <v>4483</v>
      </c>
      <c r="J658" t="s">
        <v>53</v>
      </c>
      <c r="K658" t="s">
        <v>4484</v>
      </c>
      <c r="L658" t="s">
        <v>43</v>
      </c>
      <c r="M658">
        <v>8035356501</v>
      </c>
      <c r="N658" t="s">
        <v>31</v>
      </c>
      <c r="O658" t="s">
        <v>7886</v>
      </c>
      <c r="P658" t="s">
        <v>7888</v>
      </c>
      <c r="Q658" t="s">
        <v>63</v>
      </c>
      <c r="R658" t="s">
        <v>33</v>
      </c>
      <c r="S658" t="s">
        <v>34</v>
      </c>
      <c r="T658" s="1">
        <v>812500</v>
      </c>
      <c r="U658">
        <v>0</v>
      </c>
      <c r="V658" s="1">
        <v>162500</v>
      </c>
      <c r="W658" t="s">
        <v>4485</v>
      </c>
    </row>
    <row r="659" spans="1:23" x14ac:dyDescent="0.25">
      <c r="A659">
        <v>3579</v>
      </c>
      <c r="B659" t="s">
        <v>23</v>
      </c>
      <c r="D659">
        <v>668</v>
      </c>
      <c r="E659" t="s">
        <v>4486</v>
      </c>
      <c r="F659" t="s">
        <v>4487</v>
      </c>
      <c r="G659" t="s">
        <v>672</v>
      </c>
      <c r="I659" t="s">
        <v>4488</v>
      </c>
      <c r="J659" t="s">
        <v>53</v>
      </c>
      <c r="K659" t="s">
        <v>4488</v>
      </c>
      <c r="L659" t="s">
        <v>43</v>
      </c>
      <c r="M659" s="2" t="s">
        <v>4489</v>
      </c>
      <c r="N659" t="s">
        <v>31</v>
      </c>
      <c r="O659" t="s">
        <v>7886</v>
      </c>
      <c r="P659" t="s">
        <v>7979</v>
      </c>
      <c r="Q659" t="s">
        <v>63</v>
      </c>
      <c r="R659" t="s">
        <v>33</v>
      </c>
      <c r="S659" t="s">
        <v>34</v>
      </c>
      <c r="T659" s="1">
        <v>812500</v>
      </c>
      <c r="U659" s="1">
        <v>110500</v>
      </c>
      <c r="V659" s="1">
        <v>162500</v>
      </c>
      <c r="W659" t="s">
        <v>4490</v>
      </c>
    </row>
    <row r="660" spans="1:23" x14ac:dyDescent="0.25">
      <c r="A660">
        <v>22486</v>
      </c>
      <c r="B660" t="s">
        <v>23</v>
      </c>
      <c r="D660">
        <v>669</v>
      </c>
      <c r="E660" t="s">
        <v>4491</v>
      </c>
      <c r="F660" t="s">
        <v>3466</v>
      </c>
      <c r="G660" t="s">
        <v>4492</v>
      </c>
      <c r="H660" t="s">
        <v>4493</v>
      </c>
      <c r="I660" t="s">
        <v>4494</v>
      </c>
      <c r="J660" t="s">
        <v>28</v>
      </c>
      <c r="K660" t="s">
        <v>968</v>
      </c>
      <c r="L660" t="s">
        <v>453</v>
      </c>
      <c r="M660" s="2" t="s">
        <v>4495</v>
      </c>
      <c r="N660" t="s">
        <v>45</v>
      </c>
      <c r="O660" t="s">
        <v>7881</v>
      </c>
      <c r="P660" t="s">
        <v>7981</v>
      </c>
      <c r="Q660" t="s">
        <v>455</v>
      </c>
      <c r="R660" t="s">
        <v>130</v>
      </c>
      <c r="S660" t="s">
        <v>131</v>
      </c>
      <c r="T660">
        <v>425</v>
      </c>
      <c r="U660">
        <v>0</v>
      </c>
      <c r="V660">
        <v>0</v>
      </c>
      <c r="W660" t="s">
        <v>4496</v>
      </c>
    </row>
    <row r="661" spans="1:23" x14ac:dyDescent="0.25">
      <c r="A661">
        <v>20335</v>
      </c>
      <c r="B661" t="s">
        <v>23</v>
      </c>
      <c r="D661">
        <v>670</v>
      </c>
      <c r="E661" t="s">
        <v>4497</v>
      </c>
      <c r="F661" t="s">
        <v>4498</v>
      </c>
      <c r="G661" t="s">
        <v>4168</v>
      </c>
      <c r="H661" t="s">
        <v>196</v>
      </c>
      <c r="I661" t="s">
        <v>4499</v>
      </c>
      <c r="J661" t="s">
        <v>53</v>
      </c>
      <c r="K661" t="s">
        <v>4500</v>
      </c>
      <c r="L661" t="s">
        <v>765</v>
      </c>
      <c r="M661">
        <v>23278655340</v>
      </c>
      <c r="N661" t="s">
        <v>31</v>
      </c>
      <c r="O661" t="s">
        <v>7881</v>
      </c>
      <c r="P661" t="s">
        <v>7981</v>
      </c>
      <c r="Q661" t="s">
        <v>1480</v>
      </c>
      <c r="R661" t="s">
        <v>33</v>
      </c>
      <c r="S661" t="s">
        <v>34</v>
      </c>
      <c r="T661" s="1">
        <v>552500</v>
      </c>
      <c r="U661">
        <v>0</v>
      </c>
      <c r="V661">
        <v>0</v>
      </c>
      <c r="W661" t="s">
        <v>4501</v>
      </c>
    </row>
    <row r="662" spans="1:23" x14ac:dyDescent="0.25">
      <c r="A662">
        <v>8658</v>
      </c>
      <c r="B662" t="s">
        <v>23</v>
      </c>
      <c r="D662">
        <v>671</v>
      </c>
      <c r="E662" t="s">
        <v>4502</v>
      </c>
      <c r="F662" t="s">
        <v>4503</v>
      </c>
      <c r="G662" t="s">
        <v>672</v>
      </c>
      <c r="H662" t="s">
        <v>4504</v>
      </c>
      <c r="I662" t="s">
        <v>4505</v>
      </c>
      <c r="J662" t="s">
        <v>53</v>
      </c>
      <c r="K662" t="s">
        <v>4506</v>
      </c>
      <c r="L662" t="s">
        <v>43</v>
      </c>
      <c r="M662">
        <v>2348038328238</v>
      </c>
      <c r="N662" t="s">
        <v>45</v>
      </c>
      <c r="O662" t="s">
        <v>7881</v>
      </c>
      <c r="P662" t="s">
        <v>7981</v>
      </c>
      <c r="Q662" t="s">
        <v>46</v>
      </c>
      <c r="R662" t="s">
        <v>33</v>
      </c>
      <c r="S662" t="s">
        <v>34</v>
      </c>
      <c r="T662" s="1">
        <v>552500</v>
      </c>
      <c r="U662">
        <v>0</v>
      </c>
      <c r="V662">
        <v>0</v>
      </c>
      <c r="W662" t="s">
        <v>4507</v>
      </c>
    </row>
    <row r="663" spans="1:23" x14ac:dyDescent="0.25">
      <c r="A663">
        <v>24353</v>
      </c>
      <c r="B663" t="s">
        <v>23</v>
      </c>
      <c r="D663">
        <v>672</v>
      </c>
      <c r="E663" t="s">
        <v>4508</v>
      </c>
      <c r="F663" t="s">
        <v>4509</v>
      </c>
      <c r="G663" t="s">
        <v>4510</v>
      </c>
      <c r="H663" t="s">
        <v>4511</v>
      </c>
      <c r="I663" t="s">
        <v>4512</v>
      </c>
      <c r="J663" t="s">
        <v>53</v>
      </c>
      <c r="K663" t="s">
        <v>4513</v>
      </c>
      <c r="L663" t="s">
        <v>43</v>
      </c>
      <c r="M663" s="2" t="s">
        <v>4514</v>
      </c>
      <c r="N663" t="s">
        <v>31</v>
      </c>
      <c r="O663" t="s">
        <v>7879</v>
      </c>
      <c r="P663" t="s">
        <v>7893</v>
      </c>
      <c r="Q663" t="s">
        <v>63</v>
      </c>
      <c r="R663" t="s">
        <v>33</v>
      </c>
      <c r="S663" t="s">
        <v>34</v>
      </c>
      <c r="T663" s="1">
        <v>195000</v>
      </c>
      <c r="U663">
        <v>0</v>
      </c>
      <c r="V663">
        <v>0</v>
      </c>
      <c r="W663" t="s">
        <v>4515</v>
      </c>
    </row>
    <row r="664" spans="1:23" x14ac:dyDescent="0.25">
      <c r="A664">
        <v>24323</v>
      </c>
      <c r="B664" t="s">
        <v>23</v>
      </c>
      <c r="D664">
        <v>673</v>
      </c>
      <c r="E664" t="s">
        <v>4516</v>
      </c>
      <c r="F664" t="s">
        <v>4205</v>
      </c>
      <c r="G664" t="s">
        <v>4517</v>
      </c>
      <c r="I664" t="s">
        <v>4518</v>
      </c>
      <c r="J664" t="s">
        <v>28</v>
      </c>
      <c r="K664" t="s">
        <v>4519</v>
      </c>
      <c r="L664" t="s">
        <v>43</v>
      </c>
      <c r="M664" s="2" t="s">
        <v>4520</v>
      </c>
      <c r="N664" t="s">
        <v>31</v>
      </c>
      <c r="O664" t="s">
        <v>7879</v>
      </c>
      <c r="P664" t="s">
        <v>7893</v>
      </c>
      <c r="Q664" t="s">
        <v>46</v>
      </c>
      <c r="R664" t="s">
        <v>33</v>
      </c>
      <c r="S664" t="s">
        <v>34</v>
      </c>
      <c r="T664" s="1">
        <v>195000</v>
      </c>
      <c r="U664">
        <v>0</v>
      </c>
      <c r="V664">
        <v>0</v>
      </c>
      <c r="W664" t="s">
        <v>4521</v>
      </c>
    </row>
    <row r="665" spans="1:23" x14ac:dyDescent="0.25">
      <c r="A665">
        <v>24017</v>
      </c>
      <c r="B665" t="s">
        <v>23</v>
      </c>
      <c r="D665">
        <v>674</v>
      </c>
      <c r="E665" t="s">
        <v>4522</v>
      </c>
      <c r="F665" t="s">
        <v>4523</v>
      </c>
      <c r="G665" t="s">
        <v>4524</v>
      </c>
      <c r="H665" t="s">
        <v>4525</v>
      </c>
      <c r="I665" t="s">
        <v>4526</v>
      </c>
      <c r="J665" t="s">
        <v>28</v>
      </c>
      <c r="K665" t="s">
        <v>4527</v>
      </c>
      <c r="L665" t="s">
        <v>43</v>
      </c>
      <c r="M665" s="2" t="s">
        <v>4528</v>
      </c>
      <c r="N665" t="s">
        <v>31</v>
      </c>
      <c r="O665" t="s">
        <v>7879</v>
      </c>
      <c r="P665" t="s">
        <v>7888</v>
      </c>
      <c r="Q665" t="s">
        <v>46</v>
      </c>
      <c r="R665" t="s">
        <v>33</v>
      </c>
      <c r="S665" t="s">
        <v>34</v>
      </c>
      <c r="T665" s="1">
        <v>195000</v>
      </c>
      <c r="U665">
        <v>0</v>
      </c>
      <c r="V665">
        <v>0</v>
      </c>
      <c r="W665" t="s">
        <v>4529</v>
      </c>
    </row>
    <row r="666" spans="1:23" x14ac:dyDescent="0.25">
      <c r="A666">
        <v>5415</v>
      </c>
      <c r="B666" t="s">
        <v>23</v>
      </c>
      <c r="D666">
        <v>675</v>
      </c>
      <c r="E666" t="s">
        <v>4530</v>
      </c>
      <c r="F666" t="s">
        <v>4531</v>
      </c>
      <c r="G666" t="s">
        <v>4532</v>
      </c>
      <c r="H666" t="s">
        <v>4533</v>
      </c>
      <c r="I666" t="s">
        <v>4534</v>
      </c>
      <c r="J666" t="s">
        <v>53</v>
      </c>
      <c r="K666" t="s">
        <v>4535</v>
      </c>
      <c r="L666" t="s">
        <v>43</v>
      </c>
      <c r="M666">
        <v>8121976988</v>
      </c>
      <c r="N666" t="s">
        <v>2333</v>
      </c>
      <c r="O666" t="s">
        <v>7886</v>
      </c>
      <c r="P666" t="s">
        <v>7940</v>
      </c>
      <c r="Q666" t="s">
        <v>46</v>
      </c>
      <c r="R666" t="s">
        <v>33</v>
      </c>
      <c r="S666" t="s">
        <v>34</v>
      </c>
      <c r="T666" s="1">
        <v>812500</v>
      </c>
      <c r="U666">
        <v>0</v>
      </c>
      <c r="V666" s="1">
        <v>162500</v>
      </c>
      <c r="W666" t="s">
        <v>4536</v>
      </c>
    </row>
    <row r="667" spans="1:23" x14ac:dyDescent="0.25">
      <c r="A667">
        <v>24378</v>
      </c>
      <c r="B667" t="s">
        <v>23</v>
      </c>
      <c r="D667">
        <v>676</v>
      </c>
      <c r="E667" t="s">
        <v>4537</v>
      </c>
      <c r="F667" t="s">
        <v>4538</v>
      </c>
      <c r="G667" t="s">
        <v>1660</v>
      </c>
      <c r="H667" t="s">
        <v>1257</v>
      </c>
      <c r="I667" t="s">
        <v>4539</v>
      </c>
      <c r="J667" t="s">
        <v>28</v>
      </c>
      <c r="K667" t="s">
        <v>4540</v>
      </c>
      <c r="L667" t="s">
        <v>43</v>
      </c>
      <c r="M667">
        <v>2348068684603</v>
      </c>
      <c r="N667" t="s">
        <v>31</v>
      </c>
      <c r="O667" t="s">
        <v>7879</v>
      </c>
      <c r="P667" t="s">
        <v>7981</v>
      </c>
      <c r="Q667" t="s">
        <v>87</v>
      </c>
      <c r="R667" t="s">
        <v>33</v>
      </c>
      <c r="S667" t="s">
        <v>34</v>
      </c>
      <c r="T667" s="1">
        <v>195000</v>
      </c>
      <c r="U667">
        <v>0</v>
      </c>
      <c r="V667">
        <v>0</v>
      </c>
      <c r="W667" t="s">
        <v>4541</v>
      </c>
    </row>
    <row r="668" spans="1:23" x14ac:dyDescent="0.25">
      <c r="A668">
        <v>3128</v>
      </c>
      <c r="B668" t="s">
        <v>23</v>
      </c>
      <c r="D668">
        <v>677</v>
      </c>
      <c r="E668" t="s">
        <v>4542</v>
      </c>
      <c r="F668" t="s">
        <v>3831</v>
      </c>
      <c r="G668" t="s">
        <v>3401</v>
      </c>
      <c r="H668" t="s">
        <v>4543</v>
      </c>
      <c r="I668" t="s">
        <v>8012</v>
      </c>
      <c r="J668" t="s">
        <v>53</v>
      </c>
      <c r="K668" t="s">
        <v>8013</v>
      </c>
      <c r="L668" t="s">
        <v>43</v>
      </c>
      <c r="M668" s="2" t="s">
        <v>4544</v>
      </c>
      <c r="N668" t="s">
        <v>31</v>
      </c>
      <c r="O668" t="s">
        <v>7886</v>
      </c>
      <c r="P668" t="s">
        <v>7981</v>
      </c>
      <c r="Q668" t="s">
        <v>46</v>
      </c>
      <c r="R668" t="s">
        <v>33</v>
      </c>
      <c r="S668" t="s">
        <v>34</v>
      </c>
      <c r="T668" s="1">
        <v>812500</v>
      </c>
      <c r="U668">
        <v>0</v>
      </c>
      <c r="V668" s="1">
        <v>162500</v>
      </c>
      <c r="W668" t="s">
        <v>4545</v>
      </c>
    </row>
    <row r="669" spans="1:23" x14ac:dyDescent="0.25">
      <c r="A669">
        <v>24476</v>
      </c>
      <c r="B669" t="s">
        <v>23</v>
      </c>
      <c r="D669">
        <v>678</v>
      </c>
      <c r="E669" t="s">
        <v>4546</v>
      </c>
      <c r="F669" t="s">
        <v>4547</v>
      </c>
      <c r="G669" t="s">
        <v>4548</v>
      </c>
      <c r="I669" t="s">
        <v>4549</v>
      </c>
      <c r="J669" t="s">
        <v>53</v>
      </c>
      <c r="K669" t="s">
        <v>1152</v>
      </c>
      <c r="L669" t="s">
        <v>30</v>
      </c>
      <c r="M669">
        <v>2207949845</v>
      </c>
      <c r="N669" t="s">
        <v>31</v>
      </c>
      <c r="O669" t="s">
        <v>7879</v>
      </c>
      <c r="P669" t="s">
        <v>7893</v>
      </c>
      <c r="Q669" t="s">
        <v>32</v>
      </c>
      <c r="R669" t="s">
        <v>33</v>
      </c>
      <c r="S669" t="s">
        <v>34</v>
      </c>
      <c r="T669" s="1">
        <v>195000</v>
      </c>
      <c r="U669">
        <v>0</v>
      </c>
      <c r="V669">
        <v>0</v>
      </c>
      <c r="W669" t="s">
        <v>4550</v>
      </c>
    </row>
    <row r="670" spans="1:23" x14ac:dyDescent="0.25">
      <c r="A670">
        <v>302</v>
      </c>
      <c r="B670" t="s">
        <v>23</v>
      </c>
      <c r="D670">
        <v>679</v>
      </c>
      <c r="E670" t="s">
        <v>4551</v>
      </c>
      <c r="F670" t="s">
        <v>4552</v>
      </c>
      <c r="G670" t="s">
        <v>4553</v>
      </c>
      <c r="H670" t="s">
        <v>4554</v>
      </c>
      <c r="I670" t="s">
        <v>4555</v>
      </c>
      <c r="J670" t="s">
        <v>53</v>
      </c>
      <c r="K670" t="s">
        <v>4556</v>
      </c>
      <c r="L670" t="s">
        <v>43</v>
      </c>
      <c r="M670" s="2" t="s">
        <v>4557</v>
      </c>
      <c r="N670" t="s">
        <v>31</v>
      </c>
      <c r="O670" t="s">
        <v>7886</v>
      </c>
      <c r="P670" t="s">
        <v>7940</v>
      </c>
      <c r="Q670" t="s">
        <v>63</v>
      </c>
      <c r="R670" t="s">
        <v>33</v>
      </c>
      <c r="S670" t="s">
        <v>34</v>
      </c>
      <c r="T670" s="1">
        <v>812500</v>
      </c>
      <c r="U670">
        <v>0</v>
      </c>
      <c r="V670" s="1">
        <v>162500</v>
      </c>
      <c r="W670" t="s">
        <v>4558</v>
      </c>
    </row>
    <row r="671" spans="1:23" x14ac:dyDescent="0.25">
      <c r="A671">
        <v>24043</v>
      </c>
      <c r="B671" t="s">
        <v>23</v>
      </c>
      <c r="D671">
        <v>680</v>
      </c>
      <c r="E671" t="s">
        <v>4559</v>
      </c>
      <c r="F671" t="s">
        <v>4560</v>
      </c>
      <c r="G671" t="s">
        <v>4561</v>
      </c>
      <c r="H671" t="s">
        <v>4562</v>
      </c>
      <c r="I671" t="s">
        <v>4563</v>
      </c>
      <c r="J671" t="s">
        <v>53</v>
      </c>
      <c r="K671" t="s">
        <v>2044</v>
      </c>
      <c r="L671" t="s">
        <v>43</v>
      </c>
      <c r="M671" s="2" t="s">
        <v>4564</v>
      </c>
      <c r="N671" t="s">
        <v>31</v>
      </c>
      <c r="O671" t="s">
        <v>7879</v>
      </c>
      <c r="P671" t="s">
        <v>8028</v>
      </c>
      <c r="Q671" t="s">
        <v>63</v>
      </c>
      <c r="R671" t="s">
        <v>33</v>
      </c>
      <c r="S671" t="s">
        <v>34</v>
      </c>
      <c r="T671" s="1">
        <v>195000</v>
      </c>
      <c r="U671">
        <v>0</v>
      </c>
      <c r="V671">
        <v>0</v>
      </c>
      <c r="W671" t="s">
        <v>4565</v>
      </c>
    </row>
    <row r="672" spans="1:23" x14ac:dyDescent="0.25">
      <c r="A672">
        <v>6251</v>
      </c>
      <c r="B672" t="s">
        <v>23</v>
      </c>
      <c r="D672">
        <v>681</v>
      </c>
      <c r="E672" t="s">
        <v>4566</v>
      </c>
      <c r="F672" t="s">
        <v>4567</v>
      </c>
      <c r="G672" t="s">
        <v>4568</v>
      </c>
      <c r="H672" t="s">
        <v>4569</v>
      </c>
      <c r="I672" t="s">
        <v>4570</v>
      </c>
      <c r="J672" t="s">
        <v>28</v>
      </c>
      <c r="K672" t="s">
        <v>4571</v>
      </c>
      <c r="L672" t="s">
        <v>43</v>
      </c>
      <c r="M672">
        <v>8034405351</v>
      </c>
      <c r="N672" t="s">
        <v>31</v>
      </c>
      <c r="O672" t="s">
        <v>7886</v>
      </c>
      <c r="P672" t="s">
        <v>7940</v>
      </c>
      <c r="Q672" t="s">
        <v>46</v>
      </c>
      <c r="R672" t="s">
        <v>33</v>
      </c>
      <c r="S672" t="s">
        <v>34</v>
      </c>
      <c r="T672" s="1">
        <v>812500</v>
      </c>
      <c r="U672">
        <v>0</v>
      </c>
      <c r="V672" s="1">
        <v>162500</v>
      </c>
      <c r="W672" t="s">
        <v>4572</v>
      </c>
    </row>
    <row r="673" spans="1:23" x14ac:dyDescent="0.25">
      <c r="A673">
        <v>19769</v>
      </c>
      <c r="B673" t="s">
        <v>23</v>
      </c>
      <c r="D673">
        <v>682</v>
      </c>
      <c r="E673" t="s">
        <v>4573</v>
      </c>
      <c r="F673" t="s">
        <v>4574</v>
      </c>
      <c r="G673" t="s">
        <v>4575</v>
      </c>
      <c r="H673" t="s">
        <v>4576</v>
      </c>
      <c r="I673" t="s">
        <v>4577</v>
      </c>
      <c r="J673" t="s">
        <v>28</v>
      </c>
      <c r="K673" t="s">
        <v>4578</v>
      </c>
      <c r="L673" t="s">
        <v>43</v>
      </c>
      <c r="M673" s="2" t="s">
        <v>4579</v>
      </c>
      <c r="N673" t="s">
        <v>31</v>
      </c>
      <c r="O673" t="s">
        <v>7881</v>
      </c>
      <c r="P673" t="s">
        <v>7981</v>
      </c>
      <c r="Q673" t="s">
        <v>63</v>
      </c>
      <c r="R673" t="s">
        <v>33</v>
      </c>
      <c r="S673" t="s">
        <v>34</v>
      </c>
      <c r="T673" s="1">
        <v>552500</v>
      </c>
      <c r="U673">
        <v>0</v>
      </c>
      <c r="V673">
        <v>0</v>
      </c>
      <c r="W673" t="s">
        <v>4580</v>
      </c>
    </row>
    <row r="674" spans="1:23" x14ac:dyDescent="0.25">
      <c r="A674">
        <v>24445</v>
      </c>
      <c r="B674" t="s">
        <v>23</v>
      </c>
      <c r="D674">
        <v>683</v>
      </c>
      <c r="E674" t="s">
        <v>4581</v>
      </c>
      <c r="F674" t="s">
        <v>4582</v>
      </c>
      <c r="G674" t="s">
        <v>4583</v>
      </c>
      <c r="H674" t="s">
        <v>4584</v>
      </c>
      <c r="I674" t="s">
        <v>4585</v>
      </c>
      <c r="J674" t="s">
        <v>28</v>
      </c>
      <c r="K674" t="s">
        <v>4586</v>
      </c>
      <c r="L674" t="s">
        <v>43</v>
      </c>
      <c r="M674">
        <v>2347059279694</v>
      </c>
      <c r="N674" t="s">
        <v>31</v>
      </c>
      <c r="O674" t="s">
        <v>7879</v>
      </c>
      <c r="P674" t="s">
        <v>7981</v>
      </c>
      <c r="Q674" t="s">
        <v>46</v>
      </c>
      <c r="R674" t="s">
        <v>33</v>
      </c>
      <c r="S674" t="s">
        <v>34</v>
      </c>
      <c r="T674" s="1">
        <v>195000</v>
      </c>
      <c r="U674">
        <v>0</v>
      </c>
      <c r="V674">
        <v>0</v>
      </c>
      <c r="W674" t="s">
        <v>4587</v>
      </c>
    </row>
    <row r="675" spans="1:23" x14ac:dyDescent="0.25">
      <c r="A675">
        <v>22895</v>
      </c>
      <c r="B675" t="s">
        <v>23</v>
      </c>
      <c r="D675">
        <v>684</v>
      </c>
      <c r="E675" s="11" t="s">
        <v>4588</v>
      </c>
      <c r="F675" t="s">
        <v>4589</v>
      </c>
      <c r="G675" t="s">
        <v>981</v>
      </c>
      <c r="I675" t="s">
        <v>4590</v>
      </c>
      <c r="J675" t="s">
        <v>28</v>
      </c>
      <c r="K675" t="s">
        <v>4591</v>
      </c>
      <c r="L675" t="s">
        <v>43</v>
      </c>
      <c r="M675" s="2" t="s">
        <v>4592</v>
      </c>
      <c r="N675" t="s">
        <v>45</v>
      </c>
      <c r="O675" t="s">
        <v>7879</v>
      </c>
      <c r="P675" t="s">
        <v>7940</v>
      </c>
      <c r="Q675" t="s">
        <v>46</v>
      </c>
      <c r="R675" t="s">
        <v>33</v>
      </c>
      <c r="S675" t="s">
        <v>34</v>
      </c>
      <c r="T675" s="1">
        <v>195000</v>
      </c>
      <c r="U675">
        <v>0</v>
      </c>
      <c r="V675">
        <v>0</v>
      </c>
      <c r="W675" t="s">
        <v>4593</v>
      </c>
    </row>
    <row r="676" spans="1:23" x14ac:dyDescent="0.25">
      <c r="A676">
        <v>22485</v>
      </c>
      <c r="B676" t="s">
        <v>23</v>
      </c>
      <c r="D676">
        <v>685</v>
      </c>
      <c r="E676" t="s">
        <v>4594</v>
      </c>
      <c r="F676" t="s">
        <v>4595</v>
      </c>
      <c r="G676" t="s">
        <v>4596</v>
      </c>
      <c r="H676" t="s">
        <v>4597</v>
      </c>
      <c r="I676" t="s">
        <v>4598</v>
      </c>
      <c r="J676" t="s">
        <v>28</v>
      </c>
      <c r="K676" t="s">
        <v>968</v>
      </c>
      <c r="L676" t="s">
        <v>453</v>
      </c>
      <c r="M676" s="2" t="s">
        <v>4599</v>
      </c>
      <c r="N676" t="s">
        <v>45</v>
      </c>
      <c r="O676" t="s">
        <v>7881</v>
      </c>
      <c r="P676" t="s">
        <v>7981</v>
      </c>
      <c r="Q676" t="s">
        <v>455</v>
      </c>
      <c r="R676" t="s">
        <v>130</v>
      </c>
      <c r="S676" t="s">
        <v>131</v>
      </c>
      <c r="T676">
        <v>425</v>
      </c>
      <c r="U676">
        <v>0</v>
      </c>
      <c r="V676">
        <v>0</v>
      </c>
      <c r="W676" t="s">
        <v>4600</v>
      </c>
    </row>
    <row r="677" spans="1:23" x14ac:dyDescent="0.25">
      <c r="A677">
        <v>24475</v>
      </c>
      <c r="B677" t="s">
        <v>23</v>
      </c>
      <c r="D677">
        <v>686</v>
      </c>
      <c r="E677" t="s">
        <v>4601</v>
      </c>
      <c r="F677" t="s">
        <v>4602</v>
      </c>
      <c r="G677" t="s">
        <v>4603</v>
      </c>
      <c r="H677" t="s">
        <v>4604</v>
      </c>
      <c r="I677" t="s">
        <v>4605</v>
      </c>
      <c r="J677" t="s">
        <v>28</v>
      </c>
      <c r="K677" t="s">
        <v>8014</v>
      </c>
      <c r="L677" t="s">
        <v>453</v>
      </c>
      <c r="M677" s="2" t="s">
        <v>4606</v>
      </c>
      <c r="N677" t="s">
        <v>31</v>
      </c>
      <c r="O677" t="s">
        <v>7879</v>
      </c>
      <c r="P677" t="s">
        <v>7981</v>
      </c>
      <c r="Q677" t="s">
        <v>455</v>
      </c>
      <c r="R677" t="s">
        <v>130</v>
      </c>
      <c r="S677" t="s">
        <v>131</v>
      </c>
      <c r="T677">
        <v>150</v>
      </c>
      <c r="U677">
        <v>0</v>
      </c>
      <c r="V677">
        <v>0</v>
      </c>
      <c r="W677" t="s">
        <v>4607</v>
      </c>
    </row>
    <row r="678" spans="1:23" x14ac:dyDescent="0.25">
      <c r="A678">
        <v>4202</v>
      </c>
      <c r="B678" t="s">
        <v>23</v>
      </c>
      <c r="D678">
        <v>688</v>
      </c>
      <c r="E678" t="s">
        <v>4608</v>
      </c>
      <c r="F678" t="s">
        <v>4576</v>
      </c>
      <c r="G678" t="s">
        <v>4609</v>
      </c>
      <c r="H678" t="s">
        <v>4610</v>
      </c>
      <c r="I678" t="s">
        <v>4611</v>
      </c>
      <c r="J678" t="s">
        <v>28</v>
      </c>
      <c r="K678" t="s">
        <v>2761</v>
      </c>
      <c r="L678" t="s">
        <v>43</v>
      </c>
      <c r="M678">
        <v>8036423481</v>
      </c>
      <c r="N678" t="s">
        <v>31</v>
      </c>
      <c r="O678" t="s">
        <v>7886</v>
      </c>
      <c r="P678" t="s">
        <v>7888</v>
      </c>
      <c r="Q678" t="s">
        <v>63</v>
      </c>
      <c r="R678" t="s">
        <v>33</v>
      </c>
      <c r="S678" t="s">
        <v>34</v>
      </c>
      <c r="T678" s="1">
        <v>812500</v>
      </c>
      <c r="U678">
        <v>0</v>
      </c>
      <c r="V678" s="1">
        <v>162500</v>
      </c>
      <c r="W678" t="s">
        <v>4612</v>
      </c>
    </row>
    <row r="679" spans="1:23" x14ac:dyDescent="0.25">
      <c r="A679">
        <v>19401</v>
      </c>
      <c r="B679" t="s">
        <v>23</v>
      </c>
      <c r="D679">
        <v>689</v>
      </c>
      <c r="E679" t="s">
        <v>4613</v>
      </c>
      <c r="F679" t="s">
        <v>4614</v>
      </c>
      <c r="G679" t="s">
        <v>3659</v>
      </c>
      <c r="H679" t="s">
        <v>4615</v>
      </c>
      <c r="I679" t="s">
        <v>4616</v>
      </c>
      <c r="J679" t="s">
        <v>53</v>
      </c>
      <c r="K679" t="s">
        <v>2483</v>
      </c>
      <c r="L679" t="s">
        <v>43</v>
      </c>
      <c r="M679" s="2" t="s">
        <v>4617</v>
      </c>
      <c r="N679" t="s">
        <v>45</v>
      </c>
      <c r="O679" t="s">
        <v>7881</v>
      </c>
      <c r="P679" t="s">
        <v>7981</v>
      </c>
      <c r="Q679" t="s">
        <v>46</v>
      </c>
      <c r="R679" t="s">
        <v>33</v>
      </c>
      <c r="S679" t="s">
        <v>34</v>
      </c>
      <c r="T679" s="1">
        <v>552500</v>
      </c>
      <c r="U679">
        <v>0</v>
      </c>
      <c r="V679">
        <v>0</v>
      </c>
      <c r="W679" t="s">
        <v>4618</v>
      </c>
    </row>
    <row r="680" spans="1:23" x14ac:dyDescent="0.25">
      <c r="A680">
        <v>21550</v>
      </c>
      <c r="B680" t="s">
        <v>23</v>
      </c>
      <c r="D680">
        <v>690</v>
      </c>
      <c r="E680" t="s">
        <v>4619</v>
      </c>
      <c r="F680" t="s">
        <v>4620</v>
      </c>
      <c r="G680" t="s">
        <v>4621</v>
      </c>
      <c r="H680" t="s">
        <v>4622</v>
      </c>
      <c r="I680" t="s">
        <v>4623</v>
      </c>
      <c r="J680" t="s">
        <v>28</v>
      </c>
      <c r="K680" t="s">
        <v>4624</v>
      </c>
      <c r="L680" t="s">
        <v>43</v>
      </c>
      <c r="M680" s="2" t="s">
        <v>4625</v>
      </c>
      <c r="N680" t="s">
        <v>45</v>
      </c>
      <c r="O680" t="s">
        <v>7879</v>
      </c>
      <c r="P680" t="s">
        <v>7940</v>
      </c>
      <c r="Q680" t="s">
        <v>46</v>
      </c>
      <c r="R680" t="s">
        <v>33</v>
      </c>
      <c r="S680" t="s">
        <v>34</v>
      </c>
      <c r="T680" s="1">
        <v>195000</v>
      </c>
      <c r="U680">
        <v>0</v>
      </c>
      <c r="V680">
        <v>0</v>
      </c>
      <c r="W680" t="s">
        <v>4626</v>
      </c>
    </row>
    <row r="681" spans="1:23" x14ac:dyDescent="0.25">
      <c r="A681">
        <v>24455</v>
      </c>
      <c r="B681" t="s">
        <v>23</v>
      </c>
      <c r="D681">
        <v>691</v>
      </c>
      <c r="E681" t="s">
        <v>4627</v>
      </c>
      <c r="F681" t="s">
        <v>74</v>
      </c>
      <c r="G681" t="s">
        <v>2487</v>
      </c>
      <c r="H681" t="s">
        <v>4628</v>
      </c>
      <c r="I681" t="s">
        <v>4629</v>
      </c>
      <c r="J681" t="s">
        <v>28</v>
      </c>
      <c r="K681" t="s">
        <v>4630</v>
      </c>
      <c r="L681" t="s">
        <v>43</v>
      </c>
      <c r="M681" s="2" t="s">
        <v>4631</v>
      </c>
      <c r="N681" t="s">
        <v>31</v>
      </c>
      <c r="O681" t="s">
        <v>7879</v>
      </c>
      <c r="P681" t="s">
        <v>7981</v>
      </c>
      <c r="Q681" t="s">
        <v>46</v>
      </c>
      <c r="R681" t="s">
        <v>33</v>
      </c>
      <c r="S681" t="s">
        <v>34</v>
      </c>
      <c r="T681" s="1">
        <v>195000</v>
      </c>
      <c r="U681">
        <v>0</v>
      </c>
      <c r="V681">
        <v>0</v>
      </c>
      <c r="W681" t="s">
        <v>4632</v>
      </c>
    </row>
    <row r="682" spans="1:23" x14ac:dyDescent="0.25">
      <c r="A682">
        <v>24479</v>
      </c>
      <c r="B682" t="s">
        <v>23</v>
      </c>
      <c r="D682">
        <v>692</v>
      </c>
      <c r="E682" t="s">
        <v>4633</v>
      </c>
      <c r="F682" t="s">
        <v>3338</v>
      </c>
      <c r="G682" t="s">
        <v>2266</v>
      </c>
      <c r="H682" t="s">
        <v>4634</v>
      </c>
      <c r="I682" t="s">
        <v>4635</v>
      </c>
      <c r="J682" t="s">
        <v>28</v>
      </c>
      <c r="K682" t="s">
        <v>4636</v>
      </c>
      <c r="L682" t="s">
        <v>43</v>
      </c>
      <c r="M682" s="2" t="s">
        <v>4637</v>
      </c>
      <c r="N682" t="s">
        <v>31</v>
      </c>
      <c r="O682" t="s">
        <v>7879</v>
      </c>
      <c r="P682" t="s">
        <v>7940</v>
      </c>
      <c r="Q682" t="s">
        <v>87</v>
      </c>
      <c r="R682" t="s">
        <v>33</v>
      </c>
      <c r="S682" t="s">
        <v>34</v>
      </c>
      <c r="T682" s="1">
        <v>195000</v>
      </c>
      <c r="U682">
        <v>0</v>
      </c>
      <c r="V682">
        <v>0</v>
      </c>
      <c r="W682" t="s">
        <v>4638</v>
      </c>
    </row>
    <row r="683" spans="1:23" x14ac:dyDescent="0.25">
      <c r="A683">
        <v>2744</v>
      </c>
      <c r="B683" t="s">
        <v>23</v>
      </c>
      <c r="D683">
        <v>693</v>
      </c>
      <c r="E683" t="s">
        <v>4639</v>
      </c>
      <c r="F683" t="s">
        <v>2109</v>
      </c>
      <c r="G683" t="s">
        <v>4640</v>
      </c>
      <c r="H683" t="s">
        <v>4641</v>
      </c>
      <c r="I683" t="s">
        <v>8015</v>
      </c>
      <c r="J683" t="s">
        <v>53</v>
      </c>
      <c r="K683" t="s">
        <v>4642</v>
      </c>
      <c r="L683" t="s">
        <v>43</v>
      </c>
      <c r="M683">
        <v>8065576674</v>
      </c>
      <c r="N683" t="s">
        <v>31</v>
      </c>
      <c r="O683" t="s">
        <v>7886</v>
      </c>
      <c r="P683" t="s">
        <v>7981</v>
      </c>
      <c r="Q683" t="s">
        <v>46</v>
      </c>
      <c r="R683" t="s">
        <v>33</v>
      </c>
      <c r="S683" t="s">
        <v>34</v>
      </c>
      <c r="T683" s="1">
        <v>812500</v>
      </c>
      <c r="U683">
        <v>0</v>
      </c>
      <c r="V683" s="1">
        <v>162500</v>
      </c>
      <c r="W683" t="s">
        <v>4643</v>
      </c>
    </row>
    <row r="684" spans="1:23" x14ac:dyDescent="0.25">
      <c r="A684">
        <v>18785</v>
      </c>
      <c r="B684" t="s">
        <v>23</v>
      </c>
      <c r="D684">
        <v>694</v>
      </c>
      <c r="E684" t="s">
        <v>4644</v>
      </c>
      <c r="F684" t="s">
        <v>4645</v>
      </c>
      <c r="G684" t="s">
        <v>4646</v>
      </c>
      <c r="H684" t="s">
        <v>4647</v>
      </c>
      <c r="I684" t="s">
        <v>429</v>
      </c>
      <c r="J684" t="s">
        <v>28</v>
      </c>
      <c r="K684" t="s">
        <v>4648</v>
      </c>
      <c r="L684" t="s">
        <v>43</v>
      </c>
      <c r="M684" s="2" t="s">
        <v>4649</v>
      </c>
      <c r="N684" t="s">
        <v>45</v>
      </c>
      <c r="O684" t="s">
        <v>7881</v>
      </c>
      <c r="P684" t="s">
        <v>7981</v>
      </c>
      <c r="Q684" t="s">
        <v>46</v>
      </c>
      <c r="R684" t="s">
        <v>33</v>
      </c>
      <c r="S684" t="s">
        <v>34</v>
      </c>
      <c r="T684" s="1">
        <v>552500</v>
      </c>
      <c r="U684">
        <v>0</v>
      </c>
      <c r="V684">
        <v>0</v>
      </c>
      <c r="W684" t="s">
        <v>4650</v>
      </c>
    </row>
    <row r="685" spans="1:23" x14ac:dyDescent="0.25">
      <c r="A685">
        <v>22052</v>
      </c>
      <c r="B685" t="s">
        <v>23</v>
      </c>
      <c r="D685">
        <v>695</v>
      </c>
      <c r="E685" t="s">
        <v>4651</v>
      </c>
      <c r="F685" t="s">
        <v>4652</v>
      </c>
      <c r="G685" t="s">
        <v>4653</v>
      </c>
      <c r="H685" t="s">
        <v>4654</v>
      </c>
      <c r="I685" t="s">
        <v>4655</v>
      </c>
      <c r="J685" t="s">
        <v>28</v>
      </c>
      <c r="K685" t="s">
        <v>4656</v>
      </c>
      <c r="L685" t="s">
        <v>43</v>
      </c>
      <c r="M685" s="2" t="s">
        <v>4657</v>
      </c>
      <c r="N685" t="s">
        <v>31</v>
      </c>
      <c r="O685" t="s">
        <v>7881</v>
      </c>
      <c r="P685" t="s">
        <v>7981</v>
      </c>
      <c r="Q685" t="s">
        <v>63</v>
      </c>
      <c r="R685" t="s">
        <v>33</v>
      </c>
      <c r="S685" t="s">
        <v>34</v>
      </c>
      <c r="T685" s="1">
        <v>552500</v>
      </c>
      <c r="U685">
        <v>0</v>
      </c>
      <c r="V685">
        <v>0</v>
      </c>
      <c r="W685" t="s">
        <v>4658</v>
      </c>
    </row>
    <row r="686" spans="1:23" x14ac:dyDescent="0.25">
      <c r="A686">
        <v>6802</v>
      </c>
      <c r="B686" t="s">
        <v>23</v>
      </c>
      <c r="D686">
        <v>696</v>
      </c>
      <c r="E686" t="s">
        <v>4659</v>
      </c>
      <c r="F686" t="s">
        <v>4660</v>
      </c>
      <c r="G686" t="s">
        <v>4661</v>
      </c>
      <c r="H686" t="s">
        <v>4662</v>
      </c>
      <c r="I686" t="s">
        <v>4663</v>
      </c>
      <c r="J686" t="s">
        <v>28</v>
      </c>
      <c r="K686" t="s">
        <v>4664</v>
      </c>
      <c r="L686" t="s">
        <v>43</v>
      </c>
      <c r="M686">
        <v>2348036106325</v>
      </c>
      <c r="N686" t="s">
        <v>31</v>
      </c>
      <c r="O686" t="s">
        <v>7886</v>
      </c>
      <c r="P686" t="s">
        <v>7888</v>
      </c>
      <c r="Q686" t="s">
        <v>63</v>
      </c>
      <c r="R686" t="s">
        <v>33</v>
      </c>
      <c r="S686" t="s">
        <v>34</v>
      </c>
      <c r="T686" s="1">
        <v>812500</v>
      </c>
      <c r="U686">
        <v>0</v>
      </c>
      <c r="V686" s="1">
        <v>162500</v>
      </c>
      <c r="W686" t="s">
        <v>4665</v>
      </c>
    </row>
    <row r="687" spans="1:23" x14ac:dyDescent="0.25">
      <c r="A687">
        <v>9424</v>
      </c>
      <c r="B687" t="s">
        <v>23</v>
      </c>
      <c r="D687">
        <v>697</v>
      </c>
      <c r="E687" t="s">
        <v>4666</v>
      </c>
      <c r="F687" t="s">
        <v>4667</v>
      </c>
      <c r="G687" t="s">
        <v>4668</v>
      </c>
      <c r="I687" t="s">
        <v>4669</v>
      </c>
      <c r="J687" t="s">
        <v>53</v>
      </c>
      <c r="K687" t="s">
        <v>968</v>
      </c>
      <c r="L687" t="s">
        <v>453</v>
      </c>
      <c r="M687" s="2" t="s">
        <v>4670</v>
      </c>
      <c r="N687" t="s">
        <v>45</v>
      </c>
      <c r="O687" t="s">
        <v>7881</v>
      </c>
      <c r="P687" t="s">
        <v>7981</v>
      </c>
      <c r="Q687" t="s">
        <v>455</v>
      </c>
      <c r="R687" t="s">
        <v>130</v>
      </c>
      <c r="S687" t="s">
        <v>131</v>
      </c>
      <c r="T687">
        <v>425</v>
      </c>
      <c r="U687">
        <v>0</v>
      </c>
      <c r="V687">
        <v>0</v>
      </c>
      <c r="W687" t="s">
        <v>4671</v>
      </c>
    </row>
    <row r="688" spans="1:23" x14ac:dyDescent="0.25">
      <c r="A688">
        <v>24346</v>
      </c>
      <c r="B688" t="s">
        <v>23</v>
      </c>
      <c r="D688">
        <v>698</v>
      </c>
      <c r="E688" t="s">
        <v>4672</v>
      </c>
      <c r="F688" t="s">
        <v>4673</v>
      </c>
      <c r="G688" t="s">
        <v>4674</v>
      </c>
      <c r="H688" t="s">
        <v>4675</v>
      </c>
      <c r="I688" t="s">
        <v>4676</v>
      </c>
      <c r="J688" t="s">
        <v>28</v>
      </c>
      <c r="K688" t="s">
        <v>4677</v>
      </c>
      <c r="L688" t="s">
        <v>453</v>
      </c>
      <c r="M688" s="2" t="s">
        <v>4678</v>
      </c>
      <c r="N688" t="s">
        <v>31</v>
      </c>
      <c r="O688" t="s">
        <v>7879</v>
      </c>
      <c r="P688" t="s">
        <v>7981</v>
      </c>
      <c r="Q688" t="s">
        <v>455</v>
      </c>
      <c r="R688" t="s">
        <v>130</v>
      </c>
      <c r="S688" t="s">
        <v>131</v>
      </c>
      <c r="T688">
        <v>150</v>
      </c>
      <c r="U688">
        <v>0</v>
      </c>
      <c r="V688">
        <v>0</v>
      </c>
      <c r="W688" t="s">
        <v>4679</v>
      </c>
    </row>
    <row r="689" spans="1:23" x14ac:dyDescent="0.25">
      <c r="A689">
        <v>20675</v>
      </c>
      <c r="B689" t="s">
        <v>23</v>
      </c>
      <c r="D689">
        <v>699</v>
      </c>
      <c r="E689" t="s">
        <v>4680</v>
      </c>
      <c r="F689" t="s">
        <v>4681</v>
      </c>
      <c r="G689" t="s">
        <v>4682</v>
      </c>
      <c r="H689" t="s">
        <v>4683</v>
      </c>
      <c r="I689" t="s">
        <v>4684</v>
      </c>
      <c r="J689" t="s">
        <v>53</v>
      </c>
      <c r="K689" t="s">
        <v>4685</v>
      </c>
      <c r="L689" t="s">
        <v>43</v>
      </c>
      <c r="M689">
        <v>2348033746292</v>
      </c>
      <c r="N689" t="s">
        <v>45</v>
      </c>
      <c r="O689" t="s">
        <v>7881</v>
      </c>
      <c r="P689" t="s">
        <v>7893</v>
      </c>
      <c r="Q689" t="s">
        <v>87</v>
      </c>
      <c r="R689" t="s">
        <v>33</v>
      </c>
      <c r="S689" t="s">
        <v>34</v>
      </c>
      <c r="T689" s="1">
        <v>552500</v>
      </c>
      <c r="U689">
        <v>0</v>
      </c>
      <c r="V689">
        <v>0</v>
      </c>
      <c r="W689" t="s">
        <v>4686</v>
      </c>
    </row>
    <row r="690" spans="1:23" x14ac:dyDescent="0.25">
      <c r="A690">
        <v>4955</v>
      </c>
      <c r="B690" t="s">
        <v>23</v>
      </c>
      <c r="D690">
        <v>700</v>
      </c>
      <c r="E690" t="s">
        <v>4687</v>
      </c>
      <c r="F690" t="s">
        <v>4688</v>
      </c>
      <c r="G690" t="s">
        <v>4689</v>
      </c>
      <c r="H690" t="s">
        <v>4690</v>
      </c>
      <c r="I690" t="s">
        <v>4691</v>
      </c>
      <c r="J690" t="s">
        <v>53</v>
      </c>
      <c r="K690" t="s">
        <v>3603</v>
      </c>
      <c r="L690" t="s">
        <v>43</v>
      </c>
      <c r="M690">
        <v>7038924185</v>
      </c>
      <c r="N690" t="s">
        <v>31</v>
      </c>
      <c r="O690" t="s">
        <v>7886</v>
      </c>
      <c r="P690" t="s">
        <v>7981</v>
      </c>
      <c r="Q690" t="s">
        <v>46</v>
      </c>
      <c r="R690" t="s">
        <v>33</v>
      </c>
      <c r="S690" t="s">
        <v>34</v>
      </c>
      <c r="T690" s="1">
        <v>812500</v>
      </c>
      <c r="U690">
        <v>0</v>
      </c>
      <c r="V690" s="1">
        <v>162500</v>
      </c>
      <c r="W690" t="s">
        <v>4692</v>
      </c>
    </row>
    <row r="691" spans="1:23" x14ac:dyDescent="0.25">
      <c r="A691">
        <v>691</v>
      </c>
      <c r="B691" t="s">
        <v>23</v>
      </c>
      <c r="D691">
        <v>701</v>
      </c>
      <c r="E691" t="s">
        <v>4693</v>
      </c>
      <c r="F691" t="s">
        <v>4694</v>
      </c>
      <c r="G691" t="s">
        <v>4695</v>
      </c>
      <c r="H691" t="s">
        <v>1781</v>
      </c>
      <c r="I691" t="s">
        <v>4696</v>
      </c>
      <c r="J691" t="s">
        <v>53</v>
      </c>
      <c r="K691" t="s">
        <v>4220</v>
      </c>
      <c r="L691" t="s">
        <v>43</v>
      </c>
      <c r="M691" s="2" t="s">
        <v>4697</v>
      </c>
      <c r="N691" t="s">
        <v>31</v>
      </c>
      <c r="O691" t="s">
        <v>7881</v>
      </c>
      <c r="P691" t="s">
        <v>7940</v>
      </c>
      <c r="Q691" t="s">
        <v>63</v>
      </c>
      <c r="R691" t="s">
        <v>33</v>
      </c>
      <c r="S691" t="s">
        <v>34</v>
      </c>
      <c r="T691" s="1">
        <v>552500</v>
      </c>
      <c r="U691">
        <v>0</v>
      </c>
      <c r="V691">
        <v>0</v>
      </c>
      <c r="W691" t="s">
        <v>4698</v>
      </c>
    </row>
    <row r="692" spans="1:23" x14ac:dyDescent="0.25">
      <c r="A692">
        <v>18360</v>
      </c>
      <c r="B692" t="s">
        <v>23</v>
      </c>
      <c r="D692">
        <v>702</v>
      </c>
      <c r="E692" t="s">
        <v>4699</v>
      </c>
      <c r="F692" t="s">
        <v>4700</v>
      </c>
      <c r="G692" t="s">
        <v>679</v>
      </c>
      <c r="H692" t="s">
        <v>4701</v>
      </c>
      <c r="I692" t="s">
        <v>4702</v>
      </c>
      <c r="J692" t="s">
        <v>53</v>
      </c>
      <c r="K692" t="s">
        <v>4703</v>
      </c>
      <c r="L692" t="s">
        <v>43</v>
      </c>
      <c r="M692" s="2" t="s">
        <v>4704</v>
      </c>
      <c r="N692" t="s">
        <v>31</v>
      </c>
      <c r="O692" t="s">
        <v>7881</v>
      </c>
      <c r="P692" t="s">
        <v>7940</v>
      </c>
      <c r="Q692" t="s">
        <v>63</v>
      </c>
      <c r="R692" t="s">
        <v>33</v>
      </c>
      <c r="S692" t="s">
        <v>34</v>
      </c>
      <c r="T692" s="1">
        <v>552500</v>
      </c>
      <c r="U692">
        <v>0</v>
      </c>
      <c r="V692">
        <v>0</v>
      </c>
      <c r="W692" t="s">
        <v>4705</v>
      </c>
    </row>
    <row r="693" spans="1:23" x14ac:dyDescent="0.25">
      <c r="A693">
        <v>24441</v>
      </c>
      <c r="B693" t="s">
        <v>23</v>
      </c>
      <c r="D693">
        <v>703</v>
      </c>
      <c r="E693" t="s">
        <v>4706</v>
      </c>
      <c r="F693" t="s">
        <v>4707</v>
      </c>
      <c r="G693" t="s">
        <v>4708</v>
      </c>
      <c r="I693" t="s">
        <v>4709</v>
      </c>
      <c r="J693" t="s">
        <v>28</v>
      </c>
      <c r="K693" t="s">
        <v>4710</v>
      </c>
      <c r="L693" t="s">
        <v>453</v>
      </c>
      <c r="M693" s="2" t="s">
        <v>4711</v>
      </c>
      <c r="N693" t="s">
        <v>31</v>
      </c>
      <c r="O693" t="s">
        <v>7879</v>
      </c>
      <c r="P693" t="s">
        <v>7893</v>
      </c>
      <c r="Q693" t="s">
        <v>455</v>
      </c>
      <c r="R693" t="s">
        <v>130</v>
      </c>
      <c r="S693" t="s">
        <v>131</v>
      </c>
      <c r="T693">
        <v>150</v>
      </c>
      <c r="U693">
        <v>0</v>
      </c>
      <c r="V693">
        <v>0</v>
      </c>
      <c r="W693" t="s">
        <v>4712</v>
      </c>
    </row>
    <row r="694" spans="1:23" ht="28.5" customHeight="1" x14ac:dyDescent="0.25">
      <c r="A694">
        <v>22363</v>
      </c>
      <c r="B694" t="s">
        <v>1627</v>
      </c>
      <c r="C694" s="3" t="s">
        <v>7883</v>
      </c>
      <c r="D694">
        <v>704</v>
      </c>
      <c r="E694" t="s">
        <v>4713</v>
      </c>
      <c r="F694" t="s">
        <v>4714</v>
      </c>
      <c r="G694" t="s">
        <v>4715</v>
      </c>
      <c r="H694" t="s">
        <v>4716</v>
      </c>
      <c r="I694" t="s">
        <v>4717</v>
      </c>
      <c r="J694" t="s">
        <v>53</v>
      </c>
      <c r="K694" t="s">
        <v>4718</v>
      </c>
      <c r="L694" t="s">
        <v>453</v>
      </c>
      <c r="M694">
        <v>233205372842</v>
      </c>
      <c r="N694" t="s">
        <v>31</v>
      </c>
      <c r="O694" t="s">
        <v>7881</v>
      </c>
      <c r="P694" t="s">
        <v>8028</v>
      </c>
      <c r="Q694" t="s">
        <v>455</v>
      </c>
      <c r="R694" t="s">
        <v>130</v>
      </c>
      <c r="S694" t="s">
        <v>131</v>
      </c>
      <c r="T694">
        <v>425</v>
      </c>
      <c r="U694">
        <v>0</v>
      </c>
      <c r="V694">
        <v>0</v>
      </c>
      <c r="W694" t="s">
        <v>4719</v>
      </c>
    </row>
    <row r="695" spans="1:23" x14ac:dyDescent="0.25">
      <c r="A695">
        <v>6319</v>
      </c>
      <c r="B695" t="s">
        <v>23</v>
      </c>
      <c r="D695">
        <v>705</v>
      </c>
      <c r="E695" t="s">
        <v>4720</v>
      </c>
      <c r="F695" t="s">
        <v>4721</v>
      </c>
      <c r="G695" t="s">
        <v>4722</v>
      </c>
      <c r="H695" t="s">
        <v>4723</v>
      </c>
      <c r="I695" t="s">
        <v>4724</v>
      </c>
      <c r="J695" t="s">
        <v>28</v>
      </c>
      <c r="K695" t="s">
        <v>4725</v>
      </c>
      <c r="L695" t="s">
        <v>43</v>
      </c>
      <c r="M695">
        <v>8030705382</v>
      </c>
      <c r="N695" t="s">
        <v>31</v>
      </c>
      <c r="O695" t="s">
        <v>7881</v>
      </c>
      <c r="P695" t="s">
        <v>7981</v>
      </c>
      <c r="Q695" t="s">
        <v>63</v>
      </c>
      <c r="R695" t="s">
        <v>33</v>
      </c>
      <c r="S695" t="s">
        <v>34</v>
      </c>
      <c r="T695" s="1">
        <v>552500</v>
      </c>
      <c r="U695">
        <v>0</v>
      </c>
      <c r="V695">
        <v>0</v>
      </c>
      <c r="W695" t="s">
        <v>4726</v>
      </c>
    </row>
    <row r="696" spans="1:23" x14ac:dyDescent="0.25">
      <c r="A696">
        <v>21120</v>
      </c>
      <c r="B696" t="s">
        <v>23</v>
      </c>
      <c r="D696">
        <v>706</v>
      </c>
      <c r="E696" t="s">
        <v>4727</v>
      </c>
      <c r="F696" t="s">
        <v>745</v>
      </c>
      <c r="G696" t="s">
        <v>1122</v>
      </c>
      <c r="H696" t="s">
        <v>4728</v>
      </c>
      <c r="I696" t="s">
        <v>4729</v>
      </c>
      <c r="J696" t="s">
        <v>53</v>
      </c>
      <c r="K696" t="s">
        <v>4730</v>
      </c>
      <c r="L696" t="s">
        <v>43</v>
      </c>
      <c r="M696" s="2" t="s">
        <v>4731</v>
      </c>
      <c r="N696" t="s">
        <v>31</v>
      </c>
      <c r="O696" t="s">
        <v>7881</v>
      </c>
      <c r="P696" t="s">
        <v>8028</v>
      </c>
      <c r="Q696" t="s">
        <v>63</v>
      </c>
      <c r="R696" t="s">
        <v>33</v>
      </c>
      <c r="S696" t="s">
        <v>34</v>
      </c>
      <c r="T696" s="1">
        <v>552500</v>
      </c>
      <c r="U696">
        <v>0</v>
      </c>
      <c r="V696">
        <v>0</v>
      </c>
      <c r="W696" t="s">
        <v>4732</v>
      </c>
    </row>
    <row r="697" spans="1:23" x14ac:dyDescent="0.25">
      <c r="A697">
        <v>24165</v>
      </c>
      <c r="B697" t="s">
        <v>23</v>
      </c>
      <c r="D697">
        <v>707</v>
      </c>
      <c r="E697" t="s">
        <v>4733</v>
      </c>
      <c r="F697" t="s">
        <v>4734</v>
      </c>
      <c r="G697" t="s">
        <v>4735</v>
      </c>
      <c r="H697" t="s">
        <v>4736</v>
      </c>
      <c r="I697" t="s">
        <v>4737</v>
      </c>
      <c r="J697" t="s">
        <v>28</v>
      </c>
      <c r="K697" t="s">
        <v>4738</v>
      </c>
      <c r="L697" t="s">
        <v>43</v>
      </c>
      <c r="M697">
        <v>2347056312201</v>
      </c>
      <c r="N697" t="s">
        <v>31</v>
      </c>
      <c r="O697" t="s">
        <v>7879</v>
      </c>
      <c r="P697" t="s">
        <v>7940</v>
      </c>
      <c r="Q697" t="s">
        <v>87</v>
      </c>
      <c r="R697" t="s">
        <v>33</v>
      </c>
      <c r="S697" t="s">
        <v>34</v>
      </c>
      <c r="T697" s="1">
        <v>195000</v>
      </c>
      <c r="U697">
        <v>0</v>
      </c>
      <c r="V697">
        <v>0</v>
      </c>
      <c r="W697" t="s">
        <v>4739</v>
      </c>
    </row>
    <row r="698" spans="1:23" x14ac:dyDescent="0.25">
      <c r="A698">
        <v>4108</v>
      </c>
      <c r="B698" t="s">
        <v>23</v>
      </c>
      <c r="D698">
        <v>708</v>
      </c>
      <c r="E698" t="s">
        <v>4740</v>
      </c>
      <c r="F698" t="s">
        <v>775</v>
      </c>
      <c r="G698" t="s">
        <v>4741</v>
      </c>
      <c r="H698" t="s">
        <v>4742</v>
      </c>
      <c r="I698" t="s">
        <v>7928</v>
      </c>
      <c r="J698" t="s">
        <v>28</v>
      </c>
      <c r="K698" t="s">
        <v>4743</v>
      </c>
      <c r="L698" t="s">
        <v>43</v>
      </c>
      <c r="M698" s="2" t="s">
        <v>4744</v>
      </c>
      <c r="N698" t="s">
        <v>31</v>
      </c>
      <c r="O698" t="s">
        <v>7886</v>
      </c>
      <c r="P698" t="s">
        <v>7903</v>
      </c>
      <c r="Q698" t="s">
        <v>46</v>
      </c>
      <c r="R698" t="s">
        <v>33</v>
      </c>
      <c r="S698" t="s">
        <v>34</v>
      </c>
      <c r="T698" s="1">
        <v>812500</v>
      </c>
      <c r="U698">
        <v>0</v>
      </c>
      <c r="V698" s="1">
        <v>162500</v>
      </c>
      <c r="W698" t="s">
        <v>4745</v>
      </c>
    </row>
    <row r="699" spans="1:23" x14ac:dyDescent="0.25">
      <c r="A699">
        <v>7109</v>
      </c>
      <c r="B699" t="s">
        <v>23</v>
      </c>
      <c r="D699">
        <v>709</v>
      </c>
      <c r="E699" t="s">
        <v>4746</v>
      </c>
      <c r="F699" t="s">
        <v>360</v>
      </c>
      <c r="G699" t="s">
        <v>91</v>
      </c>
      <c r="H699" t="s">
        <v>3155</v>
      </c>
      <c r="I699" t="s">
        <v>4747</v>
      </c>
      <c r="J699" t="s">
        <v>28</v>
      </c>
      <c r="K699" t="s">
        <v>4748</v>
      </c>
      <c r="L699" t="s">
        <v>43</v>
      </c>
      <c r="M699">
        <v>8036032244</v>
      </c>
      <c r="N699" t="s">
        <v>31</v>
      </c>
      <c r="O699" t="s">
        <v>7886</v>
      </c>
      <c r="P699" t="s">
        <v>7940</v>
      </c>
      <c r="Q699" t="s">
        <v>46</v>
      </c>
      <c r="R699" t="s">
        <v>33</v>
      </c>
      <c r="S699" t="s">
        <v>34</v>
      </c>
      <c r="T699" s="1">
        <v>812500</v>
      </c>
      <c r="U699">
        <v>0</v>
      </c>
      <c r="V699" s="1">
        <v>162500</v>
      </c>
      <c r="W699" t="s">
        <v>4749</v>
      </c>
    </row>
    <row r="700" spans="1:23" x14ac:dyDescent="0.25">
      <c r="A700">
        <v>5808</v>
      </c>
      <c r="B700" t="s">
        <v>23</v>
      </c>
      <c r="D700">
        <v>710</v>
      </c>
      <c r="E700" t="s">
        <v>4750</v>
      </c>
      <c r="F700" t="s">
        <v>4751</v>
      </c>
      <c r="G700" t="s">
        <v>4752</v>
      </c>
      <c r="H700" t="s">
        <v>4753</v>
      </c>
      <c r="I700" t="s">
        <v>4754</v>
      </c>
      <c r="J700" t="s">
        <v>28</v>
      </c>
      <c r="K700" t="s">
        <v>4755</v>
      </c>
      <c r="L700" t="s">
        <v>43</v>
      </c>
      <c r="M700">
        <v>8036672276</v>
      </c>
      <c r="N700" t="s">
        <v>31</v>
      </c>
      <c r="O700" t="s">
        <v>7881</v>
      </c>
      <c r="P700" t="s">
        <v>7940</v>
      </c>
      <c r="Q700" t="s">
        <v>46</v>
      </c>
      <c r="R700" t="s">
        <v>33</v>
      </c>
      <c r="S700" t="s">
        <v>34</v>
      </c>
      <c r="T700" s="1">
        <v>552500</v>
      </c>
      <c r="U700">
        <v>0</v>
      </c>
      <c r="V700">
        <v>0</v>
      </c>
      <c r="W700" t="s">
        <v>4756</v>
      </c>
    </row>
    <row r="701" spans="1:23" x14ac:dyDescent="0.25">
      <c r="A701">
        <v>19620</v>
      </c>
      <c r="B701" t="s">
        <v>23</v>
      </c>
      <c r="D701">
        <v>711</v>
      </c>
      <c r="E701" t="s">
        <v>4757</v>
      </c>
      <c r="F701" t="s">
        <v>4758</v>
      </c>
      <c r="G701" t="s">
        <v>4759</v>
      </c>
      <c r="H701" t="s">
        <v>4760</v>
      </c>
      <c r="I701" t="s">
        <v>4761</v>
      </c>
      <c r="J701" t="s">
        <v>28</v>
      </c>
      <c r="K701" t="s">
        <v>4762</v>
      </c>
      <c r="L701" t="s">
        <v>43</v>
      </c>
      <c r="M701" s="2" t="s">
        <v>4763</v>
      </c>
      <c r="N701" t="s">
        <v>31</v>
      </c>
      <c r="O701" t="s">
        <v>7879</v>
      </c>
      <c r="P701" t="s">
        <v>7893</v>
      </c>
      <c r="Q701" t="s">
        <v>63</v>
      </c>
      <c r="R701" t="s">
        <v>33</v>
      </c>
      <c r="S701" t="s">
        <v>34</v>
      </c>
      <c r="T701" s="1">
        <v>195000</v>
      </c>
      <c r="U701">
        <v>0</v>
      </c>
      <c r="V701">
        <v>0</v>
      </c>
      <c r="W701" t="s">
        <v>4764</v>
      </c>
    </row>
    <row r="702" spans="1:23" x14ac:dyDescent="0.25">
      <c r="A702">
        <v>24087</v>
      </c>
      <c r="B702" t="s">
        <v>23</v>
      </c>
      <c r="D702">
        <v>712</v>
      </c>
      <c r="E702" t="s">
        <v>4765</v>
      </c>
      <c r="F702" t="s">
        <v>4766</v>
      </c>
      <c r="G702" t="s">
        <v>4767</v>
      </c>
      <c r="I702" t="s">
        <v>4768</v>
      </c>
      <c r="J702" t="s">
        <v>28</v>
      </c>
      <c r="K702" t="s">
        <v>4769</v>
      </c>
      <c r="L702" t="s">
        <v>453</v>
      </c>
      <c r="M702" s="2" t="s">
        <v>4770</v>
      </c>
      <c r="N702" t="s">
        <v>31</v>
      </c>
      <c r="O702" t="s">
        <v>7879</v>
      </c>
      <c r="P702" t="s">
        <v>7981</v>
      </c>
      <c r="Q702" t="s">
        <v>455</v>
      </c>
      <c r="R702" t="s">
        <v>130</v>
      </c>
      <c r="S702" t="s">
        <v>131</v>
      </c>
      <c r="T702">
        <v>150</v>
      </c>
      <c r="U702">
        <v>0</v>
      </c>
      <c r="V702">
        <v>0</v>
      </c>
      <c r="W702" t="s">
        <v>4771</v>
      </c>
    </row>
    <row r="703" spans="1:23" x14ac:dyDescent="0.25">
      <c r="A703">
        <v>24484</v>
      </c>
      <c r="B703" t="s">
        <v>23</v>
      </c>
      <c r="D703">
        <v>713</v>
      </c>
      <c r="E703" t="s">
        <v>4772</v>
      </c>
      <c r="F703" t="s">
        <v>4773</v>
      </c>
      <c r="G703" t="s">
        <v>4774</v>
      </c>
      <c r="H703" t="s">
        <v>4775</v>
      </c>
      <c r="I703" t="s">
        <v>4776</v>
      </c>
      <c r="J703" t="s">
        <v>28</v>
      </c>
      <c r="K703" t="s">
        <v>4777</v>
      </c>
      <c r="L703" t="s">
        <v>43</v>
      </c>
      <c r="M703" s="2" t="s">
        <v>4778</v>
      </c>
      <c r="N703" t="s">
        <v>31</v>
      </c>
      <c r="O703" t="s">
        <v>7879</v>
      </c>
      <c r="P703" t="s">
        <v>7940</v>
      </c>
      <c r="Q703" t="s">
        <v>87</v>
      </c>
      <c r="R703" t="s">
        <v>33</v>
      </c>
      <c r="S703" t="s">
        <v>34</v>
      </c>
      <c r="T703" s="1">
        <v>195000</v>
      </c>
      <c r="U703">
        <v>0</v>
      </c>
      <c r="V703">
        <v>0</v>
      </c>
      <c r="W703" t="s">
        <v>4779</v>
      </c>
    </row>
    <row r="704" spans="1:23" x14ac:dyDescent="0.25">
      <c r="A704">
        <v>3795</v>
      </c>
      <c r="B704" t="s">
        <v>23</v>
      </c>
      <c r="D704">
        <v>714</v>
      </c>
      <c r="E704" t="s">
        <v>4780</v>
      </c>
      <c r="F704" t="s">
        <v>4781</v>
      </c>
      <c r="G704" t="s">
        <v>3726</v>
      </c>
      <c r="H704" t="s">
        <v>4782</v>
      </c>
      <c r="I704" t="s">
        <v>4783</v>
      </c>
      <c r="J704" t="s">
        <v>53</v>
      </c>
      <c r="K704" t="s">
        <v>4784</v>
      </c>
      <c r="L704" t="s">
        <v>43</v>
      </c>
      <c r="M704" s="2" t="s">
        <v>4785</v>
      </c>
      <c r="N704" t="s">
        <v>31</v>
      </c>
      <c r="O704" t="s">
        <v>7881</v>
      </c>
      <c r="P704" t="s">
        <v>7940</v>
      </c>
      <c r="Q704" t="s">
        <v>63</v>
      </c>
      <c r="R704" t="s">
        <v>33</v>
      </c>
      <c r="S704" t="s">
        <v>34</v>
      </c>
      <c r="T704" s="1">
        <v>552500</v>
      </c>
      <c r="U704">
        <v>0</v>
      </c>
      <c r="V704">
        <v>0</v>
      </c>
      <c r="W704" t="s">
        <v>4786</v>
      </c>
    </row>
    <row r="705" spans="1:23" x14ac:dyDescent="0.25">
      <c r="A705">
        <v>24276</v>
      </c>
      <c r="B705" t="s">
        <v>23</v>
      </c>
      <c r="D705">
        <v>715</v>
      </c>
      <c r="E705" t="s">
        <v>4787</v>
      </c>
      <c r="F705" t="s">
        <v>4788</v>
      </c>
      <c r="G705" t="s">
        <v>4789</v>
      </c>
      <c r="I705" t="s">
        <v>4790</v>
      </c>
      <c r="J705" t="s">
        <v>53</v>
      </c>
      <c r="K705" t="s">
        <v>4791</v>
      </c>
      <c r="L705" t="s">
        <v>43</v>
      </c>
      <c r="M705" s="2" t="s">
        <v>4792</v>
      </c>
      <c r="N705" t="s">
        <v>31</v>
      </c>
      <c r="O705" t="s">
        <v>7879</v>
      </c>
      <c r="P705" t="s">
        <v>7981</v>
      </c>
      <c r="Q705" t="s">
        <v>46</v>
      </c>
      <c r="R705" t="s">
        <v>33</v>
      </c>
      <c r="S705" t="s">
        <v>34</v>
      </c>
      <c r="T705" s="1">
        <v>195000</v>
      </c>
      <c r="U705">
        <v>0</v>
      </c>
      <c r="V705">
        <v>0</v>
      </c>
      <c r="W705" t="s">
        <v>4793</v>
      </c>
    </row>
    <row r="706" spans="1:23" x14ac:dyDescent="0.25">
      <c r="A706">
        <v>6942</v>
      </c>
      <c r="B706" t="s">
        <v>23</v>
      </c>
      <c r="D706">
        <v>716</v>
      </c>
      <c r="E706" t="s">
        <v>4794</v>
      </c>
      <c r="F706" t="s">
        <v>4795</v>
      </c>
      <c r="G706" t="s">
        <v>4796</v>
      </c>
      <c r="H706" t="s">
        <v>4797</v>
      </c>
      <c r="I706" t="s">
        <v>4798</v>
      </c>
      <c r="J706" t="s">
        <v>28</v>
      </c>
      <c r="K706" t="s">
        <v>4799</v>
      </c>
      <c r="L706" t="s">
        <v>765</v>
      </c>
      <c r="M706" t="s">
        <v>4800</v>
      </c>
      <c r="N706" t="s">
        <v>45</v>
      </c>
      <c r="O706" t="s">
        <v>7881</v>
      </c>
      <c r="P706" t="s">
        <v>7981</v>
      </c>
      <c r="Q706" t="s">
        <v>455</v>
      </c>
      <c r="R706" t="s">
        <v>130</v>
      </c>
      <c r="S706" t="s">
        <v>131</v>
      </c>
      <c r="T706">
        <v>425</v>
      </c>
      <c r="U706">
        <v>0</v>
      </c>
      <c r="V706">
        <v>0</v>
      </c>
      <c r="W706" t="s">
        <v>4801</v>
      </c>
    </row>
    <row r="707" spans="1:23" x14ac:dyDescent="0.25">
      <c r="A707">
        <v>24500</v>
      </c>
      <c r="B707" t="s">
        <v>23</v>
      </c>
      <c r="D707">
        <v>717</v>
      </c>
      <c r="E707" t="s">
        <v>4802</v>
      </c>
      <c r="F707" t="s">
        <v>4803</v>
      </c>
      <c r="G707" t="s">
        <v>598</v>
      </c>
      <c r="H707" t="s">
        <v>887</v>
      </c>
      <c r="I707" t="s">
        <v>4804</v>
      </c>
      <c r="J707" t="s">
        <v>53</v>
      </c>
      <c r="K707" t="s">
        <v>4805</v>
      </c>
      <c r="L707" t="s">
        <v>43</v>
      </c>
      <c r="M707" s="2" t="s">
        <v>4806</v>
      </c>
      <c r="N707" t="s">
        <v>31</v>
      </c>
      <c r="O707" t="s">
        <v>7881</v>
      </c>
      <c r="P707" t="s">
        <v>7893</v>
      </c>
      <c r="Q707" t="s">
        <v>87</v>
      </c>
      <c r="R707" t="s">
        <v>33</v>
      </c>
      <c r="S707" t="s">
        <v>34</v>
      </c>
      <c r="T707" s="1">
        <v>552500</v>
      </c>
      <c r="U707">
        <v>0</v>
      </c>
      <c r="V707">
        <v>0</v>
      </c>
      <c r="W707" t="s">
        <v>4807</v>
      </c>
    </row>
    <row r="708" spans="1:23" x14ac:dyDescent="0.25">
      <c r="A708">
        <v>24501</v>
      </c>
      <c r="B708" t="s">
        <v>23</v>
      </c>
      <c r="D708">
        <v>718</v>
      </c>
      <c r="E708" t="s">
        <v>4808</v>
      </c>
      <c r="F708" t="s">
        <v>4809</v>
      </c>
      <c r="G708" t="s">
        <v>226</v>
      </c>
      <c r="H708" t="s">
        <v>4810</v>
      </c>
      <c r="I708" t="s">
        <v>4811</v>
      </c>
      <c r="J708" t="s">
        <v>53</v>
      </c>
      <c r="K708" t="s">
        <v>4812</v>
      </c>
      <c r="L708" t="s">
        <v>43</v>
      </c>
      <c r="M708" s="2" t="s">
        <v>4813</v>
      </c>
      <c r="N708" t="s">
        <v>31</v>
      </c>
      <c r="O708" t="s">
        <v>7879</v>
      </c>
      <c r="P708" t="s">
        <v>7893</v>
      </c>
      <c r="Q708" t="s">
        <v>46</v>
      </c>
      <c r="R708" t="s">
        <v>33</v>
      </c>
      <c r="S708" t="s">
        <v>34</v>
      </c>
      <c r="T708" s="1">
        <v>195000</v>
      </c>
      <c r="U708">
        <v>0</v>
      </c>
      <c r="V708">
        <v>0</v>
      </c>
      <c r="W708" t="s">
        <v>4814</v>
      </c>
    </row>
    <row r="709" spans="1:23" x14ac:dyDescent="0.25">
      <c r="A709">
        <v>24412</v>
      </c>
      <c r="B709" t="s">
        <v>23</v>
      </c>
      <c r="D709">
        <v>719</v>
      </c>
      <c r="E709" t="s">
        <v>4815</v>
      </c>
      <c r="F709" t="s">
        <v>1366</v>
      </c>
      <c r="G709" t="s">
        <v>4816</v>
      </c>
      <c r="H709" t="s">
        <v>4817</v>
      </c>
      <c r="I709" t="s">
        <v>4818</v>
      </c>
      <c r="J709" t="s">
        <v>53</v>
      </c>
      <c r="K709" t="s">
        <v>2490</v>
      </c>
      <c r="L709" t="s">
        <v>43</v>
      </c>
      <c r="M709" s="2" t="s">
        <v>4819</v>
      </c>
      <c r="N709" t="s">
        <v>31</v>
      </c>
      <c r="O709" t="s">
        <v>7879</v>
      </c>
      <c r="P709" t="s">
        <v>7940</v>
      </c>
      <c r="Q709" t="s">
        <v>46</v>
      </c>
      <c r="R709" t="s">
        <v>33</v>
      </c>
      <c r="S709" t="s">
        <v>34</v>
      </c>
      <c r="T709" s="1">
        <v>195000</v>
      </c>
      <c r="U709">
        <v>0</v>
      </c>
      <c r="V709">
        <v>0</v>
      </c>
      <c r="W709" t="s">
        <v>4820</v>
      </c>
    </row>
    <row r="710" spans="1:23" x14ac:dyDescent="0.25">
      <c r="A710">
        <v>2625</v>
      </c>
      <c r="B710" t="s">
        <v>23</v>
      </c>
      <c r="D710">
        <v>720</v>
      </c>
      <c r="E710" t="s">
        <v>4821</v>
      </c>
      <c r="F710" t="s">
        <v>4822</v>
      </c>
      <c r="G710" t="s">
        <v>4823</v>
      </c>
      <c r="H710" t="s">
        <v>4824</v>
      </c>
      <c r="I710" t="s">
        <v>7929</v>
      </c>
      <c r="J710" t="s">
        <v>53</v>
      </c>
      <c r="K710" t="s">
        <v>4825</v>
      </c>
      <c r="L710" t="s">
        <v>43</v>
      </c>
      <c r="M710">
        <v>7068240950</v>
      </c>
      <c r="N710" t="s">
        <v>2333</v>
      </c>
      <c r="O710" t="s">
        <v>7886</v>
      </c>
      <c r="P710" t="s">
        <v>7930</v>
      </c>
      <c r="Q710" t="s">
        <v>46</v>
      </c>
      <c r="R710" t="s">
        <v>33</v>
      </c>
      <c r="S710" t="s">
        <v>34</v>
      </c>
      <c r="T710" s="1">
        <v>812500</v>
      </c>
      <c r="U710">
        <v>0</v>
      </c>
      <c r="V710" s="1">
        <v>162500</v>
      </c>
      <c r="W710" t="s">
        <v>4826</v>
      </c>
    </row>
    <row r="711" spans="1:23" x14ac:dyDescent="0.25">
      <c r="A711">
        <v>11562</v>
      </c>
      <c r="B711" t="s">
        <v>23</v>
      </c>
      <c r="D711">
        <v>721</v>
      </c>
      <c r="E711" t="s">
        <v>4827</v>
      </c>
      <c r="F711" t="s">
        <v>4828</v>
      </c>
      <c r="G711" t="s">
        <v>2006</v>
      </c>
      <c r="H711" t="s">
        <v>4829</v>
      </c>
      <c r="I711" t="s">
        <v>4830</v>
      </c>
      <c r="J711" t="s">
        <v>28</v>
      </c>
      <c r="K711" t="s">
        <v>4831</v>
      </c>
      <c r="L711" t="s">
        <v>43</v>
      </c>
      <c r="M711" s="2" t="s">
        <v>4832</v>
      </c>
      <c r="N711" t="s">
        <v>31</v>
      </c>
      <c r="O711" t="s">
        <v>7881</v>
      </c>
      <c r="P711" t="s">
        <v>7893</v>
      </c>
      <c r="Q711" t="s">
        <v>46</v>
      </c>
      <c r="R711" t="s">
        <v>33</v>
      </c>
      <c r="S711" t="s">
        <v>34</v>
      </c>
      <c r="T711" s="1">
        <v>552500</v>
      </c>
      <c r="U711">
        <v>0</v>
      </c>
      <c r="V711">
        <v>0</v>
      </c>
      <c r="W711" t="s">
        <v>4833</v>
      </c>
    </row>
    <row r="712" spans="1:23" x14ac:dyDescent="0.25">
      <c r="A712">
        <v>20478</v>
      </c>
      <c r="B712" t="s">
        <v>23</v>
      </c>
      <c r="D712">
        <v>722</v>
      </c>
      <c r="E712" t="s">
        <v>4834</v>
      </c>
      <c r="F712" t="s">
        <v>4620</v>
      </c>
      <c r="G712" t="s">
        <v>4835</v>
      </c>
      <c r="H712" t="s">
        <v>1219</v>
      </c>
      <c r="I712" t="s">
        <v>4836</v>
      </c>
      <c r="J712" t="s">
        <v>53</v>
      </c>
      <c r="K712" t="s">
        <v>4837</v>
      </c>
      <c r="L712" t="s">
        <v>43</v>
      </c>
      <c r="M712">
        <v>2347069298560</v>
      </c>
      <c r="N712" t="s">
        <v>45</v>
      </c>
      <c r="O712" t="s">
        <v>7881</v>
      </c>
      <c r="P712" t="s">
        <v>7888</v>
      </c>
      <c r="Q712" t="s">
        <v>63</v>
      </c>
      <c r="R712" t="s">
        <v>33</v>
      </c>
      <c r="S712" t="s">
        <v>34</v>
      </c>
      <c r="T712" s="1">
        <v>552500</v>
      </c>
      <c r="U712" s="1">
        <v>110500</v>
      </c>
      <c r="V712">
        <v>0</v>
      </c>
      <c r="W712" t="s">
        <v>4838</v>
      </c>
    </row>
    <row r="713" spans="1:23" x14ac:dyDescent="0.25">
      <c r="A713">
        <v>637</v>
      </c>
      <c r="B713" t="s">
        <v>23</v>
      </c>
      <c r="D713">
        <v>723</v>
      </c>
      <c r="E713" t="s">
        <v>4839</v>
      </c>
      <c r="F713" t="s">
        <v>4840</v>
      </c>
      <c r="G713" t="s">
        <v>4841</v>
      </c>
      <c r="H713" t="s">
        <v>2481</v>
      </c>
      <c r="I713" t="s">
        <v>4842</v>
      </c>
      <c r="J713" t="s">
        <v>28</v>
      </c>
      <c r="K713" t="s">
        <v>739</v>
      </c>
      <c r="L713" t="s">
        <v>43</v>
      </c>
      <c r="M713">
        <v>2348066306714</v>
      </c>
      <c r="N713" t="s">
        <v>31</v>
      </c>
      <c r="O713" t="s">
        <v>7886</v>
      </c>
      <c r="P713" t="s">
        <v>7981</v>
      </c>
      <c r="Q713" t="s">
        <v>46</v>
      </c>
      <c r="R713" t="s">
        <v>33</v>
      </c>
      <c r="S713" t="s">
        <v>34</v>
      </c>
      <c r="T713" s="1">
        <v>812500</v>
      </c>
      <c r="U713">
        <v>0</v>
      </c>
      <c r="V713" s="1">
        <v>162500</v>
      </c>
      <c r="W713" t="s">
        <v>4843</v>
      </c>
    </row>
    <row r="714" spans="1:23" x14ac:dyDescent="0.25">
      <c r="A714">
        <v>24452</v>
      </c>
      <c r="B714" t="s">
        <v>23</v>
      </c>
      <c r="D714">
        <v>724</v>
      </c>
      <c r="E714" t="s">
        <v>4844</v>
      </c>
      <c r="F714" t="s">
        <v>4845</v>
      </c>
      <c r="G714" t="s">
        <v>1692</v>
      </c>
      <c r="I714" t="s">
        <v>4846</v>
      </c>
      <c r="J714" t="s">
        <v>28</v>
      </c>
      <c r="K714" t="s">
        <v>4847</v>
      </c>
      <c r="L714" t="s">
        <v>43</v>
      </c>
      <c r="M714" s="2" t="s">
        <v>4848</v>
      </c>
      <c r="N714" t="s">
        <v>31</v>
      </c>
      <c r="O714" t="s">
        <v>7879</v>
      </c>
      <c r="P714" t="s">
        <v>7981</v>
      </c>
      <c r="Q714" t="s">
        <v>46</v>
      </c>
      <c r="R714" t="s">
        <v>33</v>
      </c>
      <c r="S714" t="s">
        <v>34</v>
      </c>
      <c r="T714" s="1">
        <v>195000</v>
      </c>
      <c r="U714">
        <v>0</v>
      </c>
      <c r="V714">
        <v>0</v>
      </c>
      <c r="W714" t="s">
        <v>4849</v>
      </c>
    </row>
    <row r="715" spans="1:23" x14ac:dyDescent="0.25">
      <c r="A715">
        <v>18621</v>
      </c>
      <c r="B715" t="s">
        <v>23</v>
      </c>
      <c r="D715">
        <v>725</v>
      </c>
      <c r="E715" t="s">
        <v>4850</v>
      </c>
      <c r="F715" t="s">
        <v>4851</v>
      </c>
      <c r="G715" t="s">
        <v>1440</v>
      </c>
      <c r="H715" t="s">
        <v>1326</v>
      </c>
      <c r="I715" t="s">
        <v>4852</v>
      </c>
      <c r="J715" t="s">
        <v>28</v>
      </c>
      <c r="K715" t="s">
        <v>4853</v>
      </c>
      <c r="L715" t="s">
        <v>43</v>
      </c>
      <c r="M715">
        <v>2348035832180</v>
      </c>
      <c r="N715" t="s">
        <v>45</v>
      </c>
      <c r="O715" t="s">
        <v>7881</v>
      </c>
      <c r="P715" t="s">
        <v>7888</v>
      </c>
      <c r="Q715" t="s">
        <v>46</v>
      </c>
      <c r="R715" t="s">
        <v>33</v>
      </c>
      <c r="S715" t="s">
        <v>34</v>
      </c>
      <c r="T715" s="1">
        <v>552500</v>
      </c>
      <c r="U715" s="1">
        <v>110500</v>
      </c>
      <c r="V715">
        <v>0</v>
      </c>
      <c r="W715" t="s">
        <v>4854</v>
      </c>
    </row>
    <row r="716" spans="1:23" x14ac:dyDescent="0.25">
      <c r="A716">
        <v>6424</v>
      </c>
      <c r="B716" t="s">
        <v>23</v>
      </c>
      <c r="D716">
        <v>726</v>
      </c>
      <c r="E716" t="s">
        <v>4855</v>
      </c>
      <c r="F716" t="s">
        <v>4856</v>
      </c>
      <c r="G716" t="s">
        <v>4857</v>
      </c>
      <c r="H716" t="s">
        <v>4858</v>
      </c>
      <c r="I716" t="s">
        <v>7968</v>
      </c>
      <c r="J716" t="s">
        <v>53</v>
      </c>
      <c r="K716" t="s">
        <v>7969</v>
      </c>
      <c r="L716" t="s">
        <v>43</v>
      </c>
      <c r="M716" s="2" t="s">
        <v>4859</v>
      </c>
      <c r="N716" t="s">
        <v>31</v>
      </c>
      <c r="O716" t="s">
        <v>7886</v>
      </c>
      <c r="P716" t="s">
        <v>7940</v>
      </c>
      <c r="Q716" t="s">
        <v>63</v>
      </c>
      <c r="R716" t="s">
        <v>33</v>
      </c>
      <c r="S716" t="s">
        <v>34</v>
      </c>
      <c r="T716" s="1">
        <v>812500</v>
      </c>
      <c r="U716">
        <v>0</v>
      </c>
      <c r="V716" s="1">
        <v>162500</v>
      </c>
      <c r="W716" t="s">
        <v>4860</v>
      </c>
    </row>
    <row r="717" spans="1:23" x14ac:dyDescent="0.25">
      <c r="A717">
        <v>24468</v>
      </c>
      <c r="B717" t="s">
        <v>23</v>
      </c>
      <c r="D717">
        <v>727</v>
      </c>
      <c r="E717" t="s">
        <v>4861</v>
      </c>
      <c r="F717" t="s">
        <v>4862</v>
      </c>
      <c r="G717" t="s">
        <v>4863</v>
      </c>
      <c r="I717" t="s">
        <v>4864</v>
      </c>
      <c r="J717" t="s">
        <v>28</v>
      </c>
      <c r="K717" t="s">
        <v>4865</v>
      </c>
      <c r="L717" t="s">
        <v>765</v>
      </c>
      <c r="M717">
        <v>23276203600</v>
      </c>
      <c r="N717" t="s">
        <v>31</v>
      </c>
      <c r="O717" t="s">
        <v>7879</v>
      </c>
      <c r="P717" t="s">
        <v>7940</v>
      </c>
      <c r="Q717" t="s">
        <v>1480</v>
      </c>
      <c r="R717" t="s">
        <v>33</v>
      </c>
      <c r="S717" t="s">
        <v>34</v>
      </c>
      <c r="T717" s="1">
        <v>195000</v>
      </c>
      <c r="U717">
        <v>0</v>
      </c>
      <c r="V717">
        <v>0</v>
      </c>
      <c r="W717" t="s">
        <v>4866</v>
      </c>
    </row>
    <row r="718" spans="1:23" x14ac:dyDescent="0.25">
      <c r="A718">
        <v>24009</v>
      </c>
      <c r="B718" t="s">
        <v>23</v>
      </c>
      <c r="D718">
        <v>728</v>
      </c>
      <c r="E718" t="s">
        <v>4867</v>
      </c>
      <c r="F718" t="s">
        <v>2479</v>
      </c>
      <c r="G718" t="s">
        <v>4868</v>
      </c>
      <c r="H718" t="s">
        <v>980</v>
      </c>
      <c r="I718" t="s">
        <v>4869</v>
      </c>
      <c r="J718" t="s">
        <v>53</v>
      </c>
      <c r="K718" t="s">
        <v>4870</v>
      </c>
      <c r="L718" t="s">
        <v>43</v>
      </c>
      <c r="M718" s="2" t="s">
        <v>4871</v>
      </c>
      <c r="N718" t="s">
        <v>31</v>
      </c>
      <c r="O718" t="s">
        <v>7879</v>
      </c>
      <c r="P718" t="s">
        <v>7888</v>
      </c>
      <c r="Q718" t="s">
        <v>46</v>
      </c>
      <c r="R718" t="s">
        <v>33</v>
      </c>
      <c r="S718" t="s">
        <v>34</v>
      </c>
      <c r="T718" s="1">
        <v>195000</v>
      </c>
      <c r="U718">
        <v>0</v>
      </c>
      <c r="V718">
        <v>0</v>
      </c>
      <c r="W718" t="s">
        <v>4872</v>
      </c>
    </row>
    <row r="719" spans="1:23" x14ac:dyDescent="0.25">
      <c r="A719">
        <v>24375</v>
      </c>
      <c r="B719" t="s">
        <v>23</v>
      </c>
      <c r="D719">
        <v>729</v>
      </c>
      <c r="E719" t="s">
        <v>4873</v>
      </c>
      <c r="F719" t="s">
        <v>4874</v>
      </c>
      <c r="G719" t="s">
        <v>4875</v>
      </c>
      <c r="I719" t="s">
        <v>4876</v>
      </c>
      <c r="J719" t="s">
        <v>28</v>
      </c>
      <c r="K719" t="s">
        <v>4877</v>
      </c>
      <c r="L719" t="s">
        <v>765</v>
      </c>
      <c r="M719">
        <v>23278365488</v>
      </c>
      <c r="N719" t="s">
        <v>31</v>
      </c>
      <c r="O719" t="s">
        <v>7879</v>
      </c>
      <c r="P719" t="s">
        <v>7940</v>
      </c>
      <c r="Q719" t="s">
        <v>1480</v>
      </c>
      <c r="R719" t="s">
        <v>33</v>
      </c>
      <c r="S719" t="s">
        <v>34</v>
      </c>
      <c r="T719" s="1">
        <v>195000</v>
      </c>
      <c r="U719">
        <v>0</v>
      </c>
      <c r="V719">
        <v>0</v>
      </c>
      <c r="W719" t="s">
        <v>4878</v>
      </c>
    </row>
    <row r="720" spans="1:23" x14ac:dyDescent="0.25">
      <c r="A720">
        <v>20171</v>
      </c>
      <c r="B720" t="s">
        <v>23</v>
      </c>
      <c r="D720">
        <v>730</v>
      </c>
      <c r="E720" t="s">
        <v>4879</v>
      </c>
      <c r="F720" t="s">
        <v>4880</v>
      </c>
      <c r="G720" t="s">
        <v>4881</v>
      </c>
      <c r="I720" t="s">
        <v>4882</v>
      </c>
      <c r="J720" t="s">
        <v>53</v>
      </c>
      <c r="K720" t="s">
        <v>4883</v>
      </c>
      <c r="L720" t="s">
        <v>43</v>
      </c>
      <c r="M720" s="2" t="s">
        <v>4884</v>
      </c>
      <c r="N720" t="s">
        <v>31</v>
      </c>
      <c r="O720" t="s">
        <v>7881</v>
      </c>
      <c r="P720" t="s">
        <v>7940</v>
      </c>
      <c r="Q720" t="s">
        <v>46</v>
      </c>
      <c r="R720" t="s">
        <v>33</v>
      </c>
      <c r="S720" t="s">
        <v>34</v>
      </c>
      <c r="T720" s="1">
        <v>552500</v>
      </c>
      <c r="U720">
        <v>0</v>
      </c>
      <c r="V720">
        <v>0</v>
      </c>
      <c r="W720" t="s">
        <v>4885</v>
      </c>
    </row>
    <row r="721" spans="1:23" x14ac:dyDescent="0.25">
      <c r="A721">
        <v>24368</v>
      </c>
      <c r="B721" t="s">
        <v>23</v>
      </c>
      <c r="D721">
        <v>731</v>
      </c>
      <c r="E721" t="s">
        <v>4886</v>
      </c>
      <c r="F721" t="s">
        <v>4887</v>
      </c>
      <c r="G721" t="s">
        <v>4888</v>
      </c>
      <c r="H721" t="s">
        <v>4889</v>
      </c>
      <c r="I721" t="s">
        <v>4890</v>
      </c>
      <c r="J721" t="s">
        <v>28</v>
      </c>
      <c r="K721" t="s">
        <v>4891</v>
      </c>
      <c r="L721" t="s">
        <v>43</v>
      </c>
      <c r="M721" s="2" t="s">
        <v>4892</v>
      </c>
      <c r="N721" t="s">
        <v>31</v>
      </c>
      <c r="O721" t="s">
        <v>7879</v>
      </c>
      <c r="P721" t="s">
        <v>8028</v>
      </c>
      <c r="Q721" t="s">
        <v>87</v>
      </c>
      <c r="R721" t="s">
        <v>33</v>
      </c>
      <c r="S721" t="s">
        <v>34</v>
      </c>
      <c r="T721" s="1">
        <v>195000</v>
      </c>
      <c r="U721">
        <v>0</v>
      </c>
      <c r="V721">
        <v>0</v>
      </c>
      <c r="W721" t="s">
        <v>4893</v>
      </c>
    </row>
    <row r="722" spans="1:23" x14ac:dyDescent="0.25">
      <c r="A722">
        <v>7403</v>
      </c>
      <c r="B722" t="s">
        <v>23</v>
      </c>
      <c r="D722">
        <v>732</v>
      </c>
      <c r="E722" t="s">
        <v>4894</v>
      </c>
      <c r="F722" t="s">
        <v>1319</v>
      </c>
      <c r="G722" t="s">
        <v>4895</v>
      </c>
      <c r="H722" t="s">
        <v>4896</v>
      </c>
      <c r="I722" t="s">
        <v>4897</v>
      </c>
      <c r="J722" t="s">
        <v>28</v>
      </c>
      <c r="K722" t="s">
        <v>4898</v>
      </c>
      <c r="L722" t="s">
        <v>43</v>
      </c>
      <c r="M722">
        <v>8036542398</v>
      </c>
      <c r="N722" t="s">
        <v>31</v>
      </c>
      <c r="O722" t="s">
        <v>7886</v>
      </c>
      <c r="P722" t="s">
        <v>7981</v>
      </c>
      <c r="Q722" t="s">
        <v>46</v>
      </c>
      <c r="R722" t="s">
        <v>33</v>
      </c>
      <c r="S722" t="s">
        <v>34</v>
      </c>
      <c r="T722" s="1">
        <v>812500</v>
      </c>
      <c r="U722">
        <v>0</v>
      </c>
      <c r="V722" s="1">
        <v>162500</v>
      </c>
      <c r="W722" t="s">
        <v>4899</v>
      </c>
    </row>
    <row r="723" spans="1:23" x14ac:dyDescent="0.25">
      <c r="A723">
        <v>9722</v>
      </c>
      <c r="B723" t="s">
        <v>23</v>
      </c>
      <c r="D723">
        <v>733</v>
      </c>
      <c r="E723" t="s">
        <v>4900</v>
      </c>
      <c r="F723" t="s">
        <v>4901</v>
      </c>
      <c r="G723" t="s">
        <v>4902</v>
      </c>
      <c r="H723" t="s">
        <v>3108</v>
      </c>
      <c r="I723" t="s">
        <v>4903</v>
      </c>
      <c r="J723" t="s">
        <v>53</v>
      </c>
      <c r="K723" t="s">
        <v>236</v>
      </c>
      <c r="L723" t="s">
        <v>43</v>
      </c>
      <c r="M723">
        <v>2348079776523</v>
      </c>
      <c r="N723" t="s">
        <v>31</v>
      </c>
      <c r="O723" t="s">
        <v>7881</v>
      </c>
      <c r="P723" t="s">
        <v>7888</v>
      </c>
      <c r="Q723" t="s">
        <v>46</v>
      </c>
      <c r="R723" t="s">
        <v>33</v>
      </c>
      <c r="S723" t="s">
        <v>34</v>
      </c>
      <c r="T723" s="1">
        <v>552500</v>
      </c>
      <c r="U723" s="1">
        <v>110500</v>
      </c>
      <c r="V723">
        <v>0</v>
      </c>
      <c r="W723" t="s">
        <v>4904</v>
      </c>
    </row>
    <row r="724" spans="1:23" x14ac:dyDescent="0.25">
      <c r="A724">
        <v>6380</v>
      </c>
      <c r="B724" t="s">
        <v>1627</v>
      </c>
      <c r="C724" t="s">
        <v>7884</v>
      </c>
      <c r="D724">
        <v>734</v>
      </c>
      <c r="E724" t="s">
        <v>4905</v>
      </c>
      <c r="F724" t="s">
        <v>4906</v>
      </c>
      <c r="G724" t="s">
        <v>4907</v>
      </c>
      <c r="H724" t="s">
        <v>4908</v>
      </c>
      <c r="I724" t="s">
        <v>4909</v>
      </c>
      <c r="J724" t="s">
        <v>28</v>
      </c>
      <c r="K724" t="s">
        <v>4910</v>
      </c>
      <c r="L724" t="s">
        <v>43</v>
      </c>
      <c r="M724">
        <v>7050813560</v>
      </c>
      <c r="N724" t="s">
        <v>31</v>
      </c>
      <c r="O724" t="s">
        <v>7881</v>
      </c>
      <c r="P724" t="s">
        <v>8028</v>
      </c>
      <c r="Q724" t="s">
        <v>63</v>
      </c>
      <c r="R724" t="s">
        <v>33</v>
      </c>
      <c r="S724" t="s">
        <v>34</v>
      </c>
      <c r="T724" s="1">
        <v>552500</v>
      </c>
      <c r="U724">
        <v>0</v>
      </c>
      <c r="V724">
        <v>0</v>
      </c>
      <c r="W724" t="s">
        <v>4911</v>
      </c>
    </row>
    <row r="725" spans="1:23" x14ac:dyDescent="0.25">
      <c r="A725">
        <v>24460</v>
      </c>
      <c r="B725" t="s">
        <v>23</v>
      </c>
      <c r="D725">
        <v>735</v>
      </c>
      <c r="E725" t="s">
        <v>4912</v>
      </c>
      <c r="F725" t="s">
        <v>1276</v>
      </c>
      <c r="G725" t="s">
        <v>4674</v>
      </c>
      <c r="H725" t="s">
        <v>4913</v>
      </c>
      <c r="I725" t="s">
        <v>4914</v>
      </c>
      <c r="J725" t="s">
        <v>28</v>
      </c>
      <c r="K725" t="s">
        <v>4915</v>
      </c>
      <c r="L725" t="s">
        <v>43</v>
      </c>
      <c r="M725">
        <v>2348102581637</v>
      </c>
      <c r="N725" t="s">
        <v>31</v>
      </c>
      <c r="O725" t="s">
        <v>7879</v>
      </c>
      <c r="P725" t="s">
        <v>7981</v>
      </c>
      <c r="Q725" t="s">
        <v>87</v>
      </c>
      <c r="R725" t="s">
        <v>33</v>
      </c>
      <c r="S725" t="s">
        <v>34</v>
      </c>
      <c r="T725" s="1">
        <v>195000</v>
      </c>
      <c r="U725">
        <v>0</v>
      </c>
      <c r="V725">
        <v>0</v>
      </c>
      <c r="W725" t="s">
        <v>4916</v>
      </c>
    </row>
    <row r="726" spans="1:23" x14ac:dyDescent="0.25">
      <c r="A726">
        <v>24508</v>
      </c>
      <c r="B726" t="s">
        <v>23</v>
      </c>
      <c r="D726">
        <v>736</v>
      </c>
      <c r="E726" t="s">
        <v>4917</v>
      </c>
      <c r="F726" t="s">
        <v>4918</v>
      </c>
      <c r="G726" t="s">
        <v>346</v>
      </c>
      <c r="H726" t="s">
        <v>4919</v>
      </c>
      <c r="I726" t="s">
        <v>4920</v>
      </c>
      <c r="J726" t="s">
        <v>28</v>
      </c>
      <c r="K726" t="s">
        <v>2589</v>
      </c>
      <c r="L726" t="s">
        <v>43</v>
      </c>
      <c r="M726" s="2" t="s">
        <v>4921</v>
      </c>
      <c r="N726" t="s">
        <v>31</v>
      </c>
      <c r="O726" t="s">
        <v>7879</v>
      </c>
      <c r="P726" t="s">
        <v>7940</v>
      </c>
      <c r="Q726" t="s">
        <v>63</v>
      </c>
      <c r="R726" t="s">
        <v>33</v>
      </c>
      <c r="S726" t="s">
        <v>34</v>
      </c>
      <c r="T726" s="1">
        <v>195000</v>
      </c>
      <c r="U726">
        <v>0</v>
      </c>
      <c r="V726">
        <v>0</v>
      </c>
      <c r="W726" t="s">
        <v>4922</v>
      </c>
    </row>
    <row r="727" spans="1:23" x14ac:dyDescent="0.25">
      <c r="A727">
        <v>23673</v>
      </c>
      <c r="B727" t="s">
        <v>23</v>
      </c>
      <c r="D727">
        <v>737</v>
      </c>
      <c r="E727" t="s">
        <v>4923</v>
      </c>
      <c r="F727" t="s">
        <v>4924</v>
      </c>
      <c r="G727" t="s">
        <v>4925</v>
      </c>
      <c r="H727" t="s">
        <v>4926</v>
      </c>
      <c r="I727" t="s">
        <v>4927</v>
      </c>
      <c r="J727" t="s">
        <v>28</v>
      </c>
      <c r="K727" t="s">
        <v>4928</v>
      </c>
      <c r="L727" t="s">
        <v>43</v>
      </c>
      <c r="M727" s="2" t="s">
        <v>4929</v>
      </c>
      <c r="N727" t="s">
        <v>45</v>
      </c>
      <c r="O727" t="s">
        <v>7879</v>
      </c>
      <c r="P727" t="s">
        <v>7981</v>
      </c>
      <c r="Q727" t="s">
        <v>46</v>
      </c>
      <c r="R727" t="s">
        <v>33</v>
      </c>
      <c r="S727" t="s">
        <v>34</v>
      </c>
      <c r="T727" s="1">
        <v>195000</v>
      </c>
      <c r="U727">
        <v>0</v>
      </c>
      <c r="V727">
        <v>0</v>
      </c>
      <c r="W727" t="s">
        <v>4930</v>
      </c>
    </row>
    <row r="728" spans="1:23" x14ac:dyDescent="0.25">
      <c r="A728">
        <v>20598</v>
      </c>
      <c r="B728" t="s">
        <v>23</v>
      </c>
      <c r="D728">
        <v>738</v>
      </c>
      <c r="E728" t="s">
        <v>4931</v>
      </c>
      <c r="F728" t="s">
        <v>4932</v>
      </c>
      <c r="G728" t="s">
        <v>950</v>
      </c>
      <c r="H728" t="s">
        <v>4933</v>
      </c>
      <c r="I728" t="s">
        <v>4934</v>
      </c>
      <c r="J728" t="s">
        <v>28</v>
      </c>
      <c r="K728" t="s">
        <v>480</v>
      </c>
      <c r="L728" t="s">
        <v>453</v>
      </c>
      <c r="M728">
        <v>233206300907</v>
      </c>
      <c r="N728" t="s">
        <v>2333</v>
      </c>
      <c r="O728" t="s">
        <v>7886</v>
      </c>
      <c r="P728" t="s">
        <v>7981</v>
      </c>
      <c r="Q728" t="s">
        <v>455</v>
      </c>
      <c r="R728" t="s">
        <v>130</v>
      </c>
      <c r="S728" t="s">
        <v>131</v>
      </c>
      <c r="T728">
        <v>625</v>
      </c>
      <c r="U728">
        <v>0</v>
      </c>
      <c r="V728">
        <v>125</v>
      </c>
      <c r="W728" t="s">
        <v>4935</v>
      </c>
    </row>
    <row r="729" spans="1:23" x14ac:dyDescent="0.25">
      <c r="A729">
        <v>24510</v>
      </c>
      <c r="B729" t="s">
        <v>23</v>
      </c>
      <c r="D729">
        <v>739</v>
      </c>
      <c r="E729" t="s">
        <v>4936</v>
      </c>
      <c r="F729" t="s">
        <v>1229</v>
      </c>
      <c r="G729" t="s">
        <v>2782</v>
      </c>
      <c r="H729" t="s">
        <v>4937</v>
      </c>
      <c r="I729" t="s">
        <v>4938</v>
      </c>
      <c r="J729" t="s">
        <v>53</v>
      </c>
      <c r="K729" t="s">
        <v>4939</v>
      </c>
      <c r="L729" t="s">
        <v>43</v>
      </c>
      <c r="M729">
        <v>2347038067808</v>
      </c>
      <c r="N729" t="s">
        <v>31</v>
      </c>
      <c r="O729" t="s">
        <v>7879</v>
      </c>
      <c r="P729" t="s">
        <v>7893</v>
      </c>
      <c r="Q729" t="s">
        <v>46</v>
      </c>
      <c r="R729" t="s">
        <v>33</v>
      </c>
      <c r="S729" t="s">
        <v>34</v>
      </c>
      <c r="T729" s="1">
        <v>195000</v>
      </c>
      <c r="U729">
        <v>0</v>
      </c>
      <c r="V729">
        <v>0</v>
      </c>
      <c r="W729" t="s">
        <v>4940</v>
      </c>
    </row>
    <row r="730" spans="1:23" x14ac:dyDescent="0.25">
      <c r="A730">
        <v>23197</v>
      </c>
      <c r="B730" t="s">
        <v>23</v>
      </c>
      <c r="D730">
        <v>740</v>
      </c>
      <c r="E730" t="s">
        <v>4941</v>
      </c>
      <c r="F730" t="s">
        <v>4942</v>
      </c>
      <c r="G730" t="s">
        <v>4943</v>
      </c>
      <c r="H730" t="s">
        <v>4944</v>
      </c>
      <c r="I730" t="s">
        <v>4941</v>
      </c>
      <c r="J730" t="s">
        <v>53</v>
      </c>
      <c r="K730" t="s">
        <v>3242</v>
      </c>
      <c r="L730" t="s">
        <v>43</v>
      </c>
      <c r="M730" s="2" t="s">
        <v>4945</v>
      </c>
      <c r="N730" t="s">
        <v>31</v>
      </c>
      <c r="O730" t="s">
        <v>7879</v>
      </c>
      <c r="P730" t="s">
        <v>7893</v>
      </c>
      <c r="Q730" t="s">
        <v>46</v>
      </c>
      <c r="R730" t="s">
        <v>33</v>
      </c>
      <c r="S730" t="s">
        <v>34</v>
      </c>
      <c r="T730" s="1">
        <v>195000</v>
      </c>
      <c r="U730">
        <v>0</v>
      </c>
      <c r="V730">
        <v>0</v>
      </c>
      <c r="W730" t="s">
        <v>4946</v>
      </c>
    </row>
    <row r="731" spans="1:23" x14ac:dyDescent="0.25">
      <c r="A731">
        <v>23341</v>
      </c>
      <c r="B731" t="s">
        <v>23</v>
      </c>
      <c r="D731">
        <v>741</v>
      </c>
      <c r="E731" t="s">
        <v>4947</v>
      </c>
      <c r="F731" t="s">
        <v>4948</v>
      </c>
      <c r="G731" t="s">
        <v>3954</v>
      </c>
      <c r="H731" t="s">
        <v>4250</v>
      </c>
      <c r="I731" t="s">
        <v>4949</v>
      </c>
      <c r="J731" t="s">
        <v>28</v>
      </c>
      <c r="K731" t="s">
        <v>4950</v>
      </c>
      <c r="L731" t="s">
        <v>43</v>
      </c>
      <c r="M731" s="2" t="s">
        <v>4951</v>
      </c>
      <c r="N731" t="s">
        <v>45</v>
      </c>
      <c r="O731" t="s">
        <v>7879</v>
      </c>
      <c r="P731" t="s">
        <v>7981</v>
      </c>
      <c r="Q731" t="s">
        <v>87</v>
      </c>
      <c r="R731" t="s">
        <v>33</v>
      </c>
      <c r="S731" t="s">
        <v>34</v>
      </c>
      <c r="T731" s="1">
        <v>195000</v>
      </c>
      <c r="U731">
        <v>0</v>
      </c>
      <c r="V731">
        <v>0</v>
      </c>
      <c r="W731" t="s">
        <v>4952</v>
      </c>
    </row>
    <row r="732" spans="1:23" x14ac:dyDescent="0.25">
      <c r="A732">
        <v>9996</v>
      </c>
      <c r="B732" t="s">
        <v>23</v>
      </c>
      <c r="D732">
        <v>742</v>
      </c>
      <c r="E732" t="s">
        <v>4953</v>
      </c>
      <c r="F732" t="s">
        <v>4954</v>
      </c>
      <c r="G732" t="s">
        <v>4955</v>
      </c>
      <c r="H732" t="s">
        <v>4956</v>
      </c>
      <c r="I732" t="s">
        <v>4957</v>
      </c>
      <c r="J732" t="s">
        <v>28</v>
      </c>
      <c r="K732" t="s">
        <v>4958</v>
      </c>
      <c r="L732" t="s">
        <v>43</v>
      </c>
      <c r="M732" s="2" t="s">
        <v>4959</v>
      </c>
      <c r="N732" t="s">
        <v>31</v>
      </c>
      <c r="O732" t="s">
        <v>7881</v>
      </c>
      <c r="P732" t="s">
        <v>7893</v>
      </c>
      <c r="Q732" t="s">
        <v>63</v>
      </c>
      <c r="R732" t="s">
        <v>33</v>
      </c>
      <c r="S732" t="s">
        <v>34</v>
      </c>
      <c r="T732" s="1">
        <v>552500</v>
      </c>
      <c r="U732">
        <v>0</v>
      </c>
      <c r="V732">
        <v>0</v>
      </c>
      <c r="W732" t="s">
        <v>4960</v>
      </c>
    </row>
    <row r="733" spans="1:23" x14ac:dyDescent="0.25">
      <c r="A733">
        <v>24489</v>
      </c>
      <c r="B733" t="s">
        <v>23</v>
      </c>
      <c r="D733">
        <v>743</v>
      </c>
      <c r="E733" t="s">
        <v>4961</v>
      </c>
      <c r="F733" t="s">
        <v>382</v>
      </c>
      <c r="G733" t="s">
        <v>2195</v>
      </c>
      <c r="H733" t="s">
        <v>4962</v>
      </c>
      <c r="I733" t="s">
        <v>4963</v>
      </c>
      <c r="J733" t="s">
        <v>53</v>
      </c>
      <c r="K733" t="s">
        <v>386</v>
      </c>
      <c r="L733" t="s">
        <v>43</v>
      </c>
      <c r="M733" s="2" t="s">
        <v>4964</v>
      </c>
      <c r="N733" t="s">
        <v>31</v>
      </c>
      <c r="O733" t="s">
        <v>7879</v>
      </c>
      <c r="P733" t="s">
        <v>7888</v>
      </c>
      <c r="Q733" t="s">
        <v>46</v>
      </c>
      <c r="R733" t="s">
        <v>33</v>
      </c>
      <c r="S733" t="s">
        <v>34</v>
      </c>
      <c r="T733" s="1">
        <v>195000</v>
      </c>
      <c r="U733">
        <v>0</v>
      </c>
      <c r="V733">
        <v>0</v>
      </c>
      <c r="W733" t="s">
        <v>4965</v>
      </c>
    </row>
    <row r="734" spans="1:23" x14ac:dyDescent="0.25">
      <c r="A734">
        <v>22286</v>
      </c>
      <c r="B734" t="s">
        <v>23</v>
      </c>
      <c r="D734">
        <v>744</v>
      </c>
      <c r="E734" t="s">
        <v>4966</v>
      </c>
      <c r="F734" t="s">
        <v>1358</v>
      </c>
      <c r="G734" t="s">
        <v>3880</v>
      </c>
      <c r="H734" t="s">
        <v>2195</v>
      </c>
      <c r="I734" t="s">
        <v>4967</v>
      </c>
      <c r="J734" t="s">
        <v>28</v>
      </c>
      <c r="K734" t="s">
        <v>4968</v>
      </c>
      <c r="L734" t="s">
        <v>43</v>
      </c>
      <c r="M734" s="2" t="s">
        <v>4969</v>
      </c>
      <c r="N734" t="s">
        <v>45</v>
      </c>
      <c r="O734" t="s">
        <v>7879</v>
      </c>
      <c r="P734" t="s">
        <v>7893</v>
      </c>
      <c r="Q734" t="s">
        <v>46</v>
      </c>
      <c r="R734" t="s">
        <v>33</v>
      </c>
      <c r="S734" t="s">
        <v>34</v>
      </c>
      <c r="T734" s="1">
        <v>195000</v>
      </c>
      <c r="U734">
        <v>0</v>
      </c>
      <c r="V734">
        <v>0</v>
      </c>
      <c r="W734" t="s">
        <v>4970</v>
      </c>
    </row>
    <row r="735" spans="1:23" x14ac:dyDescent="0.25">
      <c r="A735">
        <v>18643</v>
      </c>
      <c r="B735" t="s">
        <v>23</v>
      </c>
      <c r="D735">
        <v>745</v>
      </c>
      <c r="E735" t="s">
        <v>4971</v>
      </c>
      <c r="F735" t="s">
        <v>4972</v>
      </c>
      <c r="G735" t="s">
        <v>4674</v>
      </c>
      <c r="H735" t="s">
        <v>4973</v>
      </c>
      <c r="I735" t="s">
        <v>4974</v>
      </c>
      <c r="J735" t="s">
        <v>28</v>
      </c>
      <c r="K735" t="s">
        <v>517</v>
      </c>
      <c r="L735" t="s">
        <v>43</v>
      </c>
      <c r="M735">
        <v>2348030734748</v>
      </c>
      <c r="N735" t="s">
        <v>45</v>
      </c>
      <c r="O735" t="s">
        <v>7881</v>
      </c>
      <c r="P735" t="s">
        <v>7981</v>
      </c>
      <c r="Q735" t="s">
        <v>46</v>
      </c>
      <c r="R735" t="s">
        <v>33</v>
      </c>
      <c r="S735" t="s">
        <v>34</v>
      </c>
      <c r="T735" s="1">
        <v>552500</v>
      </c>
      <c r="U735">
        <v>0</v>
      </c>
      <c r="V735">
        <v>0</v>
      </c>
      <c r="W735" t="s">
        <v>4975</v>
      </c>
    </row>
    <row r="736" spans="1:23" x14ac:dyDescent="0.25">
      <c r="A736">
        <v>23633</v>
      </c>
      <c r="B736" t="s">
        <v>23</v>
      </c>
      <c r="D736">
        <v>746</v>
      </c>
      <c r="E736" t="s">
        <v>4976</v>
      </c>
      <c r="F736" t="s">
        <v>4977</v>
      </c>
      <c r="G736" t="s">
        <v>4978</v>
      </c>
      <c r="H736" t="s">
        <v>4979</v>
      </c>
      <c r="I736" t="s">
        <v>4980</v>
      </c>
      <c r="J736" t="s">
        <v>28</v>
      </c>
      <c r="K736" t="s">
        <v>4981</v>
      </c>
      <c r="L736" t="s">
        <v>43</v>
      </c>
      <c r="M736">
        <v>2348130317390</v>
      </c>
      <c r="N736" t="s">
        <v>45</v>
      </c>
      <c r="O736" t="s">
        <v>7879</v>
      </c>
      <c r="P736" t="s">
        <v>7981</v>
      </c>
      <c r="Q736" t="s">
        <v>87</v>
      </c>
      <c r="R736" t="s">
        <v>33</v>
      </c>
      <c r="S736" t="s">
        <v>34</v>
      </c>
      <c r="T736" s="1">
        <v>195000</v>
      </c>
      <c r="U736">
        <v>0</v>
      </c>
      <c r="V736">
        <v>0</v>
      </c>
      <c r="W736" t="s">
        <v>4982</v>
      </c>
    </row>
    <row r="737" spans="1:23" x14ac:dyDescent="0.25">
      <c r="A737">
        <v>20599</v>
      </c>
      <c r="B737" t="s">
        <v>23</v>
      </c>
      <c r="D737">
        <v>747</v>
      </c>
      <c r="E737" t="s">
        <v>4983</v>
      </c>
      <c r="F737" t="s">
        <v>4984</v>
      </c>
      <c r="G737" t="s">
        <v>4985</v>
      </c>
      <c r="H737" t="s">
        <v>4986</v>
      </c>
      <c r="I737" t="s">
        <v>4987</v>
      </c>
      <c r="J737" t="s">
        <v>28</v>
      </c>
      <c r="K737" t="s">
        <v>4988</v>
      </c>
      <c r="L737" t="s">
        <v>453</v>
      </c>
      <c r="M737" s="2" t="s">
        <v>4989</v>
      </c>
      <c r="N737" t="s">
        <v>45</v>
      </c>
      <c r="O737" t="s">
        <v>7881</v>
      </c>
      <c r="P737" t="s">
        <v>7981</v>
      </c>
      <c r="Q737" t="s">
        <v>455</v>
      </c>
      <c r="R737" t="s">
        <v>130</v>
      </c>
      <c r="S737" t="s">
        <v>131</v>
      </c>
      <c r="T737">
        <v>425</v>
      </c>
      <c r="U737">
        <v>0</v>
      </c>
      <c r="V737">
        <v>0</v>
      </c>
      <c r="W737" t="s">
        <v>4990</v>
      </c>
    </row>
    <row r="738" spans="1:23" x14ac:dyDescent="0.25">
      <c r="A738">
        <v>23606</v>
      </c>
      <c r="B738" t="s">
        <v>23</v>
      </c>
      <c r="D738">
        <v>748</v>
      </c>
      <c r="E738" t="s">
        <v>4991</v>
      </c>
      <c r="F738" t="s">
        <v>4992</v>
      </c>
      <c r="G738" t="s">
        <v>4993</v>
      </c>
      <c r="H738" t="s">
        <v>4994</v>
      </c>
      <c r="I738" t="s">
        <v>4995</v>
      </c>
      <c r="J738" t="s">
        <v>28</v>
      </c>
      <c r="K738" t="s">
        <v>4996</v>
      </c>
      <c r="L738" t="s">
        <v>43</v>
      </c>
      <c r="M738" s="2" t="s">
        <v>4997</v>
      </c>
      <c r="N738" t="s">
        <v>45</v>
      </c>
      <c r="O738" t="s">
        <v>7879</v>
      </c>
      <c r="P738" t="s">
        <v>7981</v>
      </c>
      <c r="Q738" t="s">
        <v>87</v>
      </c>
      <c r="R738" t="s">
        <v>33</v>
      </c>
      <c r="S738" t="s">
        <v>34</v>
      </c>
      <c r="T738" s="1">
        <v>195000</v>
      </c>
      <c r="U738">
        <v>0</v>
      </c>
      <c r="V738">
        <v>0</v>
      </c>
      <c r="W738" t="s">
        <v>4998</v>
      </c>
    </row>
    <row r="739" spans="1:23" x14ac:dyDescent="0.25">
      <c r="A739">
        <v>9880</v>
      </c>
      <c r="B739" t="s">
        <v>23</v>
      </c>
      <c r="D739">
        <v>749</v>
      </c>
      <c r="E739" t="s">
        <v>4999</v>
      </c>
      <c r="F739" t="s">
        <v>1092</v>
      </c>
      <c r="G739" t="s">
        <v>5000</v>
      </c>
      <c r="H739" t="s">
        <v>5001</v>
      </c>
      <c r="I739" t="s">
        <v>5002</v>
      </c>
      <c r="J739" t="s">
        <v>28</v>
      </c>
      <c r="K739" t="s">
        <v>2086</v>
      </c>
      <c r="L739" t="s">
        <v>43</v>
      </c>
      <c r="M739" s="2" t="s">
        <v>5003</v>
      </c>
      <c r="N739" t="s">
        <v>31</v>
      </c>
      <c r="O739" t="s">
        <v>7886</v>
      </c>
      <c r="P739" t="s">
        <v>7981</v>
      </c>
      <c r="Q739" t="s">
        <v>63</v>
      </c>
      <c r="R739" t="s">
        <v>33</v>
      </c>
      <c r="S739" t="s">
        <v>34</v>
      </c>
      <c r="T739" s="1">
        <v>812500</v>
      </c>
      <c r="U739">
        <v>0</v>
      </c>
      <c r="V739" s="1">
        <v>162500</v>
      </c>
      <c r="W739" t="s">
        <v>5004</v>
      </c>
    </row>
    <row r="740" spans="1:23" x14ac:dyDescent="0.25">
      <c r="A740">
        <v>24103</v>
      </c>
      <c r="B740" t="s">
        <v>23</v>
      </c>
      <c r="D740">
        <v>750</v>
      </c>
      <c r="E740" t="s">
        <v>5005</v>
      </c>
      <c r="F740" t="s">
        <v>5006</v>
      </c>
      <c r="G740" t="s">
        <v>5007</v>
      </c>
      <c r="H740" t="s">
        <v>2020</v>
      </c>
      <c r="I740" t="s">
        <v>5008</v>
      </c>
      <c r="J740" t="s">
        <v>28</v>
      </c>
      <c r="K740" t="s">
        <v>93</v>
      </c>
      <c r="L740" t="s">
        <v>43</v>
      </c>
      <c r="M740" s="2" t="s">
        <v>5009</v>
      </c>
      <c r="N740" t="s">
        <v>31</v>
      </c>
      <c r="O740" t="s">
        <v>7879</v>
      </c>
      <c r="P740" t="s">
        <v>8028</v>
      </c>
      <c r="Q740" t="s">
        <v>46</v>
      </c>
      <c r="R740" t="s">
        <v>33</v>
      </c>
      <c r="S740" t="s">
        <v>34</v>
      </c>
      <c r="T740" s="1">
        <v>195000</v>
      </c>
      <c r="U740">
        <v>0</v>
      </c>
      <c r="V740">
        <v>0</v>
      </c>
      <c r="W740" t="s">
        <v>5010</v>
      </c>
    </row>
    <row r="741" spans="1:23" x14ac:dyDescent="0.25">
      <c r="A741">
        <v>4944</v>
      </c>
      <c r="B741" t="s">
        <v>23</v>
      </c>
      <c r="D741">
        <v>751</v>
      </c>
      <c r="E741" t="s">
        <v>5011</v>
      </c>
      <c r="F741" t="s">
        <v>5012</v>
      </c>
      <c r="G741" t="s">
        <v>5013</v>
      </c>
      <c r="H741" t="s">
        <v>5014</v>
      </c>
      <c r="I741" t="s">
        <v>7931</v>
      </c>
      <c r="J741" t="s">
        <v>28</v>
      </c>
      <c r="K741" t="s">
        <v>5015</v>
      </c>
      <c r="L741" t="s">
        <v>43</v>
      </c>
      <c r="M741">
        <v>8065212170</v>
      </c>
      <c r="N741" t="s">
        <v>2333</v>
      </c>
      <c r="O741" t="s">
        <v>7886</v>
      </c>
      <c r="P741" t="s">
        <v>7913</v>
      </c>
      <c r="Q741" t="s">
        <v>46</v>
      </c>
      <c r="R741" t="s">
        <v>33</v>
      </c>
      <c r="S741" t="s">
        <v>34</v>
      </c>
      <c r="T741" s="1">
        <v>812500</v>
      </c>
      <c r="U741">
        <v>0</v>
      </c>
      <c r="V741" s="1">
        <v>162500</v>
      </c>
      <c r="W741" t="s">
        <v>5016</v>
      </c>
    </row>
    <row r="742" spans="1:23" x14ac:dyDescent="0.25">
      <c r="A742">
        <v>24442</v>
      </c>
      <c r="B742" t="s">
        <v>23</v>
      </c>
      <c r="D742">
        <v>752</v>
      </c>
      <c r="E742" t="s">
        <v>5017</v>
      </c>
      <c r="F742" t="s">
        <v>5018</v>
      </c>
      <c r="G742" t="s">
        <v>384</v>
      </c>
      <c r="H742" t="s">
        <v>3659</v>
      </c>
      <c r="I742" t="s">
        <v>5019</v>
      </c>
      <c r="J742" t="s">
        <v>53</v>
      </c>
      <c r="K742" t="s">
        <v>5020</v>
      </c>
      <c r="L742" t="s">
        <v>43</v>
      </c>
      <c r="M742" s="2" t="s">
        <v>5021</v>
      </c>
      <c r="N742" t="s">
        <v>31</v>
      </c>
      <c r="O742" t="s">
        <v>7879</v>
      </c>
      <c r="P742" t="s">
        <v>7893</v>
      </c>
      <c r="Q742" t="s">
        <v>46</v>
      </c>
      <c r="R742" t="s">
        <v>33</v>
      </c>
      <c r="S742" t="s">
        <v>34</v>
      </c>
      <c r="T742" s="1">
        <v>195000</v>
      </c>
      <c r="U742">
        <v>0</v>
      </c>
      <c r="V742">
        <v>0</v>
      </c>
      <c r="W742" t="s">
        <v>5022</v>
      </c>
    </row>
    <row r="743" spans="1:23" x14ac:dyDescent="0.25">
      <c r="A743">
        <v>24515</v>
      </c>
      <c r="B743" t="s">
        <v>23</v>
      </c>
      <c r="D743">
        <v>753</v>
      </c>
      <c r="E743" t="s">
        <v>5023</v>
      </c>
      <c r="F743" t="s">
        <v>5024</v>
      </c>
      <c r="G743" t="s">
        <v>783</v>
      </c>
      <c r="H743" t="s">
        <v>5025</v>
      </c>
      <c r="I743" t="s">
        <v>5026</v>
      </c>
      <c r="J743" t="s">
        <v>28</v>
      </c>
      <c r="K743" t="s">
        <v>5027</v>
      </c>
      <c r="L743" t="s">
        <v>43</v>
      </c>
      <c r="M743" s="2" t="s">
        <v>5028</v>
      </c>
      <c r="N743" t="s">
        <v>31</v>
      </c>
      <c r="O743" t="s">
        <v>7879</v>
      </c>
      <c r="P743" t="s">
        <v>7940</v>
      </c>
      <c r="Q743" t="s">
        <v>46</v>
      </c>
      <c r="R743" t="s">
        <v>33</v>
      </c>
      <c r="S743" t="s">
        <v>34</v>
      </c>
      <c r="T743" s="1">
        <v>195000</v>
      </c>
      <c r="U743">
        <v>0</v>
      </c>
      <c r="V743">
        <v>0</v>
      </c>
      <c r="W743" t="s">
        <v>5029</v>
      </c>
    </row>
    <row r="744" spans="1:23" x14ac:dyDescent="0.25">
      <c r="A744">
        <v>21840</v>
      </c>
      <c r="B744" t="s">
        <v>23</v>
      </c>
      <c r="D744">
        <v>754</v>
      </c>
      <c r="E744" t="s">
        <v>5030</v>
      </c>
      <c r="F744" t="s">
        <v>5031</v>
      </c>
      <c r="G744" t="s">
        <v>5032</v>
      </c>
      <c r="H744" t="s">
        <v>5033</v>
      </c>
      <c r="I744" t="s">
        <v>5034</v>
      </c>
      <c r="J744" t="s">
        <v>53</v>
      </c>
      <c r="K744" t="s">
        <v>5035</v>
      </c>
      <c r="L744" t="s">
        <v>43</v>
      </c>
      <c r="M744" s="2" t="s">
        <v>5036</v>
      </c>
      <c r="N744" t="s">
        <v>31</v>
      </c>
      <c r="O744" t="s">
        <v>7881</v>
      </c>
      <c r="P744" t="s">
        <v>7893</v>
      </c>
      <c r="Q744" t="s">
        <v>46</v>
      </c>
      <c r="R744" t="s">
        <v>33</v>
      </c>
      <c r="S744" t="s">
        <v>34</v>
      </c>
      <c r="T744" s="1">
        <v>552500</v>
      </c>
      <c r="U744">
        <v>0</v>
      </c>
      <c r="V744">
        <v>0</v>
      </c>
      <c r="W744" t="s">
        <v>5037</v>
      </c>
    </row>
    <row r="745" spans="1:23" x14ac:dyDescent="0.25">
      <c r="A745">
        <v>24116</v>
      </c>
      <c r="B745" t="s">
        <v>23</v>
      </c>
      <c r="D745">
        <v>755</v>
      </c>
      <c r="E745" t="s">
        <v>5038</v>
      </c>
      <c r="F745" t="s">
        <v>5039</v>
      </c>
      <c r="G745" t="s">
        <v>5040</v>
      </c>
      <c r="I745" t="s">
        <v>5041</v>
      </c>
      <c r="J745" t="s">
        <v>28</v>
      </c>
      <c r="K745" t="s">
        <v>480</v>
      </c>
      <c r="L745" t="s">
        <v>453</v>
      </c>
      <c r="M745">
        <v>233541090645</v>
      </c>
      <c r="N745" t="s">
        <v>31</v>
      </c>
      <c r="O745" t="s">
        <v>7879</v>
      </c>
      <c r="P745" t="s">
        <v>8028</v>
      </c>
      <c r="Q745" t="s">
        <v>455</v>
      </c>
      <c r="R745" t="s">
        <v>130</v>
      </c>
      <c r="S745" t="s">
        <v>131</v>
      </c>
      <c r="T745">
        <v>150</v>
      </c>
      <c r="U745">
        <v>0</v>
      </c>
      <c r="V745">
        <v>0</v>
      </c>
      <c r="W745" t="s">
        <v>5042</v>
      </c>
    </row>
    <row r="746" spans="1:23" x14ac:dyDescent="0.25">
      <c r="A746">
        <v>8369</v>
      </c>
      <c r="B746" t="s">
        <v>23</v>
      </c>
      <c r="D746">
        <v>756</v>
      </c>
      <c r="E746" t="s">
        <v>5043</v>
      </c>
      <c r="F746" t="s">
        <v>5044</v>
      </c>
      <c r="G746" t="s">
        <v>5045</v>
      </c>
      <c r="H746" t="s">
        <v>5046</v>
      </c>
      <c r="I746" t="s">
        <v>5047</v>
      </c>
      <c r="J746" t="s">
        <v>28</v>
      </c>
      <c r="K746" t="s">
        <v>822</v>
      </c>
      <c r="L746" t="s">
        <v>43</v>
      </c>
      <c r="M746" s="2" t="s">
        <v>5048</v>
      </c>
      <c r="N746" t="s">
        <v>31</v>
      </c>
      <c r="O746" t="s">
        <v>7886</v>
      </c>
      <c r="P746" t="s">
        <v>7981</v>
      </c>
      <c r="Q746" t="s">
        <v>46</v>
      </c>
      <c r="R746" t="s">
        <v>33</v>
      </c>
      <c r="S746" t="s">
        <v>34</v>
      </c>
      <c r="T746" s="1">
        <v>812500</v>
      </c>
      <c r="U746">
        <v>0</v>
      </c>
      <c r="V746" s="1">
        <v>162500</v>
      </c>
      <c r="W746" t="s">
        <v>5049</v>
      </c>
    </row>
    <row r="747" spans="1:23" x14ac:dyDescent="0.25">
      <c r="A747">
        <v>24100</v>
      </c>
      <c r="B747" t="s">
        <v>23</v>
      </c>
      <c r="D747">
        <v>758</v>
      </c>
      <c r="E747" t="s">
        <v>5050</v>
      </c>
      <c r="F747" t="s">
        <v>5051</v>
      </c>
      <c r="G747" t="s">
        <v>5052</v>
      </c>
      <c r="I747" t="s">
        <v>5053</v>
      </c>
      <c r="J747" t="s">
        <v>53</v>
      </c>
      <c r="K747" t="s">
        <v>5054</v>
      </c>
      <c r="L747" t="s">
        <v>43</v>
      </c>
      <c r="M747" s="2" t="s">
        <v>5055</v>
      </c>
      <c r="N747" t="s">
        <v>31</v>
      </c>
      <c r="O747" t="s">
        <v>7879</v>
      </c>
      <c r="P747" t="s">
        <v>8028</v>
      </c>
      <c r="Q747" t="s">
        <v>87</v>
      </c>
      <c r="R747" t="s">
        <v>33</v>
      </c>
      <c r="S747" t="s">
        <v>34</v>
      </c>
      <c r="T747" s="1">
        <v>195000</v>
      </c>
      <c r="U747">
        <v>0</v>
      </c>
      <c r="V747">
        <v>0</v>
      </c>
      <c r="W747" t="s">
        <v>5056</v>
      </c>
    </row>
    <row r="748" spans="1:23" x14ac:dyDescent="0.25">
      <c r="A748">
        <v>6079</v>
      </c>
      <c r="B748" t="s">
        <v>23</v>
      </c>
      <c r="D748">
        <v>759</v>
      </c>
      <c r="E748" t="s">
        <v>5057</v>
      </c>
      <c r="F748" t="s">
        <v>5058</v>
      </c>
      <c r="G748" t="s">
        <v>5059</v>
      </c>
      <c r="H748" t="s">
        <v>5060</v>
      </c>
      <c r="I748" t="s">
        <v>5061</v>
      </c>
      <c r="J748" t="s">
        <v>53</v>
      </c>
      <c r="K748" t="s">
        <v>5062</v>
      </c>
      <c r="L748" t="s">
        <v>453</v>
      </c>
      <c r="M748">
        <v>233543260344</v>
      </c>
      <c r="N748" t="s">
        <v>31</v>
      </c>
      <c r="O748" t="s">
        <v>7881</v>
      </c>
      <c r="P748" t="s">
        <v>7893</v>
      </c>
      <c r="Q748" t="s">
        <v>455</v>
      </c>
      <c r="R748" t="s">
        <v>130</v>
      </c>
      <c r="S748" t="s">
        <v>131</v>
      </c>
      <c r="T748">
        <v>425</v>
      </c>
      <c r="U748">
        <v>0</v>
      </c>
      <c r="V748">
        <v>0</v>
      </c>
      <c r="W748" t="s">
        <v>5063</v>
      </c>
    </row>
    <row r="749" spans="1:23" x14ac:dyDescent="0.25">
      <c r="A749">
        <v>24379</v>
      </c>
      <c r="B749" t="s">
        <v>23</v>
      </c>
      <c r="D749">
        <v>760</v>
      </c>
      <c r="E749" t="s">
        <v>5064</v>
      </c>
      <c r="F749" t="s">
        <v>5065</v>
      </c>
      <c r="G749" t="s">
        <v>5066</v>
      </c>
      <c r="H749" t="s">
        <v>5067</v>
      </c>
      <c r="I749" t="s">
        <v>5068</v>
      </c>
      <c r="J749" t="s">
        <v>28</v>
      </c>
      <c r="K749" t="s">
        <v>5069</v>
      </c>
      <c r="L749" t="s">
        <v>43</v>
      </c>
      <c r="M749" s="2" t="s">
        <v>5070</v>
      </c>
      <c r="N749" t="s">
        <v>31</v>
      </c>
      <c r="O749" t="s">
        <v>7879</v>
      </c>
      <c r="P749" t="s">
        <v>8028</v>
      </c>
      <c r="Q749" t="s">
        <v>63</v>
      </c>
      <c r="R749" t="s">
        <v>33</v>
      </c>
      <c r="S749" t="s">
        <v>34</v>
      </c>
      <c r="T749" s="1">
        <v>195000</v>
      </c>
      <c r="U749">
        <v>0</v>
      </c>
      <c r="V749">
        <v>0</v>
      </c>
      <c r="W749" t="s">
        <v>5071</v>
      </c>
    </row>
    <row r="750" spans="1:23" x14ac:dyDescent="0.25">
      <c r="A750">
        <v>22441</v>
      </c>
      <c r="B750" t="s">
        <v>23</v>
      </c>
      <c r="D750">
        <v>761</v>
      </c>
      <c r="E750" t="s">
        <v>5072</v>
      </c>
      <c r="F750" t="s">
        <v>5073</v>
      </c>
      <c r="G750" t="s">
        <v>783</v>
      </c>
      <c r="H750" t="s">
        <v>307</v>
      </c>
      <c r="I750" t="s">
        <v>5074</v>
      </c>
      <c r="J750" t="s">
        <v>28</v>
      </c>
      <c r="K750" t="s">
        <v>5075</v>
      </c>
      <c r="L750" t="s">
        <v>43</v>
      </c>
      <c r="M750" s="2" t="s">
        <v>5076</v>
      </c>
      <c r="N750" t="s">
        <v>31</v>
      </c>
      <c r="O750" t="s">
        <v>7879</v>
      </c>
      <c r="P750" t="s">
        <v>7981</v>
      </c>
      <c r="Q750" t="s">
        <v>87</v>
      </c>
      <c r="R750" t="s">
        <v>33</v>
      </c>
      <c r="S750" t="s">
        <v>34</v>
      </c>
      <c r="T750" s="1">
        <v>195000</v>
      </c>
      <c r="U750">
        <v>0</v>
      </c>
      <c r="V750">
        <v>0</v>
      </c>
      <c r="W750" t="s">
        <v>5077</v>
      </c>
    </row>
    <row r="751" spans="1:23" x14ac:dyDescent="0.25">
      <c r="A751">
        <v>3719</v>
      </c>
      <c r="B751" t="s">
        <v>23</v>
      </c>
      <c r="D751">
        <v>762</v>
      </c>
      <c r="E751" t="s">
        <v>5078</v>
      </c>
      <c r="F751" t="s">
        <v>227</v>
      </c>
      <c r="G751" t="s">
        <v>5079</v>
      </c>
      <c r="H751" t="s">
        <v>5080</v>
      </c>
      <c r="I751" t="s">
        <v>5081</v>
      </c>
      <c r="J751" t="s">
        <v>28</v>
      </c>
      <c r="K751" t="s">
        <v>5082</v>
      </c>
      <c r="L751" t="s">
        <v>43</v>
      </c>
      <c r="M751" s="2" t="s">
        <v>5083</v>
      </c>
      <c r="N751" t="s">
        <v>31</v>
      </c>
      <c r="O751" t="s">
        <v>7886</v>
      </c>
      <c r="P751" t="s">
        <v>7981</v>
      </c>
      <c r="Q751" t="s">
        <v>46</v>
      </c>
      <c r="R751" t="s">
        <v>33</v>
      </c>
      <c r="S751" t="s">
        <v>34</v>
      </c>
      <c r="T751" s="1">
        <v>812500</v>
      </c>
      <c r="U751">
        <v>0</v>
      </c>
      <c r="V751" s="1">
        <v>162500</v>
      </c>
      <c r="W751" t="s">
        <v>5084</v>
      </c>
    </row>
    <row r="752" spans="1:23" x14ac:dyDescent="0.25">
      <c r="A752">
        <v>24356</v>
      </c>
      <c r="B752" t="s">
        <v>23</v>
      </c>
      <c r="D752">
        <v>763</v>
      </c>
      <c r="E752" t="s">
        <v>5085</v>
      </c>
      <c r="F752" t="s">
        <v>5086</v>
      </c>
      <c r="G752" t="s">
        <v>4339</v>
      </c>
      <c r="H752" t="s">
        <v>5087</v>
      </c>
      <c r="I752" t="s">
        <v>5088</v>
      </c>
      <c r="J752" t="s">
        <v>53</v>
      </c>
      <c r="K752" t="s">
        <v>5089</v>
      </c>
      <c r="L752" t="s">
        <v>43</v>
      </c>
      <c r="M752" s="2" t="s">
        <v>5090</v>
      </c>
      <c r="N752" t="s">
        <v>31</v>
      </c>
      <c r="O752" t="s">
        <v>7879</v>
      </c>
      <c r="P752" t="s">
        <v>8028</v>
      </c>
      <c r="Q752" t="s">
        <v>63</v>
      </c>
      <c r="R752" t="s">
        <v>33</v>
      </c>
      <c r="S752" t="s">
        <v>34</v>
      </c>
      <c r="T752" s="1">
        <v>195000</v>
      </c>
      <c r="U752">
        <v>0</v>
      </c>
      <c r="V752">
        <v>0</v>
      </c>
      <c r="W752" t="s">
        <v>5091</v>
      </c>
    </row>
    <row r="753" spans="1:23" x14ac:dyDescent="0.25">
      <c r="A753">
        <v>8111</v>
      </c>
      <c r="B753" t="s">
        <v>23</v>
      </c>
      <c r="D753">
        <v>764</v>
      </c>
      <c r="E753" t="s">
        <v>5092</v>
      </c>
      <c r="F753" t="s">
        <v>5093</v>
      </c>
      <c r="G753" t="s">
        <v>5094</v>
      </c>
      <c r="H753" t="s">
        <v>5095</v>
      </c>
      <c r="I753" t="s">
        <v>5096</v>
      </c>
      <c r="J753" t="s">
        <v>28</v>
      </c>
      <c r="K753" t="s">
        <v>5097</v>
      </c>
      <c r="L753" t="s">
        <v>43</v>
      </c>
      <c r="M753" s="2" t="s">
        <v>5098</v>
      </c>
      <c r="N753" t="s">
        <v>31</v>
      </c>
      <c r="O753" t="s">
        <v>7881</v>
      </c>
      <c r="P753" t="s">
        <v>7940</v>
      </c>
      <c r="Q753" t="s">
        <v>63</v>
      </c>
      <c r="R753" t="s">
        <v>33</v>
      </c>
      <c r="S753" t="s">
        <v>34</v>
      </c>
      <c r="T753" s="1">
        <v>552500</v>
      </c>
      <c r="U753">
        <v>0</v>
      </c>
      <c r="V753">
        <v>0</v>
      </c>
      <c r="W753" t="s">
        <v>5099</v>
      </c>
    </row>
    <row r="754" spans="1:23" x14ac:dyDescent="0.25">
      <c r="A754">
        <v>280</v>
      </c>
      <c r="B754" t="s">
        <v>23</v>
      </c>
      <c r="D754">
        <v>766</v>
      </c>
      <c r="E754" t="s">
        <v>5100</v>
      </c>
      <c r="F754" t="s">
        <v>5101</v>
      </c>
      <c r="G754" t="s">
        <v>5102</v>
      </c>
      <c r="I754" t="s">
        <v>5103</v>
      </c>
      <c r="J754" t="s">
        <v>28</v>
      </c>
      <c r="K754" t="s">
        <v>5104</v>
      </c>
      <c r="L754" t="s">
        <v>43</v>
      </c>
      <c r="M754">
        <v>2348033200796</v>
      </c>
      <c r="N754" t="s">
        <v>2333</v>
      </c>
      <c r="O754" t="s">
        <v>7886</v>
      </c>
      <c r="P754" t="s">
        <v>8028</v>
      </c>
      <c r="Q754" t="s">
        <v>63</v>
      </c>
      <c r="R754" t="s">
        <v>33</v>
      </c>
      <c r="S754" t="s">
        <v>34</v>
      </c>
      <c r="T754" s="1">
        <v>812500</v>
      </c>
      <c r="U754">
        <v>0</v>
      </c>
      <c r="V754" s="1">
        <v>162500</v>
      </c>
      <c r="W754" t="s">
        <v>5105</v>
      </c>
    </row>
    <row r="755" spans="1:23" x14ac:dyDescent="0.25">
      <c r="A755">
        <v>18867</v>
      </c>
      <c r="B755" t="s">
        <v>23</v>
      </c>
      <c r="D755">
        <v>767</v>
      </c>
      <c r="E755" t="s">
        <v>5106</v>
      </c>
      <c r="F755" t="s">
        <v>5107</v>
      </c>
      <c r="G755" t="s">
        <v>5108</v>
      </c>
      <c r="I755" t="s">
        <v>5109</v>
      </c>
      <c r="J755" t="s">
        <v>28</v>
      </c>
      <c r="K755" t="s">
        <v>5110</v>
      </c>
      <c r="L755" t="s">
        <v>453</v>
      </c>
      <c r="M755" s="2" t="s">
        <v>5111</v>
      </c>
      <c r="N755" t="s">
        <v>31</v>
      </c>
      <c r="O755" t="s">
        <v>7879</v>
      </c>
      <c r="P755" t="s">
        <v>7940</v>
      </c>
      <c r="Q755" t="s">
        <v>455</v>
      </c>
      <c r="R755" t="s">
        <v>130</v>
      </c>
      <c r="S755" t="s">
        <v>131</v>
      </c>
      <c r="T755">
        <v>150</v>
      </c>
      <c r="U755">
        <v>0</v>
      </c>
      <c r="V755">
        <v>0</v>
      </c>
      <c r="W755" t="s">
        <v>5112</v>
      </c>
    </row>
    <row r="756" spans="1:23" x14ac:dyDescent="0.25">
      <c r="A756">
        <v>24511</v>
      </c>
      <c r="B756" t="s">
        <v>23</v>
      </c>
      <c r="D756">
        <v>768</v>
      </c>
      <c r="E756" t="s">
        <v>5113</v>
      </c>
      <c r="F756" t="s">
        <v>5114</v>
      </c>
      <c r="G756" t="s">
        <v>5115</v>
      </c>
      <c r="H756" t="s">
        <v>5116</v>
      </c>
      <c r="I756" t="s">
        <v>5117</v>
      </c>
      <c r="J756" t="s">
        <v>28</v>
      </c>
      <c r="K756" t="s">
        <v>3575</v>
      </c>
      <c r="L756" t="s">
        <v>43</v>
      </c>
      <c r="M756" s="2" t="s">
        <v>5118</v>
      </c>
      <c r="N756" t="s">
        <v>31</v>
      </c>
      <c r="O756" t="s">
        <v>7879</v>
      </c>
      <c r="P756" t="s">
        <v>7893</v>
      </c>
      <c r="Q756" t="s">
        <v>46</v>
      </c>
      <c r="R756" t="s">
        <v>33</v>
      </c>
      <c r="S756" t="s">
        <v>34</v>
      </c>
      <c r="T756" s="1">
        <v>195000</v>
      </c>
      <c r="U756">
        <v>0</v>
      </c>
      <c r="V756">
        <v>0</v>
      </c>
      <c r="W756" t="s">
        <v>5119</v>
      </c>
    </row>
    <row r="757" spans="1:23" x14ac:dyDescent="0.25">
      <c r="A757">
        <v>10683</v>
      </c>
      <c r="B757" t="s">
        <v>23</v>
      </c>
      <c r="D757">
        <v>769</v>
      </c>
      <c r="E757" t="s">
        <v>5120</v>
      </c>
      <c r="F757" t="s">
        <v>5121</v>
      </c>
      <c r="G757" t="s">
        <v>5122</v>
      </c>
      <c r="I757" t="s">
        <v>5123</v>
      </c>
      <c r="J757" t="s">
        <v>28</v>
      </c>
      <c r="K757" t="s">
        <v>5123</v>
      </c>
      <c r="L757" t="s">
        <v>43</v>
      </c>
      <c r="M757" s="2" t="s">
        <v>5124</v>
      </c>
      <c r="N757" t="s">
        <v>45</v>
      </c>
      <c r="O757" t="s">
        <v>7881</v>
      </c>
      <c r="P757" t="s">
        <v>7893</v>
      </c>
      <c r="Q757" t="s">
        <v>46</v>
      </c>
      <c r="R757" t="s">
        <v>33</v>
      </c>
      <c r="S757" t="s">
        <v>34</v>
      </c>
      <c r="T757" s="1">
        <v>552500</v>
      </c>
      <c r="U757">
        <v>0</v>
      </c>
      <c r="V757">
        <v>0</v>
      </c>
      <c r="W757" t="s">
        <v>5125</v>
      </c>
    </row>
    <row r="758" spans="1:23" ht="33" customHeight="1" x14ac:dyDescent="0.25">
      <c r="A758">
        <v>22344</v>
      </c>
      <c r="B758" t="s">
        <v>1627</v>
      </c>
      <c r="C758" s="3" t="s">
        <v>7885</v>
      </c>
      <c r="D758">
        <v>770</v>
      </c>
      <c r="E758" t="s">
        <v>5126</v>
      </c>
      <c r="F758" t="s">
        <v>5127</v>
      </c>
      <c r="G758" t="s">
        <v>5128</v>
      </c>
      <c r="H758" t="s">
        <v>5129</v>
      </c>
      <c r="I758" t="s">
        <v>952</v>
      </c>
      <c r="J758" t="s">
        <v>28</v>
      </c>
      <c r="K758" t="s">
        <v>952</v>
      </c>
      <c r="L758" t="s">
        <v>453</v>
      </c>
      <c r="M758" s="2" t="s">
        <v>5130</v>
      </c>
      <c r="N758" t="s">
        <v>31</v>
      </c>
      <c r="O758" t="s">
        <v>7881</v>
      </c>
      <c r="P758" t="s">
        <v>8028</v>
      </c>
      <c r="Q758" t="s">
        <v>455</v>
      </c>
      <c r="R758" t="s">
        <v>130</v>
      </c>
      <c r="S758" t="s">
        <v>131</v>
      </c>
      <c r="T758">
        <v>425</v>
      </c>
      <c r="U758">
        <v>0</v>
      </c>
      <c r="V758">
        <v>0</v>
      </c>
      <c r="W758" t="s">
        <v>5131</v>
      </c>
    </row>
    <row r="759" spans="1:23" x14ac:dyDescent="0.25">
      <c r="A759">
        <v>9861</v>
      </c>
      <c r="B759" t="s">
        <v>23</v>
      </c>
      <c r="D759">
        <v>771</v>
      </c>
      <c r="E759" t="s">
        <v>5132</v>
      </c>
      <c r="F759" t="s">
        <v>5133</v>
      </c>
      <c r="G759" t="s">
        <v>5134</v>
      </c>
      <c r="H759" t="s">
        <v>5135</v>
      </c>
      <c r="I759" t="s">
        <v>5136</v>
      </c>
      <c r="J759" t="s">
        <v>53</v>
      </c>
      <c r="K759" t="s">
        <v>5137</v>
      </c>
      <c r="L759" t="s">
        <v>43</v>
      </c>
      <c r="M759">
        <v>8055351938</v>
      </c>
      <c r="N759" t="s">
        <v>31</v>
      </c>
      <c r="O759" t="s">
        <v>7886</v>
      </c>
      <c r="P759" t="s">
        <v>7981</v>
      </c>
      <c r="Q759" t="s">
        <v>63</v>
      </c>
      <c r="R759" t="s">
        <v>33</v>
      </c>
      <c r="S759" t="s">
        <v>34</v>
      </c>
      <c r="T759" s="1">
        <v>812500</v>
      </c>
      <c r="U759">
        <v>0</v>
      </c>
      <c r="V759" s="1">
        <v>162500</v>
      </c>
      <c r="W759" t="s">
        <v>5138</v>
      </c>
    </row>
    <row r="760" spans="1:23" x14ac:dyDescent="0.25">
      <c r="A760">
        <v>22435</v>
      </c>
      <c r="B760" t="s">
        <v>23</v>
      </c>
      <c r="D760">
        <v>772</v>
      </c>
      <c r="E760" t="s">
        <v>5139</v>
      </c>
      <c r="F760" t="s">
        <v>5140</v>
      </c>
      <c r="G760" t="s">
        <v>5141</v>
      </c>
      <c r="H760" t="s">
        <v>5142</v>
      </c>
      <c r="I760" t="s">
        <v>5143</v>
      </c>
      <c r="J760" t="s">
        <v>28</v>
      </c>
      <c r="K760" t="s">
        <v>4446</v>
      </c>
      <c r="L760" t="s">
        <v>453</v>
      </c>
      <c r="M760">
        <v>233555368374</v>
      </c>
      <c r="N760" t="s">
        <v>31</v>
      </c>
      <c r="O760" t="s">
        <v>7881</v>
      </c>
      <c r="P760" t="s">
        <v>7888</v>
      </c>
      <c r="Q760" t="s">
        <v>455</v>
      </c>
      <c r="R760" t="s">
        <v>130</v>
      </c>
      <c r="S760" t="s">
        <v>131</v>
      </c>
      <c r="T760">
        <v>425</v>
      </c>
      <c r="U760">
        <v>85</v>
      </c>
      <c r="V760">
        <v>0</v>
      </c>
      <c r="W760" t="s">
        <v>5144</v>
      </c>
    </row>
    <row r="761" spans="1:23" x14ac:dyDescent="0.25">
      <c r="A761">
        <v>24453</v>
      </c>
      <c r="B761" t="s">
        <v>23</v>
      </c>
      <c r="D761">
        <v>773</v>
      </c>
      <c r="E761" t="s">
        <v>5145</v>
      </c>
      <c r="F761" t="s">
        <v>5146</v>
      </c>
      <c r="G761" t="s">
        <v>5147</v>
      </c>
      <c r="I761" t="s">
        <v>5148</v>
      </c>
      <c r="J761" t="s">
        <v>53</v>
      </c>
      <c r="K761" t="s">
        <v>1152</v>
      </c>
      <c r="L761" t="s">
        <v>30</v>
      </c>
      <c r="M761">
        <v>3476581</v>
      </c>
      <c r="N761" t="s">
        <v>31</v>
      </c>
      <c r="O761" t="s">
        <v>7879</v>
      </c>
      <c r="P761" t="s">
        <v>7893</v>
      </c>
      <c r="Q761" t="s">
        <v>32</v>
      </c>
      <c r="R761" t="s">
        <v>33</v>
      </c>
      <c r="S761" t="s">
        <v>34</v>
      </c>
      <c r="T761" s="1">
        <v>195000</v>
      </c>
      <c r="U761">
        <v>0</v>
      </c>
      <c r="V761">
        <v>0</v>
      </c>
      <c r="W761" t="s">
        <v>5149</v>
      </c>
    </row>
    <row r="762" spans="1:23" x14ac:dyDescent="0.25">
      <c r="A762">
        <v>24517</v>
      </c>
      <c r="B762" t="s">
        <v>23</v>
      </c>
      <c r="D762">
        <v>774</v>
      </c>
      <c r="E762" t="s">
        <v>5150</v>
      </c>
      <c r="F762" t="s">
        <v>5151</v>
      </c>
      <c r="G762" t="s">
        <v>5152</v>
      </c>
      <c r="H762" t="s">
        <v>783</v>
      </c>
      <c r="I762" t="s">
        <v>5153</v>
      </c>
      <c r="J762" t="s">
        <v>28</v>
      </c>
      <c r="K762" t="s">
        <v>5154</v>
      </c>
      <c r="L762" t="s">
        <v>43</v>
      </c>
      <c r="M762" s="2" t="s">
        <v>5155</v>
      </c>
      <c r="N762" t="s">
        <v>31</v>
      </c>
      <c r="O762" t="s">
        <v>7879</v>
      </c>
      <c r="P762" t="s">
        <v>7893</v>
      </c>
      <c r="Q762" t="s">
        <v>63</v>
      </c>
      <c r="R762" t="s">
        <v>33</v>
      </c>
      <c r="S762" t="s">
        <v>34</v>
      </c>
      <c r="T762" s="1">
        <v>195000</v>
      </c>
      <c r="U762">
        <v>0</v>
      </c>
      <c r="V762">
        <v>0</v>
      </c>
      <c r="W762" t="s">
        <v>5156</v>
      </c>
    </row>
    <row r="763" spans="1:23" x14ac:dyDescent="0.25">
      <c r="A763">
        <v>849</v>
      </c>
      <c r="B763" t="s">
        <v>23</v>
      </c>
      <c r="D763">
        <v>775</v>
      </c>
      <c r="E763" t="s">
        <v>5157</v>
      </c>
      <c r="F763" t="s">
        <v>298</v>
      </c>
      <c r="G763" t="s">
        <v>5158</v>
      </c>
      <c r="H763" t="s">
        <v>5159</v>
      </c>
      <c r="I763" t="s">
        <v>5160</v>
      </c>
      <c r="J763" t="s">
        <v>28</v>
      </c>
      <c r="K763" t="s">
        <v>5161</v>
      </c>
      <c r="L763" t="s">
        <v>43</v>
      </c>
      <c r="M763">
        <v>8137377727</v>
      </c>
      <c r="N763" t="s">
        <v>31</v>
      </c>
      <c r="O763" t="s">
        <v>7886</v>
      </c>
      <c r="P763" t="s">
        <v>7981</v>
      </c>
      <c r="Q763" t="s">
        <v>63</v>
      </c>
      <c r="R763" t="s">
        <v>33</v>
      </c>
      <c r="S763" t="s">
        <v>34</v>
      </c>
      <c r="T763" s="1">
        <v>812500</v>
      </c>
      <c r="U763">
        <v>0</v>
      </c>
      <c r="V763" s="1">
        <v>162500</v>
      </c>
      <c r="W763" t="s">
        <v>5162</v>
      </c>
    </row>
    <row r="764" spans="1:23" x14ac:dyDescent="0.25">
      <c r="A764">
        <v>22893</v>
      </c>
      <c r="B764" t="s">
        <v>23</v>
      </c>
      <c r="D764">
        <v>776</v>
      </c>
      <c r="E764" t="s">
        <v>5163</v>
      </c>
      <c r="F764" t="s">
        <v>5164</v>
      </c>
      <c r="G764" t="s">
        <v>5165</v>
      </c>
      <c r="H764" t="s">
        <v>5166</v>
      </c>
      <c r="I764" t="s">
        <v>32</v>
      </c>
      <c r="J764" t="s">
        <v>28</v>
      </c>
      <c r="K764" t="s">
        <v>5167</v>
      </c>
      <c r="L764" t="s">
        <v>30</v>
      </c>
      <c r="M764">
        <f>220-7568885</f>
        <v>-7568665</v>
      </c>
      <c r="N764" t="s">
        <v>45</v>
      </c>
      <c r="O764" t="s">
        <v>7879</v>
      </c>
      <c r="P764" t="s">
        <v>8028</v>
      </c>
      <c r="Q764" t="s">
        <v>32</v>
      </c>
      <c r="R764" t="s">
        <v>33</v>
      </c>
      <c r="S764" t="s">
        <v>34</v>
      </c>
      <c r="T764" s="1">
        <v>195000</v>
      </c>
      <c r="U764">
        <v>0</v>
      </c>
      <c r="V764">
        <v>0</v>
      </c>
      <c r="W764" t="s">
        <v>5168</v>
      </c>
    </row>
    <row r="765" spans="1:23" x14ac:dyDescent="0.25">
      <c r="A765">
        <v>22648</v>
      </c>
      <c r="B765" t="s">
        <v>23</v>
      </c>
      <c r="D765">
        <v>777</v>
      </c>
      <c r="E765" t="s">
        <v>5169</v>
      </c>
      <c r="F765" t="s">
        <v>5170</v>
      </c>
      <c r="G765" t="s">
        <v>5171</v>
      </c>
      <c r="I765" t="s">
        <v>5172</v>
      </c>
      <c r="J765" t="s">
        <v>28</v>
      </c>
      <c r="K765" t="s">
        <v>5173</v>
      </c>
      <c r="L765" t="s">
        <v>43</v>
      </c>
      <c r="M765" s="2" t="s">
        <v>5174</v>
      </c>
      <c r="N765" t="s">
        <v>31</v>
      </c>
      <c r="O765" t="s">
        <v>7881</v>
      </c>
      <c r="P765" t="s">
        <v>7940</v>
      </c>
      <c r="Q765" t="s">
        <v>46</v>
      </c>
      <c r="R765" t="s">
        <v>33</v>
      </c>
      <c r="S765" t="s">
        <v>34</v>
      </c>
      <c r="T765" s="1">
        <v>552500</v>
      </c>
      <c r="U765">
        <v>0</v>
      </c>
      <c r="V765">
        <v>0</v>
      </c>
      <c r="W765" t="s">
        <v>5175</v>
      </c>
    </row>
    <row r="766" spans="1:23" x14ac:dyDescent="0.25">
      <c r="A766">
        <v>767</v>
      </c>
      <c r="B766" t="s">
        <v>1627</v>
      </c>
      <c r="C766" t="s">
        <v>5176</v>
      </c>
      <c r="D766">
        <v>778</v>
      </c>
      <c r="E766" s="11" t="s">
        <v>5177</v>
      </c>
      <c r="F766" t="s">
        <v>5178</v>
      </c>
      <c r="G766" t="s">
        <v>5179</v>
      </c>
      <c r="H766" t="s">
        <v>5180</v>
      </c>
      <c r="I766" t="s">
        <v>5181</v>
      </c>
      <c r="J766" t="s">
        <v>53</v>
      </c>
      <c r="K766" t="s">
        <v>5182</v>
      </c>
      <c r="L766" t="s">
        <v>43</v>
      </c>
      <c r="M766" s="2" t="s">
        <v>5183</v>
      </c>
      <c r="N766" t="s">
        <v>31</v>
      </c>
      <c r="O766" t="s">
        <v>7886</v>
      </c>
      <c r="P766" t="s">
        <v>7981</v>
      </c>
      <c r="Q766" t="s">
        <v>63</v>
      </c>
      <c r="R766" t="s">
        <v>33</v>
      </c>
      <c r="S766" t="s">
        <v>34</v>
      </c>
      <c r="T766" s="1">
        <v>812500</v>
      </c>
      <c r="U766">
        <v>0</v>
      </c>
      <c r="V766" s="1">
        <v>162500</v>
      </c>
      <c r="W766" t="s">
        <v>5184</v>
      </c>
    </row>
    <row r="767" spans="1:23" x14ac:dyDescent="0.25">
      <c r="A767">
        <v>8145</v>
      </c>
      <c r="B767" t="s">
        <v>23</v>
      </c>
      <c r="D767">
        <v>779</v>
      </c>
      <c r="E767" s="11" t="s">
        <v>5185</v>
      </c>
      <c r="F767" t="s">
        <v>5186</v>
      </c>
      <c r="G767" t="s">
        <v>5187</v>
      </c>
      <c r="H767" t="s">
        <v>5188</v>
      </c>
      <c r="I767" t="s">
        <v>5189</v>
      </c>
      <c r="J767" t="s">
        <v>28</v>
      </c>
      <c r="K767" t="s">
        <v>5190</v>
      </c>
      <c r="L767" t="s">
        <v>43</v>
      </c>
      <c r="M767" s="2" t="s">
        <v>5191</v>
      </c>
      <c r="N767" t="s">
        <v>45</v>
      </c>
      <c r="O767" t="s">
        <v>7881</v>
      </c>
      <c r="P767" t="s">
        <v>7893</v>
      </c>
      <c r="Q767" t="s">
        <v>63</v>
      </c>
      <c r="R767" t="s">
        <v>33</v>
      </c>
      <c r="S767" t="s">
        <v>34</v>
      </c>
      <c r="T767" s="1">
        <v>552500</v>
      </c>
      <c r="U767">
        <v>0</v>
      </c>
      <c r="V767">
        <v>0</v>
      </c>
      <c r="W767" t="s">
        <v>5192</v>
      </c>
    </row>
    <row r="768" spans="1:23" x14ac:dyDescent="0.25">
      <c r="A768">
        <v>5980</v>
      </c>
      <c r="B768" t="s">
        <v>23</v>
      </c>
      <c r="D768">
        <v>780</v>
      </c>
      <c r="E768" t="s">
        <v>5193</v>
      </c>
      <c r="F768" t="s">
        <v>2299</v>
      </c>
      <c r="G768" t="s">
        <v>5194</v>
      </c>
      <c r="H768" t="s">
        <v>5195</v>
      </c>
      <c r="I768" t="s">
        <v>7923</v>
      </c>
      <c r="J768" t="s">
        <v>53</v>
      </c>
      <c r="K768" t="s">
        <v>936</v>
      </c>
      <c r="L768" t="s">
        <v>43</v>
      </c>
      <c r="M768">
        <v>8038884836</v>
      </c>
      <c r="N768" t="s">
        <v>31</v>
      </c>
      <c r="O768" t="s">
        <v>7886</v>
      </c>
      <c r="P768" t="s">
        <v>7930</v>
      </c>
      <c r="Q768" t="s">
        <v>46</v>
      </c>
      <c r="R768" t="s">
        <v>33</v>
      </c>
      <c r="S768" t="s">
        <v>34</v>
      </c>
      <c r="T768" s="1">
        <v>812500</v>
      </c>
      <c r="U768">
        <v>0</v>
      </c>
      <c r="V768" s="1">
        <v>162500</v>
      </c>
      <c r="W768" t="s">
        <v>5196</v>
      </c>
    </row>
    <row r="769" spans="1:23" x14ac:dyDescent="0.25">
      <c r="A769">
        <v>10577</v>
      </c>
      <c r="B769" t="s">
        <v>23</v>
      </c>
      <c r="D769">
        <v>782</v>
      </c>
      <c r="E769" t="s">
        <v>5197</v>
      </c>
      <c r="F769" t="s">
        <v>3067</v>
      </c>
      <c r="G769" t="s">
        <v>5198</v>
      </c>
      <c r="H769" t="s">
        <v>866</v>
      </c>
      <c r="I769" t="s">
        <v>5199</v>
      </c>
      <c r="J769" t="s">
        <v>53</v>
      </c>
      <c r="K769" t="s">
        <v>5200</v>
      </c>
      <c r="L769" t="s">
        <v>43</v>
      </c>
      <c r="M769">
        <v>2347037895301</v>
      </c>
      <c r="N769" t="s">
        <v>31</v>
      </c>
      <c r="O769" t="s">
        <v>7886</v>
      </c>
      <c r="P769" t="s">
        <v>7979</v>
      </c>
      <c r="Q769" t="s">
        <v>63</v>
      </c>
      <c r="R769" t="s">
        <v>33</v>
      </c>
      <c r="S769" t="s">
        <v>34</v>
      </c>
      <c r="T769" s="1">
        <v>812500</v>
      </c>
      <c r="U769" s="1">
        <v>110500</v>
      </c>
      <c r="V769" s="1">
        <v>162500</v>
      </c>
      <c r="W769" t="s">
        <v>5201</v>
      </c>
    </row>
    <row r="770" spans="1:23" x14ac:dyDescent="0.25">
      <c r="A770">
        <v>24240</v>
      </c>
      <c r="B770" t="s">
        <v>23</v>
      </c>
      <c r="D770">
        <v>783</v>
      </c>
      <c r="E770" t="s">
        <v>5202</v>
      </c>
      <c r="F770" t="s">
        <v>247</v>
      </c>
      <c r="G770" t="s">
        <v>5134</v>
      </c>
      <c r="H770" t="s">
        <v>5203</v>
      </c>
      <c r="I770" t="s">
        <v>5204</v>
      </c>
      <c r="J770" t="s">
        <v>53</v>
      </c>
      <c r="K770" t="s">
        <v>5205</v>
      </c>
      <c r="L770" t="s">
        <v>43</v>
      </c>
      <c r="M770" s="2" t="s">
        <v>5206</v>
      </c>
      <c r="N770" t="s">
        <v>31</v>
      </c>
      <c r="O770" t="s">
        <v>7879</v>
      </c>
      <c r="P770" t="s">
        <v>7981</v>
      </c>
      <c r="Q770" t="s">
        <v>63</v>
      </c>
      <c r="R770" t="s">
        <v>33</v>
      </c>
      <c r="S770" t="s">
        <v>34</v>
      </c>
      <c r="T770" s="1">
        <v>195000</v>
      </c>
      <c r="U770">
        <v>0</v>
      </c>
      <c r="V770">
        <v>0</v>
      </c>
      <c r="W770" t="s">
        <v>5207</v>
      </c>
    </row>
    <row r="771" spans="1:23" x14ac:dyDescent="0.25">
      <c r="A771">
        <v>24432</v>
      </c>
      <c r="B771" t="s">
        <v>23</v>
      </c>
      <c r="D771">
        <v>784</v>
      </c>
      <c r="E771" t="s">
        <v>5208</v>
      </c>
      <c r="F771" t="s">
        <v>4205</v>
      </c>
      <c r="G771" t="s">
        <v>592</v>
      </c>
      <c r="I771" t="s">
        <v>5209</v>
      </c>
      <c r="J771" t="s">
        <v>28</v>
      </c>
      <c r="K771" t="s">
        <v>5210</v>
      </c>
      <c r="L771" t="s">
        <v>43</v>
      </c>
      <c r="M771" s="2" t="s">
        <v>5211</v>
      </c>
      <c r="N771" t="s">
        <v>31</v>
      </c>
      <c r="O771" t="s">
        <v>7879</v>
      </c>
      <c r="P771" t="s">
        <v>7981</v>
      </c>
      <c r="Q771" t="s">
        <v>46</v>
      </c>
      <c r="R771" t="s">
        <v>33</v>
      </c>
      <c r="S771" t="s">
        <v>34</v>
      </c>
      <c r="T771" s="1">
        <v>195000</v>
      </c>
      <c r="U771">
        <v>0</v>
      </c>
      <c r="V771">
        <v>0</v>
      </c>
      <c r="W771" t="s">
        <v>5212</v>
      </c>
    </row>
    <row r="772" spans="1:23" x14ac:dyDescent="0.25">
      <c r="A772">
        <v>7924</v>
      </c>
      <c r="B772" t="s">
        <v>23</v>
      </c>
      <c r="D772">
        <v>785</v>
      </c>
      <c r="E772" t="s">
        <v>5213</v>
      </c>
      <c r="F772" t="s">
        <v>5214</v>
      </c>
      <c r="G772" t="s">
        <v>3880</v>
      </c>
      <c r="H772" t="s">
        <v>92</v>
      </c>
      <c r="I772" t="s">
        <v>5215</v>
      </c>
      <c r="J772" t="s">
        <v>28</v>
      </c>
      <c r="K772" t="s">
        <v>5216</v>
      </c>
      <c r="L772" t="s">
        <v>43</v>
      </c>
      <c r="M772">
        <v>8038141104</v>
      </c>
      <c r="N772" t="s">
        <v>31</v>
      </c>
      <c r="O772" t="s">
        <v>7886</v>
      </c>
      <c r="P772" t="s">
        <v>7940</v>
      </c>
      <c r="Q772" t="s">
        <v>46</v>
      </c>
      <c r="R772" t="s">
        <v>33</v>
      </c>
      <c r="S772" t="s">
        <v>34</v>
      </c>
      <c r="T772" s="1">
        <v>812500</v>
      </c>
      <c r="U772">
        <v>0</v>
      </c>
      <c r="V772" s="1">
        <v>162500</v>
      </c>
      <c r="W772" t="s">
        <v>5217</v>
      </c>
    </row>
    <row r="773" spans="1:23" x14ac:dyDescent="0.25">
      <c r="A773">
        <v>10911</v>
      </c>
      <c r="B773" t="s">
        <v>23</v>
      </c>
      <c r="D773">
        <v>786</v>
      </c>
      <c r="E773" t="s">
        <v>5218</v>
      </c>
      <c r="F773" t="s">
        <v>5219</v>
      </c>
      <c r="G773" t="s">
        <v>3961</v>
      </c>
      <c r="H773" t="s">
        <v>5220</v>
      </c>
      <c r="I773" t="s">
        <v>7970</v>
      </c>
      <c r="J773" t="s">
        <v>28</v>
      </c>
      <c r="K773" t="s">
        <v>717</v>
      </c>
      <c r="L773" t="s">
        <v>43</v>
      </c>
      <c r="M773">
        <v>8038673056</v>
      </c>
      <c r="N773" t="s">
        <v>45</v>
      </c>
      <c r="O773" t="s">
        <v>7881</v>
      </c>
      <c r="P773" t="s">
        <v>7940</v>
      </c>
      <c r="Q773" t="s">
        <v>87</v>
      </c>
      <c r="R773" t="s">
        <v>33</v>
      </c>
      <c r="S773" t="s">
        <v>34</v>
      </c>
      <c r="T773" s="1">
        <v>552500</v>
      </c>
      <c r="U773">
        <v>0</v>
      </c>
      <c r="V773">
        <v>0</v>
      </c>
      <c r="W773" t="s">
        <v>5221</v>
      </c>
    </row>
    <row r="774" spans="1:23" x14ac:dyDescent="0.25">
      <c r="A774">
        <v>4051</v>
      </c>
      <c r="B774" t="s">
        <v>23</v>
      </c>
      <c r="D774">
        <v>787</v>
      </c>
      <c r="E774" t="s">
        <v>5222</v>
      </c>
      <c r="F774" t="s">
        <v>5223</v>
      </c>
      <c r="G774" t="s">
        <v>5224</v>
      </c>
      <c r="H774" t="s">
        <v>196</v>
      </c>
      <c r="I774" t="s">
        <v>5225</v>
      </c>
      <c r="J774" t="s">
        <v>28</v>
      </c>
      <c r="K774" t="s">
        <v>1152</v>
      </c>
      <c r="L774" t="s">
        <v>30</v>
      </c>
      <c r="M774">
        <v>2207998784</v>
      </c>
      <c r="N774" t="s">
        <v>31</v>
      </c>
      <c r="O774" t="s">
        <v>7881</v>
      </c>
      <c r="P774" t="s">
        <v>7893</v>
      </c>
      <c r="Q774" t="s">
        <v>32</v>
      </c>
      <c r="R774" t="s">
        <v>33</v>
      </c>
      <c r="S774" t="s">
        <v>34</v>
      </c>
      <c r="T774" s="1">
        <v>552500</v>
      </c>
      <c r="U774">
        <v>0</v>
      </c>
      <c r="V774">
        <v>0</v>
      </c>
      <c r="W774" t="s">
        <v>5226</v>
      </c>
    </row>
    <row r="775" spans="1:23" x14ac:dyDescent="0.25">
      <c r="A775">
        <v>24527</v>
      </c>
      <c r="B775" t="s">
        <v>23</v>
      </c>
      <c r="D775">
        <v>788</v>
      </c>
      <c r="E775" t="s">
        <v>5227</v>
      </c>
      <c r="F775" t="s">
        <v>5228</v>
      </c>
      <c r="G775" t="s">
        <v>5229</v>
      </c>
      <c r="H775" t="s">
        <v>769</v>
      </c>
      <c r="I775" t="s">
        <v>46</v>
      </c>
      <c r="J775" t="s">
        <v>28</v>
      </c>
      <c r="K775" t="s">
        <v>5230</v>
      </c>
      <c r="L775" t="s">
        <v>43</v>
      </c>
      <c r="M775" s="2" t="s">
        <v>5231</v>
      </c>
      <c r="N775" t="s">
        <v>31</v>
      </c>
      <c r="O775" t="s">
        <v>7879</v>
      </c>
      <c r="P775" t="s">
        <v>7893</v>
      </c>
      <c r="Q775" t="s">
        <v>46</v>
      </c>
      <c r="R775" t="s">
        <v>33</v>
      </c>
      <c r="S775" t="s">
        <v>34</v>
      </c>
      <c r="T775" s="1">
        <v>195000</v>
      </c>
      <c r="U775">
        <v>0</v>
      </c>
      <c r="V775">
        <v>0</v>
      </c>
      <c r="W775" t="s">
        <v>5232</v>
      </c>
    </row>
    <row r="776" spans="1:23" x14ac:dyDescent="0.25">
      <c r="A776">
        <v>24162</v>
      </c>
      <c r="B776" t="s">
        <v>23</v>
      </c>
      <c r="D776">
        <v>789</v>
      </c>
      <c r="E776" t="s">
        <v>5233</v>
      </c>
      <c r="F776" t="s">
        <v>5234</v>
      </c>
      <c r="G776" t="s">
        <v>5235</v>
      </c>
      <c r="H776" t="s">
        <v>5236</v>
      </c>
      <c r="I776" t="s">
        <v>5237</v>
      </c>
      <c r="J776" t="s">
        <v>53</v>
      </c>
      <c r="K776" t="s">
        <v>5238</v>
      </c>
      <c r="L776" t="s">
        <v>453</v>
      </c>
      <c r="M776" s="2" t="s">
        <v>5239</v>
      </c>
      <c r="N776" t="s">
        <v>31</v>
      </c>
      <c r="O776" t="s">
        <v>7879</v>
      </c>
      <c r="P776" t="s">
        <v>7893</v>
      </c>
      <c r="Q776" t="s">
        <v>455</v>
      </c>
      <c r="R776" t="s">
        <v>130</v>
      </c>
      <c r="S776" t="s">
        <v>131</v>
      </c>
      <c r="T776">
        <v>150</v>
      </c>
      <c r="U776">
        <v>0</v>
      </c>
      <c r="V776">
        <v>0</v>
      </c>
      <c r="W776" t="s">
        <v>5240</v>
      </c>
    </row>
    <row r="777" spans="1:23" x14ac:dyDescent="0.25">
      <c r="A777">
        <v>24531</v>
      </c>
      <c r="B777" t="s">
        <v>23</v>
      </c>
      <c r="D777">
        <v>790</v>
      </c>
      <c r="E777" t="s">
        <v>5241</v>
      </c>
      <c r="F777" t="s">
        <v>5242</v>
      </c>
      <c r="G777" t="s">
        <v>5243</v>
      </c>
      <c r="H777" t="s">
        <v>5244</v>
      </c>
      <c r="I777" t="s">
        <v>5245</v>
      </c>
      <c r="J777" t="s">
        <v>53</v>
      </c>
      <c r="K777" t="s">
        <v>5245</v>
      </c>
      <c r="L777" t="s">
        <v>43</v>
      </c>
      <c r="M777" s="2" t="s">
        <v>5246</v>
      </c>
      <c r="N777" t="s">
        <v>31</v>
      </c>
      <c r="O777" t="s">
        <v>7879</v>
      </c>
      <c r="P777" t="s">
        <v>7940</v>
      </c>
      <c r="Q777" t="s">
        <v>46</v>
      </c>
      <c r="R777" t="s">
        <v>33</v>
      </c>
      <c r="S777" t="s">
        <v>34</v>
      </c>
      <c r="T777" s="1">
        <v>195000</v>
      </c>
      <c r="U777">
        <v>0</v>
      </c>
      <c r="V777">
        <v>0</v>
      </c>
      <c r="W777" t="s">
        <v>5247</v>
      </c>
    </row>
    <row r="778" spans="1:23" x14ac:dyDescent="0.25">
      <c r="A778">
        <v>24169</v>
      </c>
      <c r="B778" t="s">
        <v>23</v>
      </c>
      <c r="D778">
        <v>791</v>
      </c>
      <c r="E778" t="s">
        <v>5248</v>
      </c>
      <c r="F778" t="s">
        <v>5249</v>
      </c>
      <c r="G778" t="s">
        <v>5250</v>
      </c>
      <c r="I778" t="s">
        <v>5251</v>
      </c>
      <c r="J778" t="s">
        <v>53</v>
      </c>
      <c r="K778" t="s">
        <v>524</v>
      </c>
      <c r="L778" t="s">
        <v>43</v>
      </c>
      <c r="M778" s="2" t="s">
        <v>5252</v>
      </c>
      <c r="N778" t="s">
        <v>31</v>
      </c>
      <c r="O778" t="s">
        <v>7879</v>
      </c>
      <c r="P778" t="s">
        <v>7940</v>
      </c>
      <c r="Q778" t="s">
        <v>63</v>
      </c>
      <c r="R778" t="s">
        <v>33</v>
      </c>
      <c r="S778" t="s">
        <v>34</v>
      </c>
      <c r="T778" s="1">
        <v>195000</v>
      </c>
      <c r="U778">
        <v>0</v>
      </c>
      <c r="V778">
        <v>0</v>
      </c>
      <c r="W778" t="s">
        <v>5253</v>
      </c>
    </row>
    <row r="779" spans="1:23" x14ac:dyDescent="0.25">
      <c r="A779">
        <v>24529</v>
      </c>
      <c r="B779" t="s">
        <v>23</v>
      </c>
      <c r="D779">
        <v>792</v>
      </c>
      <c r="E779" t="s">
        <v>5254</v>
      </c>
      <c r="F779" t="s">
        <v>5255</v>
      </c>
      <c r="G779" t="s">
        <v>3369</v>
      </c>
      <c r="H779" t="s">
        <v>5256</v>
      </c>
      <c r="I779" t="s">
        <v>5257</v>
      </c>
      <c r="J779" t="s">
        <v>53</v>
      </c>
      <c r="K779" t="s">
        <v>5258</v>
      </c>
      <c r="L779" t="s">
        <v>43</v>
      </c>
      <c r="M779" s="2" t="s">
        <v>5259</v>
      </c>
      <c r="N779" t="s">
        <v>31</v>
      </c>
      <c r="O779" t="s">
        <v>7879</v>
      </c>
      <c r="P779" t="s">
        <v>7981</v>
      </c>
      <c r="Q779" t="s">
        <v>87</v>
      </c>
      <c r="R779" t="s">
        <v>33</v>
      </c>
      <c r="S779" t="s">
        <v>34</v>
      </c>
      <c r="T779" s="1">
        <v>195000</v>
      </c>
      <c r="U779">
        <v>0</v>
      </c>
      <c r="V779">
        <v>0</v>
      </c>
      <c r="W779" t="s">
        <v>5260</v>
      </c>
    </row>
    <row r="780" spans="1:23" x14ac:dyDescent="0.25">
      <c r="A780">
        <v>9115</v>
      </c>
      <c r="B780" t="s">
        <v>23</v>
      </c>
      <c r="D780">
        <v>793</v>
      </c>
      <c r="E780" t="s">
        <v>5261</v>
      </c>
      <c r="F780" t="s">
        <v>5262</v>
      </c>
      <c r="G780" t="s">
        <v>5263</v>
      </c>
      <c r="H780" t="s">
        <v>5264</v>
      </c>
      <c r="I780" t="s">
        <v>5265</v>
      </c>
      <c r="J780" t="s">
        <v>28</v>
      </c>
      <c r="K780" t="s">
        <v>3926</v>
      </c>
      <c r="L780" t="s">
        <v>43</v>
      </c>
      <c r="M780">
        <v>7032704997</v>
      </c>
      <c r="N780" t="s">
        <v>31</v>
      </c>
      <c r="O780" t="s">
        <v>7881</v>
      </c>
      <c r="P780" t="s">
        <v>7888</v>
      </c>
      <c r="Q780" t="s">
        <v>46</v>
      </c>
      <c r="R780" t="s">
        <v>33</v>
      </c>
      <c r="S780" t="s">
        <v>34</v>
      </c>
      <c r="T780" s="1">
        <v>552500</v>
      </c>
      <c r="U780" s="1">
        <v>110500</v>
      </c>
      <c r="V780">
        <v>0</v>
      </c>
      <c r="W780" t="s">
        <v>5266</v>
      </c>
    </row>
    <row r="781" spans="1:23" x14ac:dyDescent="0.25">
      <c r="A781">
        <v>2380</v>
      </c>
      <c r="B781" t="s">
        <v>23</v>
      </c>
      <c r="D781">
        <v>794</v>
      </c>
      <c r="E781" t="s">
        <v>5267</v>
      </c>
      <c r="F781" t="s">
        <v>5268</v>
      </c>
      <c r="G781" t="s">
        <v>1999</v>
      </c>
      <c r="H781" t="s">
        <v>3856</v>
      </c>
      <c r="I781" t="s">
        <v>8016</v>
      </c>
      <c r="J781" t="s">
        <v>53</v>
      </c>
      <c r="K781" t="s">
        <v>5269</v>
      </c>
      <c r="L781" t="s">
        <v>43</v>
      </c>
      <c r="M781">
        <v>8061672473</v>
      </c>
      <c r="N781" t="s">
        <v>31</v>
      </c>
      <c r="O781" t="s">
        <v>7886</v>
      </c>
      <c r="P781" t="s">
        <v>7981</v>
      </c>
      <c r="Q781" t="s">
        <v>46</v>
      </c>
      <c r="R781" t="s">
        <v>33</v>
      </c>
      <c r="S781" t="s">
        <v>34</v>
      </c>
      <c r="T781" s="1">
        <v>812500</v>
      </c>
      <c r="U781">
        <v>0</v>
      </c>
      <c r="V781" s="1">
        <v>162500</v>
      </c>
      <c r="W781" t="s">
        <v>5270</v>
      </c>
    </row>
    <row r="782" spans="1:23" x14ac:dyDescent="0.25">
      <c r="A782">
        <v>21353</v>
      </c>
      <c r="B782" t="s">
        <v>23</v>
      </c>
      <c r="D782">
        <v>795</v>
      </c>
      <c r="E782" t="s">
        <v>5271</v>
      </c>
      <c r="F782" t="s">
        <v>5272</v>
      </c>
      <c r="G782" t="s">
        <v>5273</v>
      </c>
      <c r="H782" t="s">
        <v>5274</v>
      </c>
      <c r="I782" t="s">
        <v>8017</v>
      </c>
      <c r="J782">
        <v>0</v>
      </c>
      <c r="K782" t="s">
        <v>8018</v>
      </c>
      <c r="L782">
        <v>0</v>
      </c>
      <c r="M782" s="2" t="s">
        <v>5275</v>
      </c>
      <c r="N782" t="s">
        <v>45</v>
      </c>
      <c r="O782" t="s">
        <v>7881</v>
      </c>
      <c r="P782" t="s">
        <v>7981</v>
      </c>
      <c r="Q782" t="s">
        <v>63</v>
      </c>
      <c r="R782" t="s">
        <v>33</v>
      </c>
      <c r="S782" t="s">
        <v>34</v>
      </c>
      <c r="T782" s="1">
        <v>552500</v>
      </c>
      <c r="U782">
        <v>0</v>
      </c>
      <c r="V782">
        <v>0</v>
      </c>
      <c r="W782" t="s">
        <v>5276</v>
      </c>
    </row>
    <row r="783" spans="1:23" x14ac:dyDescent="0.25">
      <c r="A783">
        <v>19610</v>
      </c>
      <c r="B783" t="s">
        <v>23</v>
      </c>
      <c r="D783">
        <v>796</v>
      </c>
      <c r="E783" t="s">
        <v>5277</v>
      </c>
      <c r="F783" t="s">
        <v>166</v>
      </c>
      <c r="G783" t="s">
        <v>5278</v>
      </c>
      <c r="H783" t="s">
        <v>3497</v>
      </c>
      <c r="I783" t="s">
        <v>5279</v>
      </c>
      <c r="J783" t="s">
        <v>53</v>
      </c>
      <c r="K783" t="s">
        <v>5280</v>
      </c>
      <c r="L783" t="s">
        <v>43</v>
      </c>
      <c r="M783" s="2" t="s">
        <v>5281</v>
      </c>
      <c r="N783" t="s">
        <v>31</v>
      </c>
      <c r="O783" t="s">
        <v>7881</v>
      </c>
      <c r="P783" t="s">
        <v>7893</v>
      </c>
      <c r="Q783" t="s">
        <v>46</v>
      </c>
      <c r="R783" t="s">
        <v>33</v>
      </c>
      <c r="S783" t="s">
        <v>34</v>
      </c>
      <c r="T783" s="1">
        <v>552500</v>
      </c>
      <c r="U783">
        <v>0</v>
      </c>
      <c r="V783">
        <v>0</v>
      </c>
      <c r="W783" t="s">
        <v>5282</v>
      </c>
    </row>
    <row r="784" spans="1:23" x14ac:dyDescent="0.25">
      <c r="A784">
        <v>1495</v>
      </c>
      <c r="B784" t="s">
        <v>23</v>
      </c>
      <c r="D784">
        <v>797</v>
      </c>
      <c r="E784" t="s">
        <v>5283</v>
      </c>
      <c r="F784" t="s">
        <v>1426</v>
      </c>
      <c r="G784" t="s">
        <v>5284</v>
      </c>
      <c r="H784" t="s">
        <v>1219</v>
      </c>
      <c r="I784" t="s">
        <v>5285</v>
      </c>
      <c r="J784" t="s">
        <v>53</v>
      </c>
      <c r="K784" t="s">
        <v>5286</v>
      </c>
      <c r="L784" t="s">
        <v>30</v>
      </c>
      <c r="M784" s="2" t="s">
        <v>5287</v>
      </c>
      <c r="N784" t="s">
        <v>45</v>
      </c>
      <c r="O784" t="s">
        <v>7881</v>
      </c>
      <c r="P784" t="s">
        <v>7981</v>
      </c>
      <c r="Q784" t="s">
        <v>32</v>
      </c>
      <c r="R784" t="s">
        <v>33</v>
      </c>
      <c r="S784" t="s">
        <v>34</v>
      </c>
      <c r="T784" s="1">
        <v>552500</v>
      </c>
      <c r="U784">
        <v>0</v>
      </c>
      <c r="V784">
        <v>0</v>
      </c>
      <c r="W784" t="s">
        <v>5288</v>
      </c>
    </row>
    <row r="785" spans="1:23" x14ac:dyDescent="0.25">
      <c r="A785">
        <v>18903</v>
      </c>
      <c r="B785" t="s">
        <v>23</v>
      </c>
      <c r="D785">
        <v>798</v>
      </c>
      <c r="E785" t="s">
        <v>5289</v>
      </c>
      <c r="F785" t="s">
        <v>5290</v>
      </c>
      <c r="G785" t="s">
        <v>5291</v>
      </c>
      <c r="I785" t="s">
        <v>5292</v>
      </c>
      <c r="J785" t="s">
        <v>53</v>
      </c>
      <c r="K785" t="s">
        <v>5293</v>
      </c>
      <c r="L785" t="s">
        <v>43</v>
      </c>
      <c r="M785">
        <v>2348034951044</v>
      </c>
      <c r="N785" t="s">
        <v>31</v>
      </c>
      <c r="O785" t="s">
        <v>7886</v>
      </c>
      <c r="P785" t="s">
        <v>7981</v>
      </c>
      <c r="Q785" t="s">
        <v>46</v>
      </c>
      <c r="R785" t="s">
        <v>33</v>
      </c>
      <c r="S785" t="s">
        <v>34</v>
      </c>
      <c r="T785" s="1">
        <v>812500</v>
      </c>
      <c r="U785">
        <v>0</v>
      </c>
      <c r="V785" s="1">
        <v>162500</v>
      </c>
      <c r="W785" t="s">
        <v>5294</v>
      </c>
    </row>
    <row r="786" spans="1:23" x14ac:dyDescent="0.25">
      <c r="A786">
        <v>24482</v>
      </c>
      <c r="B786" t="s">
        <v>23</v>
      </c>
      <c r="D786">
        <v>799</v>
      </c>
      <c r="E786" t="s">
        <v>5295</v>
      </c>
      <c r="F786" t="s">
        <v>5296</v>
      </c>
      <c r="G786" t="s">
        <v>5297</v>
      </c>
      <c r="H786" t="s">
        <v>5298</v>
      </c>
      <c r="I786" t="s">
        <v>5299</v>
      </c>
      <c r="J786" t="s">
        <v>53</v>
      </c>
      <c r="K786" t="s">
        <v>5300</v>
      </c>
      <c r="L786" t="s">
        <v>43</v>
      </c>
      <c r="M786" s="2" t="s">
        <v>5301</v>
      </c>
      <c r="N786" t="s">
        <v>31</v>
      </c>
      <c r="O786" t="s">
        <v>7879</v>
      </c>
      <c r="P786" t="s">
        <v>7893</v>
      </c>
      <c r="Q786" t="s">
        <v>87</v>
      </c>
      <c r="R786" t="s">
        <v>33</v>
      </c>
      <c r="S786" t="s">
        <v>34</v>
      </c>
      <c r="T786" s="1">
        <v>195000</v>
      </c>
      <c r="U786">
        <v>0</v>
      </c>
      <c r="V786">
        <v>0</v>
      </c>
      <c r="W786" t="s">
        <v>5302</v>
      </c>
    </row>
    <row r="787" spans="1:23" x14ac:dyDescent="0.25">
      <c r="A787">
        <v>24434</v>
      </c>
      <c r="B787" t="s">
        <v>23</v>
      </c>
      <c r="D787">
        <v>800</v>
      </c>
      <c r="E787" t="s">
        <v>5303</v>
      </c>
      <c r="F787" t="s">
        <v>5304</v>
      </c>
      <c r="G787" t="s">
        <v>5305</v>
      </c>
      <c r="H787" t="s">
        <v>5306</v>
      </c>
      <c r="I787" t="s">
        <v>5307</v>
      </c>
      <c r="J787" t="s">
        <v>28</v>
      </c>
      <c r="K787" t="s">
        <v>524</v>
      </c>
      <c r="L787" t="s">
        <v>43</v>
      </c>
      <c r="M787" s="2" t="s">
        <v>5308</v>
      </c>
      <c r="N787" t="s">
        <v>31</v>
      </c>
      <c r="O787" t="s">
        <v>7879</v>
      </c>
      <c r="P787" t="s">
        <v>7981</v>
      </c>
      <c r="Q787" t="s">
        <v>46</v>
      </c>
      <c r="R787" t="s">
        <v>33</v>
      </c>
      <c r="S787" t="s">
        <v>34</v>
      </c>
      <c r="T787" s="1">
        <v>195000</v>
      </c>
      <c r="U787">
        <v>0</v>
      </c>
      <c r="V787">
        <v>0</v>
      </c>
      <c r="W787" t="s">
        <v>5309</v>
      </c>
    </row>
    <row r="788" spans="1:23" x14ac:dyDescent="0.25">
      <c r="A788">
        <v>24492</v>
      </c>
      <c r="B788" t="s">
        <v>23</v>
      </c>
      <c r="D788">
        <v>801</v>
      </c>
      <c r="E788" t="s">
        <v>5310</v>
      </c>
      <c r="F788" t="s">
        <v>5311</v>
      </c>
      <c r="G788" t="s">
        <v>3360</v>
      </c>
      <c r="H788" t="s">
        <v>1510</v>
      </c>
      <c r="I788" t="s">
        <v>5312</v>
      </c>
      <c r="J788" t="s">
        <v>53</v>
      </c>
      <c r="K788" t="s">
        <v>5313</v>
      </c>
      <c r="L788" t="s">
        <v>43</v>
      </c>
      <c r="M788" s="2" t="s">
        <v>5314</v>
      </c>
      <c r="N788" t="s">
        <v>31</v>
      </c>
      <c r="O788" t="s">
        <v>7879</v>
      </c>
      <c r="P788" t="s">
        <v>7940</v>
      </c>
      <c r="Q788" t="s">
        <v>63</v>
      </c>
      <c r="R788" t="s">
        <v>33</v>
      </c>
      <c r="S788" t="s">
        <v>34</v>
      </c>
      <c r="T788" s="1">
        <v>195000</v>
      </c>
      <c r="U788">
        <v>0</v>
      </c>
      <c r="V788">
        <v>0</v>
      </c>
      <c r="W788" t="s">
        <v>5315</v>
      </c>
    </row>
    <row r="789" spans="1:23" x14ac:dyDescent="0.25">
      <c r="A789">
        <v>16840</v>
      </c>
      <c r="B789" t="s">
        <v>23</v>
      </c>
      <c r="D789">
        <v>802</v>
      </c>
      <c r="E789" t="s">
        <v>5316</v>
      </c>
      <c r="F789" t="s">
        <v>5317</v>
      </c>
      <c r="G789" t="s">
        <v>5318</v>
      </c>
      <c r="H789" t="s">
        <v>5319</v>
      </c>
      <c r="I789" t="s">
        <v>5320</v>
      </c>
      <c r="J789" t="s">
        <v>28</v>
      </c>
      <c r="K789" t="s">
        <v>3623</v>
      </c>
      <c r="L789" t="s">
        <v>43</v>
      </c>
      <c r="M789" s="2" t="s">
        <v>5321</v>
      </c>
      <c r="N789" t="s">
        <v>31</v>
      </c>
      <c r="O789" t="s">
        <v>7886</v>
      </c>
      <c r="P789" t="s">
        <v>7981</v>
      </c>
      <c r="Q789" t="s">
        <v>46</v>
      </c>
      <c r="R789" t="s">
        <v>33</v>
      </c>
      <c r="S789" t="s">
        <v>34</v>
      </c>
      <c r="T789" s="1">
        <v>812500</v>
      </c>
      <c r="U789">
        <v>0</v>
      </c>
      <c r="V789" s="1">
        <v>162500</v>
      </c>
      <c r="W789" t="s">
        <v>5322</v>
      </c>
    </row>
    <row r="790" spans="1:23" x14ac:dyDescent="0.25">
      <c r="A790">
        <v>4517</v>
      </c>
      <c r="B790" t="s">
        <v>23</v>
      </c>
      <c r="D790">
        <v>803</v>
      </c>
      <c r="E790" t="s">
        <v>5323</v>
      </c>
      <c r="F790" t="s">
        <v>5324</v>
      </c>
      <c r="G790" t="s">
        <v>135</v>
      </c>
      <c r="H790" t="s">
        <v>5325</v>
      </c>
      <c r="I790" t="s">
        <v>5326</v>
      </c>
      <c r="J790" t="s">
        <v>53</v>
      </c>
      <c r="K790" t="s">
        <v>429</v>
      </c>
      <c r="L790" t="s">
        <v>43</v>
      </c>
      <c r="M790">
        <v>8135759409</v>
      </c>
      <c r="N790" t="s">
        <v>45</v>
      </c>
      <c r="O790" t="s">
        <v>7881</v>
      </c>
      <c r="P790" t="s">
        <v>7893</v>
      </c>
      <c r="Q790" t="s">
        <v>46</v>
      </c>
      <c r="R790" t="s">
        <v>33</v>
      </c>
      <c r="S790" t="s">
        <v>34</v>
      </c>
      <c r="T790" s="1">
        <v>552500</v>
      </c>
      <c r="U790">
        <v>0</v>
      </c>
      <c r="V790">
        <v>0</v>
      </c>
      <c r="W790" t="s">
        <v>5327</v>
      </c>
    </row>
    <row r="791" spans="1:23" x14ac:dyDescent="0.25">
      <c r="A791">
        <v>16788</v>
      </c>
      <c r="B791" t="s">
        <v>23</v>
      </c>
      <c r="D791">
        <v>804</v>
      </c>
      <c r="E791" t="s">
        <v>5328</v>
      </c>
      <c r="F791" t="s">
        <v>2459</v>
      </c>
      <c r="G791" t="s">
        <v>5329</v>
      </c>
      <c r="H791" t="s">
        <v>5330</v>
      </c>
      <c r="I791" t="s">
        <v>5331</v>
      </c>
      <c r="J791" t="s">
        <v>53</v>
      </c>
      <c r="K791" t="s">
        <v>5332</v>
      </c>
      <c r="L791" t="s">
        <v>43</v>
      </c>
      <c r="M791" s="2" t="s">
        <v>5333</v>
      </c>
      <c r="N791" t="s">
        <v>31</v>
      </c>
      <c r="O791" t="s">
        <v>7886</v>
      </c>
      <c r="P791" t="s">
        <v>7919</v>
      </c>
      <c r="Q791" t="s">
        <v>63</v>
      </c>
      <c r="R791" t="s">
        <v>33</v>
      </c>
      <c r="S791" t="s">
        <v>34</v>
      </c>
      <c r="T791" s="1">
        <v>812500</v>
      </c>
      <c r="U791">
        <v>0</v>
      </c>
      <c r="V791" s="1">
        <v>162500</v>
      </c>
      <c r="W791" t="s">
        <v>5334</v>
      </c>
    </row>
    <row r="792" spans="1:23" x14ac:dyDescent="0.25">
      <c r="A792">
        <v>9991</v>
      </c>
      <c r="B792" t="s">
        <v>23</v>
      </c>
      <c r="D792">
        <v>805</v>
      </c>
      <c r="E792" t="s">
        <v>5335</v>
      </c>
      <c r="F792" t="s">
        <v>209</v>
      </c>
      <c r="G792" t="s">
        <v>5336</v>
      </c>
      <c r="H792" t="s">
        <v>4053</v>
      </c>
      <c r="I792" t="s">
        <v>5337</v>
      </c>
      <c r="J792" t="s">
        <v>28</v>
      </c>
      <c r="K792" t="s">
        <v>5338</v>
      </c>
      <c r="L792" t="s">
        <v>43</v>
      </c>
      <c r="M792">
        <v>7035124963</v>
      </c>
      <c r="N792" t="s">
        <v>31</v>
      </c>
      <c r="O792" t="s">
        <v>7886</v>
      </c>
      <c r="P792" t="s">
        <v>8028</v>
      </c>
      <c r="Q792" t="s">
        <v>63</v>
      </c>
      <c r="R792" t="s">
        <v>33</v>
      </c>
      <c r="S792" t="s">
        <v>34</v>
      </c>
      <c r="T792" s="1">
        <v>812500</v>
      </c>
      <c r="U792">
        <v>0</v>
      </c>
      <c r="V792" s="1">
        <v>162500</v>
      </c>
      <c r="W792" t="s">
        <v>5339</v>
      </c>
    </row>
    <row r="793" spans="1:23" x14ac:dyDescent="0.25">
      <c r="A793">
        <v>5120</v>
      </c>
      <c r="B793" t="s">
        <v>23</v>
      </c>
      <c r="D793">
        <v>806</v>
      </c>
      <c r="E793" t="s">
        <v>5340</v>
      </c>
      <c r="F793" t="s">
        <v>5341</v>
      </c>
      <c r="G793" t="s">
        <v>5342</v>
      </c>
      <c r="H793" t="s">
        <v>5343</v>
      </c>
      <c r="I793" t="s">
        <v>5344</v>
      </c>
      <c r="J793" t="s">
        <v>28</v>
      </c>
      <c r="K793" t="s">
        <v>732</v>
      </c>
      <c r="L793" t="s">
        <v>43</v>
      </c>
      <c r="M793">
        <v>8160662856</v>
      </c>
      <c r="N793" t="s">
        <v>31</v>
      </c>
      <c r="O793" t="s">
        <v>7886</v>
      </c>
      <c r="P793" t="s">
        <v>7981</v>
      </c>
      <c r="Q793" t="s">
        <v>46</v>
      </c>
      <c r="R793" t="s">
        <v>33</v>
      </c>
      <c r="S793" t="s">
        <v>34</v>
      </c>
      <c r="T793" s="1">
        <v>812500</v>
      </c>
      <c r="U793">
        <v>0</v>
      </c>
      <c r="V793" s="1">
        <v>162500</v>
      </c>
      <c r="W793" t="s">
        <v>5345</v>
      </c>
    </row>
    <row r="794" spans="1:23" x14ac:dyDescent="0.25">
      <c r="A794">
        <v>24137</v>
      </c>
      <c r="B794" t="s">
        <v>23</v>
      </c>
      <c r="D794">
        <v>807</v>
      </c>
      <c r="E794" t="s">
        <v>5346</v>
      </c>
      <c r="F794" t="s">
        <v>5347</v>
      </c>
      <c r="G794" t="s">
        <v>5348</v>
      </c>
      <c r="H794" t="s">
        <v>5349</v>
      </c>
      <c r="I794" t="s">
        <v>5350</v>
      </c>
      <c r="J794" t="s">
        <v>28</v>
      </c>
      <c r="K794" t="s">
        <v>5351</v>
      </c>
      <c r="L794" t="s">
        <v>43</v>
      </c>
      <c r="M794" t="s">
        <v>5352</v>
      </c>
      <c r="N794" t="s">
        <v>31</v>
      </c>
      <c r="O794" t="s">
        <v>7879</v>
      </c>
      <c r="P794" t="s">
        <v>7940</v>
      </c>
      <c r="Q794" t="s">
        <v>46</v>
      </c>
      <c r="R794" t="s">
        <v>33</v>
      </c>
      <c r="S794" t="s">
        <v>34</v>
      </c>
      <c r="T794" s="1">
        <v>195000</v>
      </c>
      <c r="U794">
        <v>0</v>
      </c>
      <c r="V794">
        <v>0</v>
      </c>
      <c r="W794" t="s">
        <v>5353</v>
      </c>
    </row>
    <row r="795" spans="1:23" x14ac:dyDescent="0.25">
      <c r="A795">
        <v>18932</v>
      </c>
      <c r="B795" t="s">
        <v>23</v>
      </c>
      <c r="D795">
        <v>808</v>
      </c>
      <c r="E795" t="s">
        <v>5354</v>
      </c>
      <c r="F795" t="s">
        <v>5355</v>
      </c>
      <c r="G795" t="s">
        <v>5356</v>
      </c>
      <c r="H795" t="s">
        <v>494</v>
      </c>
      <c r="I795" t="s">
        <v>5357</v>
      </c>
      <c r="J795" t="s">
        <v>53</v>
      </c>
      <c r="K795" t="s">
        <v>5358</v>
      </c>
      <c r="L795" t="s">
        <v>43</v>
      </c>
      <c r="M795" s="2" t="s">
        <v>5359</v>
      </c>
      <c r="N795" t="s">
        <v>31</v>
      </c>
      <c r="O795" t="s">
        <v>7881</v>
      </c>
      <c r="P795" t="s">
        <v>7980</v>
      </c>
      <c r="Q795" t="s">
        <v>63</v>
      </c>
      <c r="R795" t="s">
        <v>33</v>
      </c>
      <c r="S795" t="s">
        <v>34</v>
      </c>
      <c r="T795" s="1">
        <v>552500</v>
      </c>
      <c r="U795" s="1">
        <v>110500</v>
      </c>
      <c r="V795">
        <v>0</v>
      </c>
      <c r="W795" t="s">
        <v>5360</v>
      </c>
    </row>
    <row r="796" spans="1:23" x14ac:dyDescent="0.25">
      <c r="A796">
        <v>24277</v>
      </c>
      <c r="B796" t="s">
        <v>23</v>
      </c>
      <c r="D796">
        <v>809</v>
      </c>
      <c r="E796" t="s">
        <v>5361</v>
      </c>
      <c r="F796" t="s">
        <v>5362</v>
      </c>
      <c r="G796" t="s">
        <v>2057</v>
      </c>
      <c r="I796" t="s">
        <v>8019</v>
      </c>
      <c r="J796" t="s">
        <v>53</v>
      </c>
      <c r="K796" t="s">
        <v>5363</v>
      </c>
      <c r="L796" t="s">
        <v>43</v>
      </c>
      <c r="M796" s="2" t="s">
        <v>5364</v>
      </c>
      <c r="N796" t="s">
        <v>31</v>
      </c>
      <c r="O796" t="s">
        <v>7881</v>
      </c>
      <c r="P796" t="s">
        <v>7981</v>
      </c>
      <c r="Q796" t="s">
        <v>46</v>
      </c>
      <c r="R796" t="s">
        <v>33</v>
      </c>
      <c r="S796" t="s">
        <v>34</v>
      </c>
      <c r="T796" s="1">
        <v>552500</v>
      </c>
      <c r="U796">
        <v>0</v>
      </c>
      <c r="V796">
        <v>0</v>
      </c>
      <c r="W796" t="s">
        <v>5365</v>
      </c>
    </row>
    <row r="797" spans="1:23" x14ac:dyDescent="0.25">
      <c r="A797">
        <v>19470</v>
      </c>
      <c r="B797" t="s">
        <v>23</v>
      </c>
      <c r="D797">
        <v>810</v>
      </c>
      <c r="E797" t="s">
        <v>5366</v>
      </c>
      <c r="F797" t="s">
        <v>5367</v>
      </c>
      <c r="G797" t="s">
        <v>5368</v>
      </c>
      <c r="H797" t="s">
        <v>196</v>
      </c>
      <c r="I797">
        <v>220</v>
      </c>
      <c r="J797" t="s">
        <v>53</v>
      </c>
      <c r="K797" t="s">
        <v>5167</v>
      </c>
      <c r="L797" t="s">
        <v>30</v>
      </c>
      <c r="M797">
        <v>2203884957</v>
      </c>
      <c r="N797" t="s">
        <v>31</v>
      </c>
      <c r="O797" t="s">
        <v>7881</v>
      </c>
      <c r="P797" t="s">
        <v>7893</v>
      </c>
      <c r="Q797" t="s">
        <v>32</v>
      </c>
      <c r="R797" t="s">
        <v>33</v>
      </c>
      <c r="S797" t="s">
        <v>34</v>
      </c>
      <c r="T797" s="1">
        <v>552500</v>
      </c>
      <c r="U797">
        <v>0</v>
      </c>
      <c r="V797">
        <v>0</v>
      </c>
      <c r="W797" t="s">
        <v>5369</v>
      </c>
    </row>
    <row r="798" spans="1:23" x14ac:dyDescent="0.25">
      <c r="A798">
        <v>7224</v>
      </c>
      <c r="B798" t="s">
        <v>23</v>
      </c>
      <c r="D798">
        <v>811</v>
      </c>
      <c r="E798" t="s">
        <v>5370</v>
      </c>
      <c r="F798" t="s">
        <v>5371</v>
      </c>
      <c r="G798" t="s">
        <v>5372</v>
      </c>
      <c r="H798" t="s">
        <v>196</v>
      </c>
      <c r="I798" t="s">
        <v>5373</v>
      </c>
      <c r="J798" t="s">
        <v>53</v>
      </c>
      <c r="K798" t="s">
        <v>1152</v>
      </c>
      <c r="L798" t="s">
        <v>30</v>
      </c>
      <c r="M798" t="s">
        <v>5374</v>
      </c>
      <c r="N798" t="s">
        <v>31</v>
      </c>
      <c r="O798" t="s">
        <v>7881</v>
      </c>
      <c r="P798" t="s">
        <v>7893</v>
      </c>
      <c r="Q798" t="s">
        <v>32</v>
      </c>
      <c r="R798" t="s">
        <v>33</v>
      </c>
      <c r="S798" t="s">
        <v>34</v>
      </c>
      <c r="T798" s="1">
        <v>552500</v>
      </c>
      <c r="U798">
        <v>0</v>
      </c>
      <c r="V798">
        <v>0</v>
      </c>
      <c r="W798" t="s">
        <v>5375</v>
      </c>
    </row>
    <row r="799" spans="1:23" x14ac:dyDescent="0.25">
      <c r="A799">
        <v>23685</v>
      </c>
      <c r="B799" t="s">
        <v>23</v>
      </c>
      <c r="D799">
        <v>812</v>
      </c>
      <c r="E799" t="s">
        <v>5376</v>
      </c>
      <c r="F799" t="s">
        <v>5377</v>
      </c>
      <c r="G799" t="s">
        <v>4060</v>
      </c>
      <c r="H799" t="s">
        <v>1368</v>
      </c>
      <c r="I799" t="s">
        <v>5378</v>
      </c>
      <c r="J799" t="s">
        <v>53</v>
      </c>
      <c r="K799" t="s">
        <v>5379</v>
      </c>
      <c r="L799" t="s">
        <v>43</v>
      </c>
      <c r="M799" s="2" t="s">
        <v>5380</v>
      </c>
      <c r="N799" t="s">
        <v>45</v>
      </c>
      <c r="O799" t="s">
        <v>7879</v>
      </c>
      <c r="P799" t="s">
        <v>7893</v>
      </c>
      <c r="Q799" t="s">
        <v>63</v>
      </c>
      <c r="R799" t="s">
        <v>33</v>
      </c>
      <c r="S799" t="s">
        <v>34</v>
      </c>
      <c r="T799" s="1">
        <v>195000</v>
      </c>
      <c r="U799">
        <v>0</v>
      </c>
      <c r="V799">
        <v>0</v>
      </c>
      <c r="W799" t="s">
        <v>5381</v>
      </c>
    </row>
    <row r="800" spans="1:23" x14ac:dyDescent="0.25">
      <c r="A800">
        <v>24538</v>
      </c>
      <c r="B800" t="s">
        <v>23</v>
      </c>
      <c r="D800">
        <v>813</v>
      </c>
      <c r="E800" t="s">
        <v>5382</v>
      </c>
      <c r="F800" t="s">
        <v>5383</v>
      </c>
      <c r="G800" t="s">
        <v>5384</v>
      </c>
      <c r="H800" t="s">
        <v>5385</v>
      </c>
      <c r="I800">
        <v>2348088898205</v>
      </c>
      <c r="J800" t="s">
        <v>53</v>
      </c>
      <c r="K800" t="s">
        <v>5386</v>
      </c>
      <c r="L800" t="s">
        <v>43</v>
      </c>
      <c r="M800">
        <v>2348039373082</v>
      </c>
      <c r="N800" t="s">
        <v>31</v>
      </c>
      <c r="O800" t="s">
        <v>7879</v>
      </c>
      <c r="P800" t="s">
        <v>7940</v>
      </c>
      <c r="Q800" t="s">
        <v>87</v>
      </c>
      <c r="R800" t="s">
        <v>33</v>
      </c>
      <c r="S800" t="s">
        <v>34</v>
      </c>
      <c r="T800" s="1">
        <v>195000</v>
      </c>
      <c r="U800">
        <v>0</v>
      </c>
      <c r="V800">
        <v>0</v>
      </c>
      <c r="W800" t="s">
        <v>5387</v>
      </c>
    </row>
    <row r="801" spans="1:23" x14ac:dyDescent="0.25">
      <c r="A801">
        <v>19799</v>
      </c>
      <c r="B801" t="s">
        <v>23</v>
      </c>
      <c r="D801">
        <v>814</v>
      </c>
      <c r="E801" t="s">
        <v>5388</v>
      </c>
      <c r="F801" t="s">
        <v>5389</v>
      </c>
      <c r="G801" t="s">
        <v>5390</v>
      </c>
      <c r="I801" t="s">
        <v>5391</v>
      </c>
      <c r="J801" t="s">
        <v>53</v>
      </c>
      <c r="K801" t="s">
        <v>4022</v>
      </c>
      <c r="L801" t="s">
        <v>453</v>
      </c>
      <c r="M801">
        <v>233245275716</v>
      </c>
      <c r="N801" t="s">
        <v>45</v>
      </c>
      <c r="O801" t="s">
        <v>7881</v>
      </c>
      <c r="P801" t="s">
        <v>7893</v>
      </c>
      <c r="Q801" t="s">
        <v>455</v>
      </c>
      <c r="R801" t="s">
        <v>130</v>
      </c>
      <c r="S801" t="s">
        <v>131</v>
      </c>
      <c r="T801">
        <v>425</v>
      </c>
      <c r="U801">
        <v>0</v>
      </c>
      <c r="V801">
        <v>0</v>
      </c>
      <c r="W801" t="s">
        <v>5392</v>
      </c>
    </row>
    <row r="802" spans="1:23" x14ac:dyDescent="0.25">
      <c r="A802">
        <v>24523</v>
      </c>
      <c r="B802" t="s">
        <v>23</v>
      </c>
      <c r="D802">
        <v>815</v>
      </c>
      <c r="E802" t="s">
        <v>5393</v>
      </c>
      <c r="F802" t="s">
        <v>5394</v>
      </c>
      <c r="G802" t="s">
        <v>5395</v>
      </c>
      <c r="H802" t="s">
        <v>5396</v>
      </c>
      <c r="I802" t="s">
        <v>5397</v>
      </c>
      <c r="J802" t="s">
        <v>28</v>
      </c>
      <c r="K802" t="s">
        <v>5398</v>
      </c>
      <c r="L802" t="s">
        <v>43</v>
      </c>
      <c r="M802" s="2" t="s">
        <v>5399</v>
      </c>
      <c r="N802" t="s">
        <v>31</v>
      </c>
      <c r="O802" t="s">
        <v>7879</v>
      </c>
      <c r="P802" t="s">
        <v>7888</v>
      </c>
      <c r="Q802" t="s">
        <v>46</v>
      </c>
      <c r="R802" t="s">
        <v>33</v>
      </c>
      <c r="S802" t="s">
        <v>34</v>
      </c>
      <c r="T802" s="1">
        <v>195000</v>
      </c>
      <c r="U802">
        <v>0</v>
      </c>
      <c r="V802">
        <v>0</v>
      </c>
      <c r="W802" t="s">
        <v>5400</v>
      </c>
    </row>
    <row r="803" spans="1:23" x14ac:dyDescent="0.25">
      <c r="A803">
        <v>24487</v>
      </c>
      <c r="B803" t="s">
        <v>23</v>
      </c>
      <c r="D803">
        <v>816</v>
      </c>
      <c r="E803" t="s">
        <v>5401</v>
      </c>
      <c r="F803" t="s">
        <v>5402</v>
      </c>
      <c r="G803" t="s">
        <v>5403</v>
      </c>
      <c r="H803" t="s">
        <v>5404</v>
      </c>
      <c r="I803" t="s">
        <v>5405</v>
      </c>
      <c r="J803" t="s">
        <v>53</v>
      </c>
      <c r="K803" t="s">
        <v>5406</v>
      </c>
      <c r="L803" t="s">
        <v>43</v>
      </c>
      <c r="M803" s="2" t="s">
        <v>5407</v>
      </c>
      <c r="N803" t="s">
        <v>31</v>
      </c>
      <c r="O803" t="s">
        <v>7879</v>
      </c>
      <c r="P803" t="s">
        <v>7940</v>
      </c>
      <c r="Q803" t="s">
        <v>63</v>
      </c>
      <c r="R803" t="s">
        <v>33</v>
      </c>
      <c r="S803" t="s">
        <v>34</v>
      </c>
      <c r="T803" s="1">
        <v>195000</v>
      </c>
      <c r="U803">
        <v>0</v>
      </c>
      <c r="V803">
        <v>0</v>
      </c>
      <c r="W803" t="s">
        <v>5408</v>
      </c>
    </row>
    <row r="804" spans="1:23" x14ac:dyDescent="0.25">
      <c r="A804">
        <v>16177</v>
      </c>
      <c r="B804" t="s">
        <v>23</v>
      </c>
      <c r="D804">
        <v>817</v>
      </c>
      <c r="E804" s="11" t="s">
        <v>5409</v>
      </c>
      <c r="F804" t="s">
        <v>3393</v>
      </c>
      <c r="G804" t="s">
        <v>1263</v>
      </c>
      <c r="H804" t="s">
        <v>196</v>
      </c>
      <c r="I804" t="s">
        <v>8020</v>
      </c>
      <c r="J804" t="s">
        <v>28</v>
      </c>
      <c r="K804" t="s">
        <v>2443</v>
      </c>
      <c r="L804" t="s">
        <v>43</v>
      </c>
      <c r="M804" s="2" t="s">
        <v>5410</v>
      </c>
      <c r="N804" t="s">
        <v>31</v>
      </c>
      <c r="O804" t="s">
        <v>7886</v>
      </c>
      <c r="P804" t="s">
        <v>7981</v>
      </c>
      <c r="Q804" t="s">
        <v>46</v>
      </c>
      <c r="R804" t="s">
        <v>33</v>
      </c>
      <c r="S804" t="s">
        <v>34</v>
      </c>
      <c r="T804" s="1">
        <v>812500</v>
      </c>
      <c r="U804">
        <v>0</v>
      </c>
      <c r="V804" s="1">
        <v>162500</v>
      </c>
      <c r="W804" t="s">
        <v>5411</v>
      </c>
    </row>
    <row r="805" spans="1:23" x14ac:dyDescent="0.25">
      <c r="A805">
        <v>24126</v>
      </c>
      <c r="B805" t="s">
        <v>23</v>
      </c>
      <c r="D805">
        <v>818</v>
      </c>
      <c r="E805" t="s">
        <v>5412</v>
      </c>
      <c r="F805" t="s">
        <v>5413</v>
      </c>
      <c r="G805" t="s">
        <v>5414</v>
      </c>
      <c r="H805" t="s">
        <v>5415</v>
      </c>
      <c r="I805" t="s">
        <v>5416</v>
      </c>
      <c r="J805" t="s">
        <v>28</v>
      </c>
      <c r="K805" t="s">
        <v>5417</v>
      </c>
      <c r="L805" t="s">
        <v>453</v>
      </c>
      <c r="M805" s="2" t="s">
        <v>5418</v>
      </c>
      <c r="N805" t="s">
        <v>31</v>
      </c>
      <c r="O805" t="s">
        <v>7879</v>
      </c>
      <c r="P805" t="s">
        <v>7981</v>
      </c>
      <c r="Q805" t="s">
        <v>455</v>
      </c>
      <c r="R805" t="s">
        <v>130</v>
      </c>
      <c r="S805" t="s">
        <v>131</v>
      </c>
      <c r="T805">
        <v>150</v>
      </c>
      <c r="U805">
        <v>0</v>
      </c>
      <c r="V805">
        <v>0</v>
      </c>
      <c r="W805" t="s">
        <v>5419</v>
      </c>
    </row>
    <row r="806" spans="1:23" x14ac:dyDescent="0.25">
      <c r="A806">
        <v>23664</v>
      </c>
      <c r="B806" t="s">
        <v>23</v>
      </c>
      <c r="D806">
        <v>819</v>
      </c>
      <c r="E806" t="s">
        <v>5420</v>
      </c>
      <c r="F806" t="s">
        <v>5421</v>
      </c>
      <c r="G806" t="s">
        <v>346</v>
      </c>
      <c r="H806" t="s">
        <v>5422</v>
      </c>
      <c r="I806" t="s">
        <v>5423</v>
      </c>
      <c r="J806" t="s">
        <v>28</v>
      </c>
      <c r="K806" t="s">
        <v>5424</v>
      </c>
      <c r="L806" t="s">
        <v>43</v>
      </c>
      <c r="M806">
        <v>2348033417101</v>
      </c>
      <c r="N806" t="s">
        <v>45</v>
      </c>
      <c r="O806" t="s">
        <v>7879</v>
      </c>
      <c r="P806" t="s">
        <v>7893</v>
      </c>
      <c r="Q806" t="s">
        <v>87</v>
      </c>
      <c r="R806" t="s">
        <v>33</v>
      </c>
      <c r="S806" t="s">
        <v>34</v>
      </c>
      <c r="T806" s="1">
        <v>195000</v>
      </c>
      <c r="U806">
        <v>0</v>
      </c>
      <c r="V806">
        <v>0</v>
      </c>
      <c r="W806" t="s">
        <v>5425</v>
      </c>
    </row>
    <row r="807" spans="1:23" x14ac:dyDescent="0.25">
      <c r="A807">
        <v>24540</v>
      </c>
      <c r="B807" t="s">
        <v>23</v>
      </c>
      <c r="D807">
        <v>820</v>
      </c>
      <c r="E807" t="s">
        <v>5426</v>
      </c>
      <c r="F807" t="s">
        <v>5427</v>
      </c>
      <c r="G807" t="s">
        <v>5428</v>
      </c>
      <c r="H807" t="s">
        <v>743</v>
      </c>
      <c r="I807" t="s">
        <v>5429</v>
      </c>
      <c r="J807" t="s">
        <v>53</v>
      </c>
      <c r="K807" t="s">
        <v>5430</v>
      </c>
      <c r="L807" t="s">
        <v>43</v>
      </c>
      <c r="M807" s="2" t="s">
        <v>5431</v>
      </c>
      <c r="N807" t="s">
        <v>31</v>
      </c>
      <c r="O807" t="s">
        <v>7879</v>
      </c>
      <c r="P807" t="s">
        <v>7940</v>
      </c>
      <c r="Q807" t="s">
        <v>87</v>
      </c>
      <c r="R807" t="s">
        <v>33</v>
      </c>
      <c r="S807" t="s">
        <v>34</v>
      </c>
      <c r="T807" s="1">
        <v>195000</v>
      </c>
      <c r="U807">
        <v>0</v>
      </c>
      <c r="V807">
        <v>0</v>
      </c>
      <c r="W807" t="s">
        <v>5432</v>
      </c>
    </row>
    <row r="808" spans="1:23" x14ac:dyDescent="0.25">
      <c r="A808">
        <v>1308</v>
      </c>
      <c r="B808" t="s">
        <v>23</v>
      </c>
      <c r="D808">
        <v>821</v>
      </c>
      <c r="E808" t="s">
        <v>5433</v>
      </c>
      <c r="F808" t="s">
        <v>5434</v>
      </c>
      <c r="G808" t="s">
        <v>5435</v>
      </c>
      <c r="H808" t="s">
        <v>1742</v>
      </c>
      <c r="I808" t="s">
        <v>5436</v>
      </c>
      <c r="J808" t="s">
        <v>28</v>
      </c>
      <c r="K808" t="s">
        <v>5437</v>
      </c>
      <c r="L808" t="s">
        <v>43</v>
      </c>
      <c r="M808">
        <v>8035452196</v>
      </c>
      <c r="N808" t="s">
        <v>31</v>
      </c>
      <c r="O808" t="s">
        <v>7886</v>
      </c>
      <c r="P808" t="s">
        <v>7903</v>
      </c>
      <c r="Q808" t="s">
        <v>46</v>
      </c>
      <c r="R808" t="s">
        <v>33</v>
      </c>
      <c r="S808" t="s">
        <v>34</v>
      </c>
      <c r="T808" s="1">
        <v>812500</v>
      </c>
      <c r="U808">
        <v>0</v>
      </c>
      <c r="V808" s="1">
        <v>162500</v>
      </c>
      <c r="W808" t="s">
        <v>5438</v>
      </c>
    </row>
    <row r="809" spans="1:23" x14ac:dyDescent="0.25">
      <c r="A809">
        <v>24316</v>
      </c>
      <c r="B809" t="s">
        <v>23</v>
      </c>
      <c r="D809">
        <v>822</v>
      </c>
      <c r="E809" t="s">
        <v>5439</v>
      </c>
      <c r="F809" t="s">
        <v>5440</v>
      </c>
      <c r="G809" t="s">
        <v>5441</v>
      </c>
      <c r="H809" t="s">
        <v>5442</v>
      </c>
      <c r="I809" t="s">
        <v>5443</v>
      </c>
      <c r="J809" t="s">
        <v>28</v>
      </c>
      <c r="K809" t="s">
        <v>5444</v>
      </c>
      <c r="L809" t="s">
        <v>43</v>
      </c>
      <c r="M809" s="2" t="s">
        <v>5445</v>
      </c>
      <c r="N809" t="s">
        <v>31</v>
      </c>
      <c r="O809" t="s">
        <v>7879</v>
      </c>
      <c r="P809" t="s">
        <v>7888</v>
      </c>
      <c r="Q809" t="s">
        <v>63</v>
      </c>
      <c r="R809" t="s">
        <v>33</v>
      </c>
      <c r="S809" t="s">
        <v>34</v>
      </c>
      <c r="T809" s="1">
        <v>195000</v>
      </c>
      <c r="U809">
        <v>0</v>
      </c>
      <c r="V809">
        <v>0</v>
      </c>
      <c r="W809" t="s">
        <v>5446</v>
      </c>
    </row>
    <row r="810" spans="1:23" x14ac:dyDescent="0.25">
      <c r="A810">
        <v>347</v>
      </c>
      <c r="B810" t="s">
        <v>23</v>
      </c>
      <c r="D810">
        <v>823</v>
      </c>
      <c r="E810" t="s">
        <v>5447</v>
      </c>
      <c r="F810" t="s">
        <v>5448</v>
      </c>
      <c r="G810" t="s">
        <v>5449</v>
      </c>
      <c r="H810" t="s">
        <v>3313</v>
      </c>
      <c r="I810" t="s">
        <v>8021</v>
      </c>
      <c r="J810" t="s">
        <v>53</v>
      </c>
      <c r="K810" t="s">
        <v>3569</v>
      </c>
      <c r="L810" t="s">
        <v>43</v>
      </c>
      <c r="M810" s="2" t="s">
        <v>5450</v>
      </c>
      <c r="N810" t="s">
        <v>45</v>
      </c>
      <c r="O810" t="s">
        <v>7881</v>
      </c>
      <c r="P810" t="s">
        <v>7981</v>
      </c>
      <c r="Q810" t="s">
        <v>46</v>
      </c>
      <c r="R810" t="s">
        <v>33</v>
      </c>
      <c r="S810" t="s">
        <v>34</v>
      </c>
      <c r="T810" s="1">
        <v>552500</v>
      </c>
      <c r="U810">
        <v>0</v>
      </c>
      <c r="V810">
        <v>0</v>
      </c>
      <c r="W810" t="s">
        <v>5451</v>
      </c>
    </row>
    <row r="811" spans="1:23" x14ac:dyDescent="0.25">
      <c r="A811">
        <v>20275</v>
      </c>
      <c r="B811" t="s">
        <v>23</v>
      </c>
      <c r="D811">
        <v>824</v>
      </c>
      <c r="E811" t="s">
        <v>5452</v>
      </c>
      <c r="F811" t="s">
        <v>5453</v>
      </c>
      <c r="G811" t="s">
        <v>5454</v>
      </c>
      <c r="H811" t="s">
        <v>5455</v>
      </c>
      <c r="I811" t="s">
        <v>5456</v>
      </c>
      <c r="J811" t="s">
        <v>53</v>
      </c>
      <c r="K811" t="s">
        <v>5457</v>
      </c>
      <c r="L811" t="s">
        <v>43</v>
      </c>
      <c r="M811" s="2" t="s">
        <v>5458</v>
      </c>
      <c r="N811" t="s">
        <v>31</v>
      </c>
      <c r="O811" t="s">
        <v>7881</v>
      </c>
      <c r="P811" t="s">
        <v>7893</v>
      </c>
      <c r="Q811" t="s">
        <v>46</v>
      </c>
      <c r="R811" t="s">
        <v>33</v>
      </c>
      <c r="S811" t="s">
        <v>34</v>
      </c>
      <c r="T811" s="1">
        <v>552500</v>
      </c>
      <c r="U811">
        <v>0</v>
      </c>
      <c r="V811">
        <v>0</v>
      </c>
      <c r="W811" t="s">
        <v>5459</v>
      </c>
    </row>
    <row r="812" spans="1:23" x14ac:dyDescent="0.25">
      <c r="A812">
        <v>8517</v>
      </c>
      <c r="B812" t="s">
        <v>23</v>
      </c>
      <c r="D812">
        <v>825</v>
      </c>
      <c r="E812" t="s">
        <v>5460</v>
      </c>
      <c r="F812" t="s">
        <v>1122</v>
      </c>
      <c r="G812" t="s">
        <v>5461</v>
      </c>
      <c r="H812" t="s">
        <v>841</v>
      </c>
      <c r="I812" t="s">
        <v>5462</v>
      </c>
      <c r="J812" t="s">
        <v>53</v>
      </c>
      <c r="K812" t="s">
        <v>2883</v>
      </c>
      <c r="L812" t="s">
        <v>43</v>
      </c>
      <c r="M812">
        <v>8062306951</v>
      </c>
      <c r="N812" t="s">
        <v>31</v>
      </c>
      <c r="O812" t="s">
        <v>7886</v>
      </c>
      <c r="P812" t="s">
        <v>8027</v>
      </c>
      <c r="Q812" t="s">
        <v>63</v>
      </c>
      <c r="R812" t="s">
        <v>33</v>
      </c>
      <c r="S812" t="s">
        <v>34</v>
      </c>
      <c r="T812" s="1">
        <v>812500</v>
      </c>
      <c r="U812">
        <v>0</v>
      </c>
      <c r="V812" s="1">
        <v>162500</v>
      </c>
      <c r="W812" t="s">
        <v>5463</v>
      </c>
    </row>
    <row r="813" spans="1:23" x14ac:dyDescent="0.25">
      <c r="A813">
        <v>7815</v>
      </c>
      <c r="B813" t="s">
        <v>23</v>
      </c>
      <c r="D813">
        <v>826</v>
      </c>
      <c r="E813" t="s">
        <v>5464</v>
      </c>
      <c r="F813" t="s">
        <v>5465</v>
      </c>
      <c r="G813" t="s">
        <v>5466</v>
      </c>
      <c r="H813" t="s">
        <v>5467</v>
      </c>
      <c r="I813" t="s">
        <v>5468</v>
      </c>
      <c r="J813" t="s">
        <v>28</v>
      </c>
      <c r="K813" t="s">
        <v>5469</v>
      </c>
      <c r="L813" t="s">
        <v>43</v>
      </c>
      <c r="M813">
        <v>2348037096865</v>
      </c>
      <c r="N813" t="s">
        <v>31</v>
      </c>
      <c r="O813" t="s">
        <v>7886</v>
      </c>
      <c r="P813" t="s">
        <v>7940</v>
      </c>
      <c r="Q813" t="s">
        <v>63</v>
      </c>
      <c r="R813" t="s">
        <v>33</v>
      </c>
      <c r="S813" t="s">
        <v>34</v>
      </c>
      <c r="T813" s="1">
        <v>812500</v>
      </c>
      <c r="U813">
        <v>0</v>
      </c>
      <c r="V813" s="1">
        <v>162500</v>
      </c>
      <c r="W813" t="s">
        <v>5470</v>
      </c>
    </row>
    <row r="814" spans="1:23" ht="16.5" customHeight="1" x14ac:dyDescent="0.25">
      <c r="A814">
        <v>11456</v>
      </c>
      <c r="B814" t="s">
        <v>1627</v>
      </c>
      <c r="C814" s="3" t="s">
        <v>7887</v>
      </c>
      <c r="D814">
        <v>827</v>
      </c>
      <c r="E814" t="s">
        <v>5471</v>
      </c>
      <c r="F814" t="s">
        <v>665</v>
      </c>
      <c r="G814" t="s">
        <v>5472</v>
      </c>
      <c r="H814" t="s">
        <v>5473</v>
      </c>
      <c r="I814" t="s">
        <v>5474</v>
      </c>
      <c r="J814" t="s">
        <v>53</v>
      </c>
      <c r="K814" t="s">
        <v>5475</v>
      </c>
      <c r="L814" t="s">
        <v>43</v>
      </c>
      <c r="M814">
        <v>8032610229</v>
      </c>
      <c r="N814" t="s">
        <v>31</v>
      </c>
      <c r="O814" t="s">
        <v>7886</v>
      </c>
      <c r="P814" t="s">
        <v>7979</v>
      </c>
      <c r="Q814" t="s">
        <v>63</v>
      </c>
      <c r="R814" t="s">
        <v>33</v>
      </c>
      <c r="S814" t="s">
        <v>34</v>
      </c>
      <c r="T814" s="1">
        <v>812500</v>
      </c>
      <c r="U814" s="1">
        <v>110500</v>
      </c>
      <c r="V814" s="1">
        <v>162500</v>
      </c>
      <c r="W814" t="s">
        <v>5476</v>
      </c>
    </row>
    <row r="815" spans="1:23" x14ac:dyDescent="0.25">
      <c r="A815">
        <v>15945</v>
      </c>
      <c r="B815" t="s">
        <v>23</v>
      </c>
      <c r="D815">
        <v>828</v>
      </c>
      <c r="E815" t="s">
        <v>5477</v>
      </c>
      <c r="F815" t="s">
        <v>5478</v>
      </c>
      <c r="G815" t="s">
        <v>5479</v>
      </c>
      <c r="H815" t="s">
        <v>5480</v>
      </c>
      <c r="I815" t="s">
        <v>5481</v>
      </c>
      <c r="J815" t="s">
        <v>28</v>
      </c>
      <c r="K815" t="s">
        <v>5482</v>
      </c>
      <c r="L815" t="s">
        <v>43</v>
      </c>
      <c r="M815">
        <v>8066688810</v>
      </c>
      <c r="N815" t="s">
        <v>244</v>
      </c>
      <c r="O815" t="s">
        <v>7886</v>
      </c>
      <c r="P815" t="s">
        <v>7894</v>
      </c>
      <c r="Q815" t="s">
        <v>63</v>
      </c>
      <c r="R815" t="s">
        <v>33</v>
      </c>
      <c r="S815" t="s">
        <v>34</v>
      </c>
      <c r="T815" s="1">
        <v>812500</v>
      </c>
      <c r="U815">
        <v>0</v>
      </c>
      <c r="V815">
        <v>0</v>
      </c>
      <c r="W815" t="s">
        <v>5483</v>
      </c>
    </row>
    <row r="816" spans="1:23" x14ac:dyDescent="0.25">
      <c r="A816">
        <v>24359</v>
      </c>
      <c r="B816" t="s">
        <v>23</v>
      </c>
      <c r="D816">
        <v>829</v>
      </c>
      <c r="E816" t="s">
        <v>5484</v>
      </c>
      <c r="F816" t="s">
        <v>5485</v>
      </c>
      <c r="G816" t="s">
        <v>5486</v>
      </c>
      <c r="H816" t="s">
        <v>5487</v>
      </c>
      <c r="I816" t="s">
        <v>5488</v>
      </c>
      <c r="J816" t="s">
        <v>53</v>
      </c>
      <c r="K816" t="s">
        <v>5489</v>
      </c>
      <c r="L816" t="s">
        <v>43</v>
      </c>
      <c r="M816" s="2" t="s">
        <v>5490</v>
      </c>
      <c r="N816" t="s">
        <v>31</v>
      </c>
      <c r="O816" t="s">
        <v>7879</v>
      </c>
      <c r="P816" t="s">
        <v>7940</v>
      </c>
      <c r="Q816" t="s">
        <v>63</v>
      </c>
      <c r="R816" t="s">
        <v>33</v>
      </c>
      <c r="S816" t="s">
        <v>34</v>
      </c>
      <c r="T816" s="1">
        <v>195000</v>
      </c>
      <c r="U816">
        <v>0</v>
      </c>
      <c r="V816">
        <v>0</v>
      </c>
      <c r="W816" t="s">
        <v>5491</v>
      </c>
    </row>
    <row r="817" spans="1:23" x14ac:dyDescent="0.25">
      <c r="A817">
        <v>24436</v>
      </c>
      <c r="B817" t="s">
        <v>23</v>
      </c>
      <c r="D817">
        <v>830</v>
      </c>
      <c r="E817" t="s">
        <v>5492</v>
      </c>
      <c r="F817" t="s">
        <v>5493</v>
      </c>
      <c r="G817" t="s">
        <v>522</v>
      </c>
      <c r="H817" t="s">
        <v>5494</v>
      </c>
      <c r="I817" t="s">
        <v>5495</v>
      </c>
      <c r="J817" t="s">
        <v>28</v>
      </c>
      <c r="K817" t="s">
        <v>5496</v>
      </c>
      <c r="L817" t="s">
        <v>43</v>
      </c>
      <c r="M817" s="2" t="s">
        <v>5497</v>
      </c>
      <c r="N817" t="s">
        <v>31</v>
      </c>
      <c r="O817" t="s">
        <v>7879</v>
      </c>
      <c r="P817" t="s">
        <v>7893</v>
      </c>
      <c r="Q817" t="s">
        <v>87</v>
      </c>
      <c r="R817" t="s">
        <v>33</v>
      </c>
      <c r="S817" t="s">
        <v>34</v>
      </c>
      <c r="T817" s="1">
        <v>195000</v>
      </c>
      <c r="U817">
        <v>0</v>
      </c>
      <c r="V817">
        <v>0</v>
      </c>
      <c r="W817" t="s">
        <v>5498</v>
      </c>
    </row>
    <row r="818" spans="1:23" x14ac:dyDescent="0.25">
      <c r="A818">
        <v>24534</v>
      </c>
      <c r="B818" t="s">
        <v>23</v>
      </c>
      <c r="D818">
        <v>831</v>
      </c>
      <c r="E818" t="s">
        <v>5499</v>
      </c>
      <c r="F818" t="s">
        <v>5500</v>
      </c>
      <c r="G818" t="s">
        <v>5501</v>
      </c>
      <c r="H818" t="s">
        <v>5502</v>
      </c>
      <c r="I818" t="s">
        <v>5503</v>
      </c>
      <c r="J818" t="s">
        <v>53</v>
      </c>
      <c r="K818" t="s">
        <v>5504</v>
      </c>
      <c r="L818" t="s">
        <v>453</v>
      </c>
      <c r="M818" s="2" t="s">
        <v>5505</v>
      </c>
      <c r="N818" t="s">
        <v>31</v>
      </c>
      <c r="O818" t="s">
        <v>7879</v>
      </c>
      <c r="P818" t="s">
        <v>8028</v>
      </c>
      <c r="Q818" t="s">
        <v>455</v>
      </c>
      <c r="R818" t="s">
        <v>130</v>
      </c>
      <c r="S818" t="s">
        <v>131</v>
      </c>
      <c r="T818">
        <v>150</v>
      </c>
      <c r="U818">
        <v>0</v>
      </c>
      <c r="V818">
        <v>0</v>
      </c>
      <c r="W818" t="s">
        <v>5506</v>
      </c>
    </row>
    <row r="819" spans="1:23" x14ac:dyDescent="0.25">
      <c r="A819">
        <v>18995</v>
      </c>
      <c r="B819" t="s">
        <v>23</v>
      </c>
      <c r="D819">
        <v>832</v>
      </c>
      <c r="E819" t="s">
        <v>5507</v>
      </c>
      <c r="F819" t="s">
        <v>1978</v>
      </c>
      <c r="G819" t="s">
        <v>1566</v>
      </c>
      <c r="H819" t="s">
        <v>5508</v>
      </c>
      <c r="I819" t="s">
        <v>5509</v>
      </c>
      <c r="J819" t="s">
        <v>28</v>
      </c>
      <c r="K819" t="s">
        <v>5510</v>
      </c>
      <c r="L819" t="s">
        <v>43</v>
      </c>
      <c r="M819" s="2" t="s">
        <v>5511</v>
      </c>
      <c r="N819" t="s">
        <v>31</v>
      </c>
      <c r="O819" t="s">
        <v>7881</v>
      </c>
      <c r="P819" t="s">
        <v>7888</v>
      </c>
      <c r="Q819" t="s">
        <v>46</v>
      </c>
      <c r="R819" t="s">
        <v>33</v>
      </c>
      <c r="S819" t="s">
        <v>34</v>
      </c>
      <c r="T819" s="1">
        <v>552500</v>
      </c>
      <c r="U819" s="1">
        <v>110500</v>
      </c>
      <c r="V819">
        <v>0</v>
      </c>
      <c r="W819" t="s">
        <v>5512</v>
      </c>
    </row>
    <row r="820" spans="1:23" x14ac:dyDescent="0.25">
      <c r="A820">
        <v>24544</v>
      </c>
      <c r="B820" t="s">
        <v>23</v>
      </c>
      <c r="D820">
        <v>833</v>
      </c>
      <c r="E820" t="s">
        <v>5513</v>
      </c>
      <c r="F820" t="s">
        <v>5514</v>
      </c>
      <c r="G820" t="s">
        <v>5515</v>
      </c>
      <c r="H820" t="s">
        <v>5516</v>
      </c>
      <c r="I820" t="s">
        <v>5517</v>
      </c>
      <c r="J820" t="s">
        <v>53</v>
      </c>
      <c r="K820" t="s">
        <v>5518</v>
      </c>
      <c r="L820" t="s">
        <v>43</v>
      </c>
      <c r="M820" s="2" t="s">
        <v>5519</v>
      </c>
      <c r="N820" t="s">
        <v>31</v>
      </c>
      <c r="O820" t="s">
        <v>7879</v>
      </c>
      <c r="P820" t="s">
        <v>7940</v>
      </c>
      <c r="Q820" t="s">
        <v>87</v>
      </c>
      <c r="R820" t="s">
        <v>33</v>
      </c>
      <c r="S820" t="s">
        <v>34</v>
      </c>
      <c r="T820" s="1">
        <v>195000</v>
      </c>
      <c r="U820">
        <v>0</v>
      </c>
      <c r="V820">
        <v>0</v>
      </c>
      <c r="W820" t="s">
        <v>5520</v>
      </c>
    </row>
    <row r="821" spans="1:23" x14ac:dyDescent="0.25">
      <c r="A821">
        <v>24526</v>
      </c>
      <c r="B821" t="s">
        <v>23</v>
      </c>
      <c r="D821">
        <v>834</v>
      </c>
      <c r="E821" t="s">
        <v>5521</v>
      </c>
      <c r="F821" t="s">
        <v>1567</v>
      </c>
      <c r="G821" t="s">
        <v>592</v>
      </c>
      <c r="H821" t="s">
        <v>3659</v>
      </c>
      <c r="I821" s="2" t="s">
        <v>5522</v>
      </c>
      <c r="J821" t="s">
        <v>28</v>
      </c>
      <c r="K821" t="s">
        <v>5523</v>
      </c>
      <c r="L821" t="s">
        <v>43</v>
      </c>
      <c r="M821" s="2" t="s">
        <v>5522</v>
      </c>
      <c r="N821" t="s">
        <v>31</v>
      </c>
      <c r="O821" t="s">
        <v>7879</v>
      </c>
      <c r="P821" t="s">
        <v>7888</v>
      </c>
      <c r="Q821" t="s">
        <v>46</v>
      </c>
      <c r="R821" t="s">
        <v>33</v>
      </c>
      <c r="S821" t="s">
        <v>34</v>
      </c>
      <c r="T821" s="1">
        <v>195000</v>
      </c>
      <c r="U821">
        <v>0</v>
      </c>
      <c r="V821">
        <v>0</v>
      </c>
      <c r="W821" t="s">
        <v>5524</v>
      </c>
    </row>
    <row r="822" spans="1:23" x14ac:dyDescent="0.25">
      <c r="A822">
        <v>6749</v>
      </c>
      <c r="B822" t="s">
        <v>23</v>
      </c>
      <c r="D822">
        <v>835</v>
      </c>
      <c r="E822" t="s">
        <v>5525</v>
      </c>
      <c r="F822" t="s">
        <v>5526</v>
      </c>
      <c r="G822" t="s">
        <v>1368</v>
      </c>
      <c r="H822" t="s">
        <v>5527</v>
      </c>
      <c r="I822" t="s">
        <v>7971</v>
      </c>
      <c r="J822" t="s">
        <v>53</v>
      </c>
      <c r="K822" t="s">
        <v>3575</v>
      </c>
      <c r="L822" t="s">
        <v>43</v>
      </c>
      <c r="M822">
        <v>8063318876</v>
      </c>
      <c r="N822" t="s">
        <v>31</v>
      </c>
      <c r="O822" t="s">
        <v>7886</v>
      </c>
      <c r="P822" t="s">
        <v>7940</v>
      </c>
      <c r="Q822" t="s">
        <v>46</v>
      </c>
      <c r="R822" t="s">
        <v>33</v>
      </c>
      <c r="S822" t="s">
        <v>34</v>
      </c>
      <c r="T822" s="1">
        <v>812500</v>
      </c>
      <c r="U822">
        <v>0</v>
      </c>
      <c r="V822" s="1">
        <v>162500</v>
      </c>
      <c r="W822" t="s">
        <v>5528</v>
      </c>
    </row>
    <row r="823" spans="1:23" x14ac:dyDescent="0.25">
      <c r="A823">
        <v>9801</v>
      </c>
      <c r="B823" t="s">
        <v>23</v>
      </c>
      <c r="D823">
        <v>836</v>
      </c>
      <c r="E823" t="s">
        <v>5529</v>
      </c>
      <c r="F823" t="s">
        <v>5530</v>
      </c>
      <c r="G823" t="s">
        <v>360</v>
      </c>
      <c r="H823" t="s">
        <v>5531</v>
      </c>
      <c r="I823" t="s">
        <v>5532</v>
      </c>
      <c r="J823" t="s">
        <v>28</v>
      </c>
      <c r="K823" t="s">
        <v>5533</v>
      </c>
      <c r="L823" t="s">
        <v>43</v>
      </c>
      <c r="M823" s="2" t="s">
        <v>5534</v>
      </c>
      <c r="N823" t="s">
        <v>31</v>
      </c>
      <c r="O823" t="s">
        <v>7881</v>
      </c>
      <c r="P823" t="s">
        <v>7981</v>
      </c>
      <c r="Q823" t="s">
        <v>46</v>
      </c>
      <c r="R823" t="s">
        <v>33</v>
      </c>
      <c r="S823" t="s">
        <v>34</v>
      </c>
      <c r="T823" s="1">
        <v>552500</v>
      </c>
      <c r="U823">
        <v>0</v>
      </c>
      <c r="V823">
        <v>0</v>
      </c>
      <c r="W823" t="s">
        <v>5535</v>
      </c>
    </row>
    <row r="824" spans="1:23" x14ac:dyDescent="0.25">
      <c r="A824">
        <v>20850</v>
      </c>
      <c r="B824" t="s">
        <v>23</v>
      </c>
      <c r="D824">
        <v>837</v>
      </c>
      <c r="E824" t="s">
        <v>5536</v>
      </c>
      <c r="F824" t="s">
        <v>5537</v>
      </c>
      <c r="G824" t="s">
        <v>672</v>
      </c>
      <c r="I824" t="s">
        <v>5538</v>
      </c>
      <c r="J824" t="s">
        <v>53</v>
      </c>
      <c r="K824" t="s">
        <v>5539</v>
      </c>
      <c r="L824" t="s">
        <v>453</v>
      </c>
      <c r="M824">
        <v>233243588428</v>
      </c>
      <c r="N824" t="s">
        <v>31</v>
      </c>
      <c r="O824" t="s">
        <v>7881</v>
      </c>
      <c r="P824" t="s">
        <v>7888</v>
      </c>
      <c r="Q824" t="s">
        <v>455</v>
      </c>
      <c r="R824" t="s">
        <v>33</v>
      </c>
      <c r="S824" t="s">
        <v>34</v>
      </c>
      <c r="T824" s="1">
        <v>552500</v>
      </c>
      <c r="U824" s="1">
        <v>110500</v>
      </c>
      <c r="V824">
        <v>0</v>
      </c>
      <c r="W824" t="s">
        <v>5540</v>
      </c>
    </row>
    <row r="825" spans="1:23" x14ac:dyDescent="0.25">
      <c r="A825">
        <v>24533</v>
      </c>
      <c r="B825" t="s">
        <v>23</v>
      </c>
      <c r="D825">
        <v>838</v>
      </c>
      <c r="E825" t="s">
        <v>5541</v>
      </c>
      <c r="F825" t="s">
        <v>980</v>
      </c>
      <c r="G825" t="s">
        <v>5542</v>
      </c>
      <c r="H825" t="s">
        <v>5543</v>
      </c>
      <c r="I825" t="s">
        <v>5544</v>
      </c>
      <c r="J825" t="s">
        <v>28</v>
      </c>
      <c r="K825" t="s">
        <v>5545</v>
      </c>
      <c r="L825" t="s">
        <v>43</v>
      </c>
      <c r="M825" s="2" t="s">
        <v>5546</v>
      </c>
      <c r="N825" t="s">
        <v>31</v>
      </c>
      <c r="O825" t="s">
        <v>7879</v>
      </c>
      <c r="P825" t="s">
        <v>7893</v>
      </c>
      <c r="Q825" t="s">
        <v>46</v>
      </c>
      <c r="R825" t="s">
        <v>33</v>
      </c>
      <c r="S825" t="s">
        <v>34</v>
      </c>
      <c r="T825" s="1">
        <v>195000</v>
      </c>
      <c r="U825">
        <v>0</v>
      </c>
      <c r="V825">
        <v>0</v>
      </c>
      <c r="W825" t="s">
        <v>5547</v>
      </c>
    </row>
    <row r="826" spans="1:23" x14ac:dyDescent="0.25">
      <c r="A826">
        <v>11103</v>
      </c>
      <c r="B826" t="s">
        <v>23</v>
      </c>
      <c r="D826">
        <v>839</v>
      </c>
      <c r="E826" t="s">
        <v>5548</v>
      </c>
      <c r="F826" t="s">
        <v>5549</v>
      </c>
      <c r="G826" t="s">
        <v>5550</v>
      </c>
      <c r="H826" t="s">
        <v>5551</v>
      </c>
      <c r="I826" t="s">
        <v>3575</v>
      </c>
      <c r="J826" t="s">
        <v>28</v>
      </c>
      <c r="K826" t="s">
        <v>2822</v>
      </c>
      <c r="L826" t="s">
        <v>43</v>
      </c>
      <c r="M826">
        <v>8163917731</v>
      </c>
      <c r="N826" t="s">
        <v>31</v>
      </c>
      <c r="O826" t="s">
        <v>7881</v>
      </c>
      <c r="P826" t="s">
        <v>7981</v>
      </c>
      <c r="Q826" t="s">
        <v>46</v>
      </c>
      <c r="R826" t="s">
        <v>33</v>
      </c>
      <c r="S826" t="s">
        <v>34</v>
      </c>
      <c r="T826" s="1">
        <v>552500</v>
      </c>
      <c r="U826">
        <v>0</v>
      </c>
      <c r="V826">
        <v>0</v>
      </c>
      <c r="W826" t="s">
        <v>5552</v>
      </c>
    </row>
    <row r="827" spans="1:23" x14ac:dyDescent="0.25">
      <c r="A827">
        <v>22484</v>
      </c>
      <c r="B827" t="s">
        <v>23</v>
      </c>
      <c r="D827">
        <v>840</v>
      </c>
      <c r="E827" t="s">
        <v>5553</v>
      </c>
      <c r="F827" t="s">
        <v>5554</v>
      </c>
      <c r="G827" t="s">
        <v>5555</v>
      </c>
      <c r="I827" t="s">
        <v>5556</v>
      </c>
      <c r="J827" t="s">
        <v>28</v>
      </c>
      <c r="K827" t="s">
        <v>968</v>
      </c>
      <c r="L827" t="s">
        <v>453</v>
      </c>
      <c r="M827">
        <v>233207994961</v>
      </c>
      <c r="N827" t="s">
        <v>45</v>
      </c>
      <c r="O827" t="s">
        <v>7881</v>
      </c>
      <c r="P827" t="s">
        <v>7981</v>
      </c>
      <c r="Q827" t="s">
        <v>455</v>
      </c>
      <c r="R827" t="s">
        <v>130</v>
      </c>
      <c r="S827" t="s">
        <v>131</v>
      </c>
      <c r="T827">
        <v>425</v>
      </c>
      <c r="U827">
        <v>0</v>
      </c>
      <c r="V827">
        <v>0</v>
      </c>
      <c r="W827" t="s">
        <v>5557</v>
      </c>
    </row>
    <row r="828" spans="1:23" x14ac:dyDescent="0.25">
      <c r="A828">
        <v>18823</v>
      </c>
      <c r="B828" t="s">
        <v>23</v>
      </c>
      <c r="D828">
        <v>841</v>
      </c>
      <c r="E828" t="s">
        <v>5558</v>
      </c>
      <c r="F828" t="s">
        <v>5559</v>
      </c>
      <c r="G828" t="s">
        <v>5560</v>
      </c>
      <c r="H828" t="s">
        <v>5561</v>
      </c>
      <c r="I828" t="s">
        <v>5562</v>
      </c>
      <c r="J828" t="s">
        <v>28</v>
      </c>
      <c r="K828" t="s">
        <v>5563</v>
      </c>
      <c r="L828" t="s">
        <v>453</v>
      </c>
      <c r="M828">
        <v>233264611206</v>
      </c>
      <c r="N828" t="s">
        <v>31</v>
      </c>
      <c r="O828" t="s">
        <v>7886</v>
      </c>
      <c r="P828" t="s">
        <v>7981</v>
      </c>
      <c r="Q828" t="s">
        <v>455</v>
      </c>
      <c r="R828" t="s">
        <v>130</v>
      </c>
      <c r="S828" t="s">
        <v>131</v>
      </c>
      <c r="T828">
        <v>625</v>
      </c>
      <c r="U828">
        <v>0</v>
      </c>
      <c r="V828">
        <v>125</v>
      </c>
      <c r="W828" t="s">
        <v>5564</v>
      </c>
    </row>
    <row r="829" spans="1:23" x14ac:dyDescent="0.25">
      <c r="A829">
        <v>22455</v>
      </c>
      <c r="B829" t="s">
        <v>23</v>
      </c>
      <c r="D829">
        <v>842</v>
      </c>
      <c r="E829" t="s">
        <v>5565</v>
      </c>
      <c r="F829" t="s">
        <v>5566</v>
      </c>
      <c r="G829" t="s">
        <v>5567</v>
      </c>
      <c r="H829" t="s">
        <v>5568</v>
      </c>
      <c r="I829" t="s">
        <v>5569</v>
      </c>
      <c r="J829" t="s">
        <v>28</v>
      </c>
      <c r="K829" t="s">
        <v>2939</v>
      </c>
      <c r="L829" t="s">
        <v>453</v>
      </c>
      <c r="M829" s="2" t="s">
        <v>5570</v>
      </c>
      <c r="N829" t="s">
        <v>45</v>
      </c>
      <c r="O829" t="s">
        <v>7881</v>
      </c>
      <c r="P829" t="s">
        <v>7893</v>
      </c>
      <c r="Q829" t="s">
        <v>455</v>
      </c>
      <c r="R829" t="s">
        <v>130</v>
      </c>
      <c r="S829" t="s">
        <v>131</v>
      </c>
      <c r="T829">
        <v>425</v>
      </c>
      <c r="U829">
        <v>0</v>
      </c>
      <c r="V829">
        <v>0</v>
      </c>
      <c r="W829" t="s">
        <v>5571</v>
      </c>
    </row>
    <row r="830" spans="1:23" x14ac:dyDescent="0.25">
      <c r="A830">
        <v>22365</v>
      </c>
      <c r="B830" t="s">
        <v>23</v>
      </c>
      <c r="D830">
        <v>843</v>
      </c>
      <c r="E830" t="s">
        <v>5572</v>
      </c>
      <c r="F830" t="s">
        <v>5573</v>
      </c>
      <c r="G830" t="s">
        <v>5574</v>
      </c>
      <c r="H830" t="s">
        <v>5575</v>
      </c>
      <c r="I830" t="s">
        <v>952</v>
      </c>
      <c r="J830" t="s">
        <v>53</v>
      </c>
      <c r="K830" t="s">
        <v>952</v>
      </c>
      <c r="L830" t="s">
        <v>453</v>
      </c>
      <c r="M830" s="2" t="s">
        <v>5576</v>
      </c>
      <c r="N830" t="s">
        <v>31</v>
      </c>
      <c r="O830" t="s">
        <v>7881</v>
      </c>
      <c r="P830" t="s">
        <v>8028</v>
      </c>
      <c r="Q830" t="s">
        <v>455</v>
      </c>
      <c r="R830" t="s">
        <v>130</v>
      </c>
      <c r="S830" t="s">
        <v>131</v>
      </c>
      <c r="T830">
        <v>425</v>
      </c>
      <c r="U830">
        <v>0</v>
      </c>
      <c r="V830">
        <v>0</v>
      </c>
      <c r="W830" t="s">
        <v>5577</v>
      </c>
    </row>
    <row r="831" spans="1:23" x14ac:dyDescent="0.25">
      <c r="A831">
        <v>24520</v>
      </c>
      <c r="B831" t="s">
        <v>23</v>
      </c>
      <c r="D831">
        <v>844</v>
      </c>
      <c r="E831" t="s">
        <v>5578</v>
      </c>
      <c r="F831" t="s">
        <v>5579</v>
      </c>
      <c r="G831" t="s">
        <v>592</v>
      </c>
      <c r="H831" t="s">
        <v>2020</v>
      </c>
      <c r="I831" t="s">
        <v>5580</v>
      </c>
      <c r="J831" t="s">
        <v>28</v>
      </c>
      <c r="K831" t="s">
        <v>869</v>
      </c>
      <c r="L831" t="s">
        <v>43</v>
      </c>
      <c r="M831" s="2" t="s">
        <v>5581</v>
      </c>
      <c r="N831" t="s">
        <v>31</v>
      </c>
      <c r="O831" t="s">
        <v>7879</v>
      </c>
      <c r="P831" t="s">
        <v>7981</v>
      </c>
      <c r="Q831" t="s">
        <v>46</v>
      </c>
      <c r="R831" t="s">
        <v>33</v>
      </c>
      <c r="S831" t="s">
        <v>34</v>
      </c>
      <c r="T831" s="1">
        <v>195000</v>
      </c>
      <c r="U831">
        <v>0</v>
      </c>
      <c r="V831">
        <v>0</v>
      </c>
      <c r="W831" t="s">
        <v>5582</v>
      </c>
    </row>
    <row r="832" spans="1:23" x14ac:dyDescent="0.25">
      <c r="A832">
        <v>23784</v>
      </c>
      <c r="B832" t="s">
        <v>23</v>
      </c>
      <c r="D832">
        <v>845</v>
      </c>
      <c r="E832" t="s">
        <v>5583</v>
      </c>
      <c r="F832" t="s">
        <v>5584</v>
      </c>
      <c r="G832" t="s">
        <v>5585</v>
      </c>
      <c r="H832" t="s">
        <v>1914</v>
      </c>
      <c r="I832" t="s">
        <v>5586</v>
      </c>
      <c r="J832" t="s">
        <v>28</v>
      </c>
      <c r="K832" t="s">
        <v>5587</v>
      </c>
      <c r="L832" t="s">
        <v>43</v>
      </c>
      <c r="M832" s="2" t="s">
        <v>5588</v>
      </c>
      <c r="N832" t="s">
        <v>45</v>
      </c>
      <c r="O832" t="s">
        <v>7879</v>
      </c>
      <c r="P832" t="s">
        <v>7893</v>
      </c>
      <c r="Q832" t="s">
        <v>46</v>
      </c>
      <c r="R832" t="s">
        <v>33</v>
      </c>
      <c r="S832" t="s">
        <v>34</v>
      </c>
      <c r="T832" s="1">
        <v>195000</v>
      </c>
      <c r="U832">
        <v>0</v>
      </c>
      <c r="V832">
        <v>0</v>
      </c>
      <c r="W832" t="s">
        <v>5589</v>
      </c>
    </row>
    <row r="833" spans="1:23" x14ac:dyDescent="0.25">
      <c r="A833">
        <v>24430</v>
      </c>
      <c r="B833" t="s">
        <v>23</v>
      </c>
      <c r="D833">
        <v>846</v>
      </c>
      <c r="E833" t="s">
        <v>5590</v>
      </c>
      <c r="F833" t="s">
        <v>4734</v>
      </c>
      <c r="G833" t="s">
        <v>5591</v>
      </c>
      <c r="H833" t="s">
        <v>5592</v>
      </c>
      <c r="I833" t="s">
        <v>5593</v>
      </c>
      <c r="J833" t="s">
        <v>28</v>
      </c>
      <c r="K833" t="s">
        <v>5594</v>
      </c>
      <c r="L833" t="s">
        <v>43</v>
      </c>
      <c r="M833" s="2" t="s">
        <v>5595</v>
      </c>
      <c r="N833" t="s">
        <v>31</v>
      </c>
      <c r="O833" t="s">
        <v>7879</v>
      </c>
      <c r="P833" t="s">
        <v>8028</v>
      </c>
      <c r="Q833" t="s">
        <v>46</v>
      </c>
      <c r="R833" t="s">
        <v>33</v>
      </c>
      <c r="S833" t="s">
        <v>34</v>
      </c>
      <c r="T833" s="1">
        <v>195000</v>
      </c>
      <c r="U833">
        <v>0</v>
      </c>
      <c r="V833">
        <v>0</v>
      </c>
      <c r="W833" t="s">
        <v>5596</v>
      </c>
    </row>
    <row r="834" spans="1:23" x14ac:dyDescent="0.25">
      <c r="A834">
        <v>24542</v>
      </c>
      <c r="B834" t="s">
        <v>23</v>
      </c>
      <c r="D834">
        <v>848</v>
      </c>
      <c r="E834" t="s">
        <v>5598</v>
      </c>
      <c r="F834" t="s">
        <v>166</v>
      </c>
      <c r="G834" t="s">
        <v>5599</v>
      </c>
      <c r="H834" t="s">
        <v>5600</v>
      </c>
      <c r="I834" t="s">
        <v>5601</v>
      </c>
      <c r="J834" t="s">
        <v>53</v>
      </c>
      <c r="K834" t="s">
        <v>5602</v>
      </c>
      <c r="L834" t="s">
        <v>43</v>
      </c>
      <c r="M834" s="2" t="s">
        <v>5603</v>
      </c>
      <c r="N834" t="s">
        <v>31</v>
      </c>
      <c r="O834" t="s">
        <v>7879</v>
      </c>
      <c r="P834" t="s">
        <v>7888</v>
      </c>
      <c r="Q834" t="s">
        <v>87</v>
      </c>
      <c r="R834" t="s">
        <v>33</v>
      </c>
      <c r="S834" t="s">
        <v>34</v>
      </c>
      <c r="T834" s="1">
        <v>195000</v>
      </c>
      <c r="U834">
        <v>0</v>
      </c>
      <c r="V834">
        <v>0</v>
      </c>
      <c r="W834" t="s">
        <v>5604</v>
      </c>
    </row>
    <row r="835" spans="1:23" x14ac:dyDescent="0.25">
      <c r="A835">
        <v>23814</v>
      </c>
      <c r="B835" t="s">
        <v>23</v>
      </c>
      <c r="D835">
        <v>849</v>
      </c>
      <c r="E835" t="s">
        <v>5605</v>
      </c>
      <c r="F835" t="s">
        <v>5606</v>
      </c>
      <c r="G835" t="s">
        <v>5607</v>
      </c>
      <c r="H835" t="s">
        <v>5597</v>
      </c>
      <c r="I835" t="s">
        <v>5608</v>
      </c>
      <c r="J835" t="s">
        <v>53</v>
      </c>
      <c r="K835" t="s">
        <v>5609</v>
      </c>
      <c r="L835" t="s">
        <v>453</v>
      </c>
      <c r="M835" t="s">
        <v>5610</v>
      </c>
      <c r="N835" t="s">
        <v>31</v>
      </c>
      <c r="O835" t="s">
        <v>7879</v>
      </c>
      <c r="P835" t="s">
        <v>7893</v>
      </c>
      <c r="Q835" t="s">
        <v>455</v>
      </c>
      <c r="R835" t="s">
        <v>130</v>
      </c>
      <c r="S835" t="s">
        <v>131</v>
      </c>
      <c r="T835">
        <v>150</v>
      </c>
      <c r="U835">
        <v>0</v>
      </c>
      <c r="V835">
        <v>0</v>
      </c>
      <c r="W835" t="s">
        <v>5611</v>
      </c>
    </row>
    <row r="836" spans="1:23" x14ac:dyDescent="0.25">
      <c r="A836">
        <v>21629</v>
      </c>
      <c r="B836" t="s">
        <v>23</v>
      </c>
      <c r="D836">
        <v>850</v>
      </c>
      <c r="E836" t="s">
        <v>5612</v>
      </c>
      <c r="F836" t="s">
        <v>3626</v>
      </c>
      <c r="G836" t="s">
        <v>5613</v>
      </c>
      <c r="H836" t="s">
        <v>5614</v>
      </c>
      <c r="I836" t="s">
        <v>5615</v>
      </c>
      <c r="J836" t="s">
        <v>28</v>
      </c>
      <c r="K836" t="s">
        <v>5616</v>
      </c>
      <c r="L836" t="s">
        <v>43</v>
      </c>
      <c r="M836" s="2" t="s">
        <v>5617</v>
      </c>
      <c r="N836" t="s">
        <v>45</v>
      </c>
      <c r="O836" t="s">
        <v>7879</v>
      </c>
      <c r="P836" t="s">
        <v>7981</v>
      </c>
      <c r="Q836" t="s">
        <v>46</v>
      </c>
      <c r="R836" t="s">
        <v>33</v>
      </c>
      <c r="S836" t="s">
        <v>34</v>
      </c>
      <c r="T836" s="1">
        <v>195000</v>
      </c>
      <c r="U836">
        <v>0</v>
      </c>
      <c r="V836">
        <v>0</v>
      </c>
      <c r="W836" t="s">
        <v>5618</v>
      </c>
    </row>
    <row r="837" spans="1:23" x14ac:dyDescent="0.25">
      <c r="A837">
        <v>20989</v>
      </c>
      <c r="B837" t="s">
        <v>23</v>
      </c>
      <c r="D837">
        <v>851</v>
      </c>
      <c r="E837" t="s">
        <v>5619</v>
      </c>
      <c r="F837" t="s">
        <v>5620</v>
      </c>
      <c r="G837" t="s">
        <v>5621</v>
      </c>
      <c r="H837" t="s">
        <v>5622</v>
      </c>
      <c r="I837" t="s">
        <v>5623</v>
      </c>
      <c r="J837" t="s">
        <v>53</v>
      </c>
      <c r="K837" t="s">
        <v>5624</v>
      </c>
      <c r="L837" t="s">
        <v>43</v>
      </c>
      <c r="M837" s="2" t="s">
        <v>5625</v>
      </c>
      <c r="N837" t="s">
        <v>31</v>
      </c>
      <c r="O837" t="s">
        <v>7881</v>
      </c>
      <c r="P837" t="s">
        <v>7888</v>
      </c>
      <c r="Q837" t="s">
        <v>63</v>
      </c>
      <c r="R837" t="s">
        <v>33</v>
      </c>
      <c r="S837" t="s">
        <v>34</v>
      </c>
      <c r="T837" s="1">
        <v>552500</v>
      </c>
      <c r="U837" s="1">
        <v>110500</v>
      </c>
      <c r="V837">
        <v>0</v>
      </c>
      <c r="W837" t="s">
        <v>5626</v>
      </c>
    </row>
    <row r="838" spans="1:23" x14ac:dyDescent="0.25">
      <c r="A838">
        <v>24473</v>
      </c>
      <c r="B838" t="s">
        <v>23</v>
      </c>
      <c r="D838">
        <v>852</v>
      </c>
      <c r="E838" t="s">
        <v>5627</v>
      </c>
      <c r="F838" t="s">
        <v>5628</v>
      </c>
      <c r="G838" t="s">
        <v>672</v>
      </c>
      <c r="H838" t="s">
        <v>5629</v>
      </c>
      <c r="I838" t="s">
        <v>5630</v>
      </c>
      <c r="J838" t="s">
        <v>53</v>
      </c>
      <c r="K838" t="s">
        <v>5631</v>
      </c>
      <c r="L838" t="s">
        <v>453</v>
      </c>
      <c r="M838">
        <v>233532707874</v>
      </c>
      <c r="N838" t="s">
        <v>31</v>
      </c>
      <c r="O838" t="s">
        <v>7879</v>
      </c>
      <c r="P838" t="s">
        <v>7893</v>
      </c>
      <c r="Q838" t="s">
        <v>455</v>
      </c>
      <c r="R838" t="s">
        <v>130</v>
      </c>
      <c r="S838" t="s">
        <v>131</v>
      </c>
      <c r="T838">
        <v>150</v>
      </c>
      <c r="U838">
        <v>0</v>
      </c>
      <c r="V838">
        <v>0</v>
      </c>
      <c r="W838" t="s">
        <v>5632</v>
      </c>
    </row>
    <row r="839" spans="1:23" x14ac:dyDescent="0.25">
      <c r="A839">
        <v>3745</v>
      </c>
      <c r="B839" t="s">
        <v>23</v>
      </c>
      <c r="D839">
        <v>855</v>
      </c>
      <c r="E839" t="s">
        <v>5633</v>
      </c>
      <c r="F839" t="s">
        <v>5634</v>
      </c>
      <c r="G839" t="s">
        <v>5635</v>
      </c>
      <c r="H839" t="s">
        <v>4782</v>
      </c>
      <c r="I839" t="s">
        <v>5636</v>
      </c>
      <c r="J839" t="s">
        <v>53</v>
      </c>
      <c r="K839" t="s">
        <v>5637</v>
      </c>
      <c r="L839" t="s">
        <v>43</v>
      </c>
      <c r="M839" s="2" t="s">
        <v>5638</v>
      </c>
      <c r="N839" t="s">
        <v>31</v>
      </c>
      <c r="O839" t="s">
        <v>7886</v>
      </c>
      <c r="P839" t="s">
        <v>7981</v>
      </c>
      <c r="Q839" t="s">
        <v>46</v>
      </c>
      <c r="R839" t="s">
        <v>33</v>
      </c>
      <c r="S839" t="s">
        <v>34</v>
      </c>
      <c r="T839" s="1">
        <v>812500</v>
      </c>
      <c r="U839">
        <v>0</v>
      </c>
      <c r="V839" s="1">
        <v>162500</v>
      </c>
      <c r="W839" t="s">
        <v>5639</v>
      </c>
    </row>
    <row r="840" spans="1:23" x14ac:dyDescent="0.25">
      <c r="A840">
        <v>19308</v>
      </c>
      <c r="B840" t="s">
        <v>23</v>
      </c>
      <c r="D840">
        <v>856</v>
      </c>
      <c r="E840" t="s">
        <v>5640</v>
      </c>
      <c r="F840" t="s">
        <v>5641</v>
      </c>
      <c r="G840" t="s">
        <v>5642</v>
      </c>
      <c r="H840" t="s">
        <v>1219</v>
      </c>
      <c r="I840" t="s">
        <v>5643</v>
      </c>
      <c r="J840" t="s">
        <v>28</v>
      </c>
      <c r="K840" t="s">
        <v>1624</v>
      </c>
      <c r="L840" t="s">
        <v>453</v>
      </c>
      <c r="M840" s="2" t="s">
        <v>5644</v>
      </c>
      <c r="N840" t="s">
        <v>45</v>
      </c>
      <c r="O840" t="s">
        <v>7881</v>
      </c>
      <c r="P840" t="s">
        <v>7893</v>
      </c>
      <c r="Q840" t="s">
        <v>455</v>
      </c>
      <c r="R840" t="s">
        <v>130</v>
      </c>
      <c r="S840" t="s">
        <v>131</v>
      </c>
      <c r="T840">
        <v>425</v>
      </c>
      <c r="U840">
        <v>0</v>
      </c>
      <c r="V840">
        <v>0</v>
      </c>
      <c r="W840" t="s">
        <v>5645</v>
      </c>
    </row>
    <row r="841" spans="1:23" x14ac:dyDescent="0.25">
      <c r="A841">
        <v>6229</v>
      </c>
      <c r="B841" t="s">
        <v>23</v>
      </c>
      <c r="D841">
        <v>857</v>
      </c>
      <c r="E841" t="s">
        <v>5646</v>
      </c>
      <c r="F841" t="s">
        <v>5647</v>
      </c>
      <c r="G841" t="s">
        <v>2509</v>
      </c>
      <c r="H841" t="s">
        <v>5648</v>
      </c>
      <c r="I841" t="s">
        <v>5649</v>
      </c>
      <c r="J841" t="s">
        <v>53</v>
      </c>
      <c r="K841" t="s">
        <v>5650</v>
      </c>
      <c r="L841" t="s">
        <v>43</v>
      </c>
      <c r="M841" s="2" t="s">
        <v>5651</v>
      </c>
      <c r="N841" t="s">
        <v>31</v>
      </c>
      <c r="O841" t="s">
        <v>7886</v>
      </c>
      <c r="P841" t="s">
        <v>7940</v>
      </c>
      <c r="Q841" t="s">
        <v>63</v>
      </c>
      <c r="R841" t="s">
        <v>33</v>
      </c>
      <c r="S841" t="s">
        <v>34</v>
      </c>
      <c r="T841" s="1">
        <v>812500</v>
      </c>
      <c r="U841">
        <v>0</v>
      </c>
      <c r="V841" s="1">
        <v>162500</v>
      </c>
      <c r="W841" t="s">
        <v>5652</v>
      </c>
    </row>
    <row r="842" spans="1:23" x14ac:dyDescent="0.25">
      <c r="A842">
        <v>23802</v>
      </c>
      <c r="B842" t="s">
        <v>23</v>
      </c>
      <c r="D842">
        <v>858</v>
      </c>
      <c r="E842" t="s">
        <v>5653</v>
      </c>
      <c r="F842" t="s">
        <v>5654</v>
      </c>
      <c r="G842" t="s">
        <v>5655</v>
      </c>
      <c r="H842" t="s">
        <v>5656</v>
      </c>
      <c r="I842" t="s">
        <v>5657</v>
      </c>
      <c r="J842" t="s">
        <v>53</v>
      </c>
      <c r="K842" t="s">
        <v>5027</v>
      </c>
      <c r="L842" t="s">
        <v>43</v>
      </c>
      <c r="M842">
        <v>2347064554287</v>
      </c>
      <c r="N842" t="s">
        <v>31</v>
      </c>
      <c r="O842" t="s">
        <v>7881</v>
      </c>
      <c r="P842" t="s">
        <v>7893</v>
      </c>
      <c r="Q842" t="s">
        <v>87</v>
      </c>
      <c r="R842" t="s">
        <v>33</v>
      </c>
      <c r="S842" t="s">
        <v>34</v>
      </c>
      <c r="T842" s="1">
        <v>552500</v>
      </c>
      <c r="U842">
        <v>0</v>
      </c>
      <c r="V842">
        <v>0</v>
      </c>
      <c r="W842" t="s">
        <v>5658</v>
      </c>
    </row>
    <row r="843" spans="1:23" x14ac:dyDescent="0.25">
      <c r="A843">
        <v>24536</v>
      </c>
      <c r="B843" t="s">
        <v>23</v>
      </c>
      <c r="D843">
        <v>859</v>
      </c>
      <c r="E843" t="s">
        <v>5659</v>
      </c>
      <c r="F843" t="s">
        <v>5660</v>
      </c>
      <c r="G843" t="s">
        <v>5661</v>
      </c>
      <c r="H843" t="s">
        <v>5662</v>
      </c>
      <c r="I843" t="s">
        <v>5663</v>
      </c>
      <c r="J843" t="s">
        <v>53</v>
      </c>
      <c r="K843" t="s">
        <v>191</v>
      </c>
      <c r="L843" t="s">
        <v>43</v>
      </c>
      <c r="M843" s="2" t="s">
        <v>5664</v>
      </c>
      <c r="N843" t="s">
        <v>31</v>
      </c>
      <c r="O843" t="s">
        <v>7879</v>
      </c>
      <c r="P843" t="s">
        <v>8028</v>
      </c>
      <c r="Q843" t="s">
        <v>63</v>
      </c>
      <c r="R843" t="s">
        <v>33</v>
      </c>
      <c r="S843" t="s">
        <v>34</v>
      </c>
      <c r="T843" s="1">
        <v>195000</v>
      </c>
      <c r="U843">
        <v>0</v>
      </c>
      <c r="V843">
        <v>0</v>
      </c>
      <c r="W843" t="s">
        <v>5665</v>
      </c>
    </row>
    <row r="844" spans="1:23" x14ac:dyDescent="0.25">
      <c r="A844">
        <v>23983</v>
      </c>
      <c r="B844" t="s">
        <v>23</v>
      </c>
      <c r="D844">
        <v>860</v>
      </c>
      <c r="E844" t="s">
        <v>5666</v>
      </c>
      <c r="F844" t="s">
        <v>5667</v>
      </c>
      <c r="G844" t="s">
        <v>5668</v>
      </c>
      <c r="H844" t="s">
        <v>5669</v>
      </c>
      <c r="I844" t="s">
        <v>5670</v>
      </c>
      <c r="J844" t="s">
        <v>28</v>
      </c>
      <c r="K844" t="s">
        <v>2044</v>
      </c>
      <c r="L844" t="s">
        <v>43</v>
      </c>
      <c r="M844" s="2" t="s">
        <v>5671</v>
      </c>
      <c r="N844" t="s">
        <v>31</v>
      </c>
      <c r="O844" t="s">
        <v>7879</v>
      </c>
      <c r="P844" t="s">
        <v>8028</v>
      </c>
      <c r="Q844" t="s">
        <v>63</v>
      </c>
      <c r="R844" t="s">
        <v>33</v>
      </c>
      <c r="S844" t="s">
        <v>34</v>
      </c>
      <c r="T844" s="1">
        <v>195000</v>
      </c>
      <c r="U844">
        <v>0</v>
      </c>
      <c r="V844">
        <v>0</v>
      </c>
      <c r="W844" t="s">
        <v>5672</v>
      </c>
    </row>
    <row r="845" spans="1:23" x14ac:dyDescent="0.25">
      <c r="A845">
        <v>22457</v>
      </c>
      <c r="B845" t="s">
        <v>1627</v>
      </c>
      <c r="C845" t="s">
        <v>5673</v>
      </c>
      <c r="D845">
        <v>861</v>
      </c>
      <c r="E845" t="s">
        <v>5674</v>
      </c>
      <c r="F845" t="s">
        <v>74</v>
      </c>
      <c r="G845" t="s">
        <v>5675</v>
      </c>
      <c r="H845" t="s">
        <v>226</v>
      </c>
      <c r="I845" t="s">
        <v>5676</v>
      </c>
      <c r="J845" t="s">
        <v>53</v>
      </c>
      <c r="K845" t="s">
        <v>4506</v>
      </c>
      <c r="L845" t="s">
        <v>43</v>
      </c>
      <c r="M845">
        <v>2348036863776</v>
      </c>
      <c r="N845" t="s">
        <v>31</v>
      </c>
      <c r="O845" t="s">
        <v>7881</v>
      </c>
      <c r="P845" t="s">
        <v>7981</v>
      </c>
      <c r="Q845" t="s">
        <v>46</v>
      </c>
      <c r="R845" t="s">
        <v>33</v>
      </c>
      <c r="S845" t="s">
        <v>34</v>
      </c>
      <c r="T845" s="1">
        <v>552500</v>
      </c>
      <c r="U845">
        <v>0</v>
      </c>
      <c r="V845">
        <v>0</v>
      </c>
      <c r="W845" t="s">
        <v>5677</v>
      </c>
    </row>
    <row r="846" spans="1:23" x14ac:dyDescent="0.25">
      <c r="A846">
        <v>21768</v>
      </c>
      <c r="B846" t="s">
        <v>23</v>
      </c>
      <c r="D846">
        <v>862</v>
      </c>
      <c r="E846" t="s">
        <v>5678</v>
      </c>
      <c r="F846" t="s">
        <v>980</v>
      </c>
      <c r="G846" t="s">
        <v>3903</v>
      </c>
      <c r="H846" t="s">
        <v>3856</v>
      </c>
      <c r="I846" t="s">
        <v>5679</v>
      </c>
      <c r="J846" t="s">
        <v>28</v>
      </c>
      <c r="K846" t="s">
        <v>5680</v>
      </c>
      <c r="L846" t="s">
        <v>43</v>
      </c>
      <c r="M846">
        <v>238032367444</v>
      </c>
      <c r="N846" t="s">
        <v>31</v>
      </c>
      <c r="O846" t="s">
        <v>7879</v>
      </c>
      <c r="P846" t="s">
        <v>7940</v>
      </c>
      <c r="Q846" t="s">
        <v>46</v>
      </c>
      <c r="R846" t="s">
        <v>33</v>
      </c>
      <c r="S846" t="s">
        <v>34</v>
      </c>
      <c r="T846" s="1">
        <v>195000</v>
      </c>
      <c r="U846">
        <v>0</v>
      </c>
      <c r="V846">
        <v>0</v>
      </c>
      <c r="W846" t="s">
        <v>5681</v>
      </c>
    </row>
    <row r="847" spans="1:23" x14ac:dyDescent="0.25">
      <c r="A847">
        <v>21217</v>
      </c>
      <c r="B847" t="s">
        <v>23</v>
      </c>
      <c r="D847">
        <v>863</v>
      </c>
      <c r="E847" t="s">
        <v>5682</v>
      </c>
      <c r="F847" t="s">
        <v>5683</v>
      </c>
      <c r="G847" t="s">
        <v>1092</v>
      </c>
      <c r="H847" t="s">
        <v>649</v>
      </c>
      <c r="I847" t="s">
        <v>5684</v>
      </c>
      <c r="J847" t="s">
        <v>28</v>
      </c>
      <c r="K847" t="s">
        <v>5685</v>
      </c>
      <c r="L847" t="s">
        <v>43</v>
      </c>
      <c r="M847">
        <v>2348120110088</v>
      </c>
      <c r="N847" t="s">
        <v>45</v>
      </c>
      <c r="O847" t="s">
        <v>7881</v>
      </c>
      <c r="P847" t="s">
        <v>7981</v>
      </c>
      <c r="Q847" t="s">
        <v>87</v>
      </c>
      <c r="R847" t="s">
        <v>33</v>
      </c>
      <c r="S847" t="s">
        <v>34</v>
      </c>
      <c r="T847" s="1">
        <v>552500</v>
      </c>
      <c r="U847">
        <v>0</v>
      </c>
      <c r="V847">
        <v>0</v>
      </c>
      <c r="W847" t="s">
        <v>5686</v>
      </c>
    </row>
    <row r="848" spans="1:23" x14ac:dyDescent="0.25">
      <c r="A848">
        <v>20736</v>
      </c>
      <c r="B848" t="s">
        <v>23</v>
      </c>
      <c r="D848">
        <v>864</v>
      </c>
      <c r="E848" t="s">
        <v>5687</v>
      </c>
      <c r="F848" t="s">
        <v>5688</v>
      </c>
      <c r="G848" t="s">
        <v>599</v>
      </c>
      <c r="H848" t="s">
        <v>5689</v>
      </c>
      <c r="I848" t="s">
        <v>5690</v>
      </c>
      <c r="J848" t="s">
        <v>28</v>
      </c>
      <c r="K848" t="s">
        <v>5691</v>
      </c>
      <c r="L848" t="s">
        <v>43</v>
      </c>
      <c r="M848" s="2" t="s">
        <v>5692</v>
      </c>
      <c r="N848" t="s">
        <v>31</v>
      </c>
      <c r="O848" t="s">
        <v>7881</v>
      </c>
      <c r="P848" t="s">
        <v>7888</v>
      </c>
      <c r="Q848" t="s">
        <v>46</v>
      </c>
      <c r="R848" t="s">
        <v>33</v>
      </c>
      <c r="S848" t="s">
        <v>34</v>
      </c>
      <c r="T848" s="1">
        <v>552500</v>
      </c>
      <c r="U848" s="1">
        <v>110500</v>
      </c>
      <c r="V848">
        <v>0</v>
      </c>
      <c r="W848" t="s">
        <v>5693</v>
      </c>
    </row>
    <row r="849" spans="1:23" x14ac:dyDescent="0.25">
      <c r="A849">
        <v>20496</v>
      </c>
      <c r="B849" t="s">
        <v>23</v>
      </c>
      <c r="D849">
        <v>865</v>
      </c>
      <c r="E849" t="s">
        <v>5694</v>
      </c>
      <c r="F849" t="s">
        <v>5695</v>
      </c>
      <c r="G849" t="s">
        <v>5696</v>
      </c>
      <c r="H849" t="s">
        <v>5697</v>
      </c>
      <c r="I849" t="s">
        <v>5698</v>
      </c>
      <c r="J849" t="s">
        <v>28</v>
      </c>
      <c r="K849" t="s">
        <v>5699</v>
      </c>
      <c r="L849" t="s">
        <v>43</v>
      </c>
      <c r="M849" s="2" t="s">
        <v>5700</v>
      </c>
      <c r="N849" t="s">
        <v>31</v>
      </c>
      <c r="O849" t="s">
        <v>7881</v>
      </c>
      <c r="P849" t="s">
        <v>7940</v>
      </c>
      <c r="Q849" t="s">
        <v>46</v>
      </c>
      <c r="R849" t="s">
        <v>33</v>
      </c>
      <c r="S849" t="s">
        <v>34</v>
      </c>
      <c r="T849" s="1">
        <v>552500</v>
      </c>
      <c r="U849">
        <v>0</v>
      </c>
      <c r="V849">
        <v>0</v>
      </c>
      <c r="W849" t="s">
        <v>5701</v>
      </c>
    </row>
    <row r="850" spans="1:23" x14ac:dyDescent="0.25">
      <c r="A850">
        <v>24545</v>
      </c>
      <c r="B850" t="s">
        <v>23</v>
      </c>
      <c r="D850">
        <v>866</v>
      </c>
      <c r="E850" t="s">
        <v>5702</v>
      </c>
      <c r="F850" t="s">
        <v>5703</v>
      </c>
      <c r="G850" t="s">
        <v>5704</v>
      </c>
      <c r="H850" t="s">
        <v>5705</v>
      </c>
      <c r="I850" t="s">
        <v>5706</v>
      </c>
      <c r="J850" t="s">
        <v>53</v>
      </c>
      <c r="K850" t="s">
        <v>5707</v>
      </c>
      <c r="L850" t="s">
        <v>43</v>
      </c>
      <c r="M850" s="2" t="s">
        <v>5708</v>
      </c>
      <c r="N850" t="s">
        <v>31</v>
      </c>
      <c r="O850" t="s">
        <v>7879</v>
      </c>
      <c r="P850" t="s">
        <v>7893</v>
      </c>
      <c r="Q850" t="s">
        <v>46</v>
      </c>
      <c r="R850" t="s">
        <v>33</v>
      </c>
      <c r="S850" t="s">
        <v>34</v>
      </c>
      <c r="T850" s="1">
        <v>195000</v>
      </c>
      <c r="U850">
        <v>0</v>
      </c>
      <c r="V850">
        <v>0</v>
      </c>
      <c r="W850" t="s">
        <v>5709</v>
      </c>
    </row>
    <row r="851" spans="1:23" x14ac:dyDescent="0.25">
      <c r="A851">
        <v>19655</v>
      </c>
      <c r="B851" t="s">
        <v>23</v>
      </c>
      <c r="D851">
        <v>867</v>
      </c>
      <c r="E851" t="s">
        <v>5710</v>
      </c>
      <c r="F851" t="s">
        <v>5711</v>
      </c>
      <c r="G851" t="s">
        <v>3918</v>
      </c>
      <c r="H851" t="s">
        <v>5712</v>
      </c>
      <c r="I851" t="s">
        <v>5713</v>
      </c>
      <c r="J851" t="s">
        <v>53</v>
      </c>
      <c r="K851" t="s">
        <v>5714</v>
      </c>
      <c r="L851" t="s">
        <v>43</v>
      </c>
      <c r="M851" s="2" t="s">
        <v>5715</v>
      </c>
      <c r="N851" t="s">
        <v>45</v>
      </c>
      <c r="O851" t="s">
        <v>7881</v>
      </c>
      <c r="P851" t="s">
        <v>7981</v>
      </c>
      <c r="Q851" t="s">
        <v>46</v>
      </c>
      <c r="R851" t="s">
        <v>33</v>
      </c>
      <c r="S851" t="s">
        <v>34</v>
      </c>
      <c r="T851" s="1">
        <v>552500</v>
      </c>
      <c r="U851">
        <v>0</v>
      </c>
      <c r="V851">
        <v>0</v>
      </c>
      <c r="W851" t="s">
        <v>5716</v>
      </c>
    </row>
    <row r="852" spans="1:23" x14ac:dyDescent="0.25">
      <c r="A852">
        <v>242</v>
      </c>
      <c r="B852" t="s">
        <v>23</v>
      </c>
      <c r="D852">
        <v>868</v>
      </c>
      <c r="E852" t="s">
        <v>5717</v>
      </c>
      <c r="F852" t="s">
        <v>5718</v>
      </c>
      <c r="G852" t="s">
        <v>5719</v>
      </c>
      <c r="H852" t="s">
        <v>5720</v>
      </c>
      <c r="I852" t="s">
        <v>5721</v>
      </c>
      <c r="J852" t="s">
        <v>53</v>
      </c>
      <c r="K852" t="s">
        <v>5722</v>
      </c>
      <c r="L852" t="s">
        <v>43</v>
      </c>
      <c r="M852">
        <v>7031517017</v>
      </c>
      <c r="N852" t="s">
        <v>31</v>
      </c>
      <c r="O852" t="s">
        <v>7886</v>
      </c>
      <c r="P852" t="s">
        <v>7981</v>
      </c>
      <c r="Q852" t="s">
        <v>63</v>
      </c>
      <c r="R852" t="s">
        <v>33</v>
      </c>
      <c r="S852" t="s">
        <v>34</v>
      </c>
      <c r="T852" s="1">
        <v>812500</v>
      </c>
      <c r="U852">
        <v>0</v>
      </c>
      <c r="V852" s="1">
        <v>162500</v>
      </c>
      <c r="W852" t="s">
        <v>5723</v>
      </c>
    </row>
    <row r="853" spans="1:23" x14ac:dyDescent="0.25">
      <c r="A853">
        <v>24502</v>
      </c>
      <c r="B853" t="s">
        <v>23</v>
      </c>
      <c r="D853">
        <v>869</v>
      </c>
      <c r="E853" t="s">
        <v>5724</v>
      </c>
      <c r="F853" t="s">
        <v>2868</v>
      </c>
      <c r="G853" t="s">
        <v>529</v>
      </c>
      <c r="H853" t="s">
        <v>5725</v>
      </c>
      <c r="I853" t="s">
        <v>5726</v>
      </c>
      <c r="J853" t="s">
        <v>53</v>
      </c>
      <c r="K853" t="s">
        <v>5727</v>
      </c>
      <c r="L853" t="s">
        <v>43</v>
      </c>
      <c r="M853" s="2" t="s">
        <v>5728</v>
      </c>
      <c r="N853" t="s">
        <v>31</v>
      </c>
      <c r="O853" t="s">
        <v>7879</v>
      </c>
      <c r="P853" t="s">
        <v>7940</v>
      </c>
      <c r="Q853" t="s">
        <v>46</v>
      </c>
      <c r="R853" t="s">
        <v>33</v>
      </c>
      <c r="S853" t="s">
        <v>34</v>
      </c>
      <c r="T853" s="1">
        <v>195000</v>
      </c>
      <c r="U853">
        <v>0</v>
      </c>
      <c r="V853">
        <v>0</v>
      </c>
      <c r="W853" t="s">
        <v>5729</v>
      </c>
    </row>
    <row r="854" spans="1:23" x14ac:dyDescent="0.25">
      <c r="A854">
        <v>24543</v>
      </c>
      <c r="B854" t="s">
        <v>23</v>
      </c>
      <c r="D854">
        <v>870</v>
      </c>
      <c r="E854" t="s">
        <v>5730</v>
      </c>
      <c r="F854" t="s">
        <v>209</v>
      </c>
      <c r="G854" t="s">
        <v>5731</v>
      </c>
      <c r="I854" t="s">
        <v>5732</v>
      </c>
      <c r="J854" t="s">
        <v>53</v>
      </c>
      <c r="K854" t="s">
        <v>772</v>
      </c>
      <c r="L854" t="s">
        <v>43</v>
      </c>
      <c r="M854" s="2" t="s">
        <v>5733</v>
      </c>
      <c r="N854" t="s">
        <v>31</v>
      </c>
      <c r="O854" t="s">
        <v>7879</v>
      </c>
      <c r="P854" t="s">
        <v>8028</v>
      </c>
      <c r="Q854" t="s">
        <v>46</v>
      </c>
      <c r="R854" t="s">
        <v>33</v>
      </c>
      <c r="S854" t="s">
        <v>34</v>
      </c>
      <c r="T854" s="1">
        <v>195000</v>
      </c>
      <c r="U854">
        <v>0</v>
      </c>
      <c r="V854">
        <v>0</v>
      </c>
      <c r="W854" t="s">
        <v>5734</v>
      </c>
    </row>
    <row r="855" spans="1:23" x14ac:dyDescent="0.25">
      <c r="A855">
        <v>20051</v>
      </c>
      <c r="B855" t="s">
        <v>23</v>
      </c>
      <c r="D855">
        <v>871</v>
      </c>
      <c r="E855" t="s">
        <v>5735</v>
      </c>
      <c r="F855" t="s">
        <v>5736</v>
      </c>
      <c r="G855" t="s">
        <v>5737</v>
      </c>
      <c r="H855" t="s">
        <v>1219</v>
      </c>
      <c r="I855" t="s">
        <v>7932</v>
      </c>
      <c r="J855" t="s">
        <v>53</v>
      </c>
      <c r="K855" t="s">
        <v>5738</v>
      </c>
      <c r="L855" t="s">
        <v>43</v>
      </c>
      <c r="M855" s="2" t="s">
        <v>5739</v>
      </c>
      <c r="N855" t="s">
        <v>31</v>
      </c>
      <c r="O855" t="s">
        <v>7881</v>
      </c>
      <c r="P855" t="s">
        <v>7893</v>
      </c>
      <c r="Q855" t="s">
        <v>46</v>
      </c>
      <c r="R855" t="s">
        <v>33</v>
      </c>
      <c r="S855" t="s">
        <v>34</v>
      </c>
      <c r="T855" s="1">
        <v>552500</v>
      </c>
      <c r="U855">
        <v>0</v>
      </c>
      <c r="V855">
        <v>0</v>
      </c>
      <c r="W855" t="s">
        <v>5740</v>
      </c>
    </row>
    <row r="856" spans="1:23" x14ac:dyDescent="0.25">
      <c r="A856">
        <v>24506</v>
      </c>
      <c r="B856" t="s">
        <v>23</v>
      </c>
      <c r="D856">
        <v>872</v>
      </c>
      <c r="E856" t="s">
        <v>5741</v>
      </c>
      <c r="F856" t="s">
        <v>5742</v>
      </c>
      <c r="G856" t="s">
        <v>390</v>
      </c>
      <c r="H856" t="s">
        <v>5743</v>
      </c>
      <c r="I856" s="2" t="s">
        <v>5744</v>
      </c>
      <c r="J856" t="s">
        <v>28</v>
      </c>
      <c r="K856" t="s">
        <v>923</v>
      </c>
      <c r="L856" t="s">
        <v>43</v>
      </c>
      <c r="M856" s="2" t="s">
        <v>5744</v>
      </c>
      <c r="N856" t="s">
        <v>31</v>
      </c>
      <c r="O856" t="s">
        <v>7879</v>
      </c>
      <c r="P856" t="s">
        <v>7981</v>
      </c>
      <c r="Q856" t="s">
        <v>46</v>
      </c>
      <c r="R856" t="s">
        <v>33</v>
      </c>
      <c r="S856" t="s">
        <v>34</v>
      </c>
      <c r="T856" s="1">
        <v>195000</v>
      </c>
      <c r="U856">
        <v>0</v>
      </c>
      <c r="V856">
        <v>0</v>
      </c>
      <c r="W856" t="s">
        <v>5745</v>
      </c>
    </row>
    <row r="857" spans="1:23" x14ac:dyDescent="0.25">
      <c r="A857">
        <v>8310</v>
      </c>
      <c r="B857" t="s">
        <v>23</v>
      </c>
      <c r="D857">
        <v>873</v>
      </c>
      <c r="E857" t="s">
        <v>5746</v>
      </c>
      <c r="F857" t="s">
        <v>5747</v>
      </c>
      <c r="G857" t="s">
        <v>5748</v>
      </c>
      <c r="H857" t="s">
        <v>5749</v>
      </c>
      <c r="I857" t="s">
        <v>5750</v>
      </c>
      <c r="J857" t="s">
        <v>28</v>
      </c>
      <c r="K857" t="s">
        <v>5751</v>
      </c>
      <c r="L857" t="s">
        <v>43</v>
      </c>
      <c r="M857">
        <v>7062042534</v>
      </c>
      <c r="N857" t="s">
        <v>31</v>
      </c>
      <c r="O857" t="s">
        <v>7886</v>
      </c>
      <c r="P857" t="s">
        <v>7940</v>
      </c>
      <c r="Q857" t="s">
        <v>63</v>
      </c>
      <c r="R857" t="s">
        <v>33</v>
      </c>
      <c r="S857" t="s">
        <v>34</v>
      </c>
      <c r="T857" s="1">
        <v>812500</v>
      </c>
      <c r="U857">
        <v>0</v>
      </c>
      <c r="V857" s="1">
        <v>162500</v>
      </c>
      <c r="W857" t="s">
        <v>5752</v>
      </c>
    </row>
    <row r="858" spans="1:23" x14ac:dyDescent="0.25">
      <c r="A858">
        <v>20257</v>
      </c>
      <c r="B858" t="s">
        <v>23</v>
      </c>
      <c r="D858">
        <v>874</v>
      </c>
      <c r="E858" t="s">
        <v>5753</v>
      </c>
      <c r="F858" t="s">
        <v>5754</v>
      </c>
      <c r="G858" t="s">
        <v>5755</v>
      </c>
      <c r="I858" t="s">
        <v>5756</v>
      </c>
      <c r="J858" t="s">
        <v>28</v>
      </c>
      <c r="K858" t="s">
        <v>5757</v>
      </c>
      <c r="L858" t="s">
        <v>43</v>
      </c>
      <c r="M858" s="2" t="s">
        <v>5758</v>
      </c>
      <c r="N858" t="s">
        <v>31</v>
      </c>
      <c r="O858" t="s">
        <v>7881</v>
      </c>
      <c r="P858" t="s">
        <v>7940</v>
      </c>
      <c r="Q858" t="s">
        <v>87</v>
      </c>
      <c r="R858" t="s">
        <v>33</v>
      </c>
      <c r="S858" t="s">
        <v>34</v>
      </c>
      <c r="T858" s="1">
        <v>552500</v>
      </c>
      <c r="U858">
        <v>0</v>
      </c>
      <c r="V858">
        <v>0</v>
      </c>
      <c r="W858" t="s">
        <v>5759</v>
      </c>
    </row>
    <row r="859" spans="1:23" x14ac:dyDescent="0.25">
      <c r="A859">
        <v>19671</v>
      </c>
      <c r="B859" t="s">
        <v>23</v>
      </c>
      <c r="D859">
        <v>875</v>
      </c>
      <c r="E859" t="s">
        <v>5760</v>
      </c>
      <c r="F859" t="s">
        <v>5761</v>
      </c>
      <c r="G859" t="s">
        <v>5762</v>
      </c>
      <c r="H859" t="s">
        <v>5494</v>
      </c>
      <c r="I859" t="s">
        <v>1554</v>
      </c>
      <c r="J859" t="s">
        <v>28</v>
      </c>
      <c r="K859" t="s">
        <v>5763</v>
      </c>
      <c r="L859" t="s">
        <v>43</v>
      </c>
      <c r="M859" s="2" t="s">
        <v>5764</v>
      </c>
      <c r="N859" t="s">
        <v>31</v>
      </c>
      <c r="O859" t="s">
        <v>7881</v>
      </c>
      <c r="P859" t="s">
        <v>7940</v>
      </c>
      <c r="Q859" t="s">
        <v>87</v>
      </c>
      <c r="R859" t="s">
        <v>33</v>
      </c>
      <c r="S859" t="s">
        <v>34</v>
      </c>
      <c r="T859" s="1">
        <v>552500</v>
      </c>
      <c r="U859">
        <v>0</v>
      </c>
      <c r="V859">
        <v>0</v>
      </c>
      <c r="W859" t="s">
        <v>5765</v>
      </c>
    </row>
    <row r="860" spans="1:23" x14ac:dyDescent="0.25">
      <c r="A860">
        <v>18489</v>
      </c>
      <c r="B860" t="s">
        <v>23</v>
      </c>
      <c r="D860">
        <v>876</v>
      </c>
      <c r="E860" t="s">
        <v>5766</v>
      </c>
      <c r="F860" t="s">
        <v>5767</v>
      </c>
      <c r="G860" t="s">
        <v>5768</v>
      </c>
      <c r="H860" t="s">
        <v>5516</v>
      </c>
      <c r="I860" t="s">
        <v>5769</v>
      </c>
      <c r="J860" t="s">
        <v>53</v>
      </c>
      <c r="K860" t="s">
        <v>5770</v>
      </c>
      <c r="L860" t="s">
        <v>43</v>
      </c>
      <c r="M860" s="2" t="s">
        <v>5771</v>
      </c>
      <c r="N860" t="s">
        <v>31</v>
      </c>
      <c r="O860" t="s">
        <v>7879</v>
      </c>
      <c r="P860" t="s">
        <v>7940</v>
      </c>
      <c r="Q860" t="s">
        <v>87</v>
      </c>
      <c r="R860" t="s">
        <v>33</v>
      </c>
      <c r="S860" t="s">
        <v>34</v>
      </c>
      <c r="T860" s="1">
        <v>195000</v>
      </c>
      <c r="U860">
        <v>0</v>
      </c>
      <c r="V860">
        <v>0</v>
      </c>
      <c r="W860" t="s">
        <v>5772</v>
      </c>
    </row>
    <row r="861" spans="1:23" x14ac:dyDescent="0.25">
      <c r="A861">
        <v>8751</v>
      </c>
      <c r="B861" t="s">
        <v>23</v>
      </c>
      <c r="D861">
        <v>877</v>
      </c>
      <c r="E861" t="s">
        <v>5773</v>
      </c>
      <c r="F861" t="s">
        <v>5774</v>
      </c>
      <c r="G861" t="s">
        <v>5775</v>
      </c>
      <c r="H861" t="s">
        <v>5776</v>
      </c>
      <c r="I861" t="s">
        <v>7972</v>
      </c>
      <c r="J861" t="s">
        <v>53</v>
      </c>
      <c r="K861" t="s">
        <v>2443</v>
      </c>
      <c r="L861" t="s">
        <v>43</v>
      </c>
      <c r="M861" s="2" t="s">
        <v>5777</v>
      </c>
      <c r="N861" t="s">
        <v>2333</v>
      </c>
      <c r="O861" t="s">
        <v>7886</v>
      </c>
      <c r="P861" t="s">
        <v>7940</v>
      </c>
      <c r="Q861" t="s">
        <v>46</v>
      </c>
      <c r="R861" t="s">
        <v>33</v>
      </c>
      <c r="S861" t="s">
        <v>34</v>
      </c>
      <c r="T861" s="1">
        <v>812500</v>
      </c>
      <c r="U861">
        <v>0</v>
      </c>
      <c r="V861" s="1">
        <v>162500</v>
      </c>
      <c r="W861" t="s">
        <v>5778</v>
      </c>
    </row>
    <row r="862" spans="1:23" x14ac:dyDescent="0.25">
      <c r="A862">
        <v>24528</v>
      </c>
      <c r="B862" t="s">
        <v>23</v>
      </c>
      <c r="D862">
        <v>878</v>
      </c>
      <c r="E862" t="s">
        <v>5779</v>
      </c>
      <c r="F862" t="s">
        <v>5780</v>
      </c>
      <c r="G862" t="s">
        <v>3401</v>
      </c>
      <c r="H862" t="s">
        <v>90</v>
      </c>
      <c r="I862" t="s">
        <v>5781</v>
      </c>
      <c r="J862" t="s">
        <v>53</v>
      </c>
      <c r="K862" t="s">
        <v>5781</v>
      </c>
      <c r="L862" t="s">
        <v>43</v>
      </c>
      <c r="M862" s="2" t="s">
        <v>5782</v>
      </c>
      <c r="N862" t="s">
        <v>31</v>
      </c>
      <c r="O862" t="s">
        <v>7879</v>
      </c>
      <c r="P862" t="s">
        <v>7888</v>
      </c>
      <c r="Q862" t="s">
        <v>46</v>
      </c>
      <c r="R862" t="s">
        <v>33</v>
      </c>
      <c r="S862" t="s">
        <v>34</v>
      </c>
      <c r="T862" s="1">
        <v>195000</v>
      </c>
      <c r="U862">
        <v>0</v>
      </c>
      <c r="V862">
        <v>0</v>
      </c>
      <c r="W862" t="s">
        <v>5783</v>
      </c>
    </row>
    <row r="863" spans="1:23" x14ac:dyDescent="0.25">
      <c r="A863">
        <v>24206</v>
      </c>
      <c r="B863" t="s">
        <v>23</v>
      </c>
      <c r="D863">
        <v>879</v>
      </c>
      <c r="E863" t="s">
        <v>5784</v>
      </c>
      <c r="F863" t="s">
        <v>5785</v>
      </c>
      <c r="G863" t="s">
        <v>5786</v>
      </c>
      <c r="H863" t="s">
        <v>5787</v>
      </c>
      <c r="I863" t="s">
        <v>5784</v>
      </c>
      <c r="J863" t="s">
        <v>28</v>
      </c>
      <c r="K863" t="s">
        <v>5788</v>
      </c>
      <c r="L863" t="s">
        <v>43</v>
      </c>
      <c r="M863" s="2" t="s">
        <v>5789</v>
      </c>
      <c r="N863" t="s">
        <v>31</v>
      </c>
      <c r="O863" t="s">
        <v>7879</v>
      </c>
      <c r="P863" t="s">
        <v>7888</v>
      </c>
      <c r="Q863" t="s">
        <v>46</v>
      </c>
      <c r="R863" t="s">
        <v>33</v>
      </c>
      <c r="S863" t="s">
        <v>34</v>
      </c>
      <c r="T863" s="1">
        <v>195000</v>
      </c>
      <c r="U863">
        <v>0</v>
      </c>
      <c r="V863">
        <v>0</v>
      </c>
      <c r="W863" t="s">
        <v>5790</v>
      </c>
    </row>
    <row r="864" spans="1:23" x14ac:dyDescent="0.25">
      <c r="A864">
        <v>21364</v>
      </c>
      <c r="B864" t="s">
        <v>23</v>
      </c>
      <c r="D864">
        <v>880</v>
      </c>
      <c r="E864" t="s">
        <v>5791</v>
      </c>
      <c r="F864" t="s">
        <v>5792</v>
      </c>
      <c r="G864" t="s">
        <v>1178</v>
      </c>
      <c r="H864" t="s">
        <v>5793</v>
      </c>
      <c r="I864" t="s">
        <v>5794</v>
      </c>
      <c r="J864" t="s">
        <v>28</v>
      </c>
      <c r="K864" t="s">
        <v>5794</v>
      </c>
      <c r="L864" t="s">
        <v>43</v>
      </c>
      <c r="M864" s="2" t="s">
        <v>5795</v>
      </c>
      <c r="N864" t="s">
        <v>31</v>
      </c>
      <c r="O864" t="s">
        <v>7881</v>
      </c>
      <c r="P864" t="s">
        <v>7888</v>
      </c>
      <c r="Q864" t="s">
        <v>46</v>
      </c>
      <c r="R864" t="s">
        <v>33</v>
      </c>
      <c r="S864" t="s">
        <v>34</v>
      </c>
      <c r="T864" s="1">
        <v>552500</v>
      </c>
      <c r="U864" s="1">
        <v>110500</v>
      </c>
      <c r="V864">
        <v>0</v>
      </c>
      <c r="W864" t="s">
        <v>5796</v>
      </c>
    </row>
    <row r="865" spans="1:23" x14ac:dyDescent="0.25">
      <c r="A865">
        <v>24420</v>
      </c>
      <c r="B865" t="s">
        <v>23</v>
      </c>
      <c r="D865">
        <v>881</v>
      </c>
      <c r="E865" t="s">
        <v>5797</v>
      </c>
      <c r="F865" t="s">
        <v>5798</v>
      </c>
      <c r="G865" t="s">
        <v>5799</v>
      </c>
      <c r="H865" t="s">
        <v>5800</v>
      </c>
      <c r="I865" t="s">
        <v>5801</v>
      </c>
      <c r="J865" t="s">
        <v>28</v>
      </c>
      <c r="K865" t="s">
        <v>281</v>
      </c>
      <c r="L865" t="s">
        <v>43</v>
      </c>
      <c r="M865" s="2" t="s">
        <v>5802</v>
      </c>
      <c r="N865" t="s">
        <v>31</v>
      </c>
      <c r="O865" t="s">
        <v>7879</v>
      </c>
      <c r="P865" t="s">
        <v>7940</v>
      </c>
      <c r="Q865" t="s">
        <v>46</v>
      </c>
      <c r="R865" t="s">
        <v>33</v>
      </c>
      <c r="S865" t="s">
        <v>34</v>
      </c>
      <c r="T865" s="1">
        <v>195000</v>
      </c>
      <c r="U865">
        <v>0</v>
      </c>
      <c r="V865">
        <v>0</v>
      </c>
      <c r="W865" t="s">
        <v>5803</v>
      </c>
    </row>
    <row r="866" spans="1:23" x14ac:dyDescent="0.25">
      <c r="A866">
        <v>1344</v>
      </c>
      <c r="B866" t="s">
        <v>23</v>
      </c>
      <c r="D866">
        <v>882</v>
      </c>
      <c r="E866" t="s">
        <v>5804</v>
      </c>
      <c r="F866" t="s">
        <v>4205</v>
      </c>
      <c r="G866" t="s">
        <v>5805</v>
      </c>
      <c r="H866" t="s">
        <v>5806</v>
      </c>
      <c r="I866" t="s">
        <v>5807</v>
      </c>
      <c r="J866" t="s">
        <v>53</v>
      </c>
      <c r="K866" t="s">
        <v>2630</v>
      </c>
      <c r="L866" t="s">
        <v>43</v>
      </c>
      <c r="M866" s="2" t="s">
        <v>5808</v>
      </c>
      <c r="N866" t="s">
        <v>31</v>
      </c>
      <c r="O866" t="s">
        <v>7886</v>
      </c>
      <c r="P866" t="s">
        <v>7900</v>
      </c>
      <c r="Q866" t="s">
        <v>63</v>
      </c>
      <c r="R866" t="s">
        <v>33</v>
      </c>
      <c r="S866" t="s">
        <v>34</v>
      </c>
      <c r="T866" s="1">
        <v>812500</v>
      </c>
      <c r="U866">
        <v>0</v>
      </c>
      <c r="V866" s="1">
        <v>162500</v>
      </c>
      <c r="W866" t="s">
        <v>5809</v>
      </c>
    </row>
    <row r="867" spans="1:23" x14ac:dyDescent="0.25">
      <c r="A867">
        <v>20944</v>
      </c>
      <c r="B867" t="s">
        <v>23</v>
      </c>
      <c r="D867">
        <v>884</v>
      </c>
      <c r="E867" t="s">
        <v>5810</v>
      </c>
      <c r="F867" t="s">
        <v>5811</v>
      </c>
      <c r="G867" t="s">
        <v>5812</v>
      </c>
      <c r="H867" t="s">
        <v>5813</v>
      </c>
      <c r="I867" t="s">
        <v>5814</v>
      </c>
      <c r="J867" t="s">
        <v>53</v>
      </c>
      <c r="K867" t="s">
        <v>5815</v>
      </c>
      <c r="L867" t="s">
        <v>453</v>
      </c>
      <c r="M867" s="2" t="s">
        <v>5816</v>
      </c>
      <c r="N867" t="s">
        <v>31</v>
      </c>
      <c r="O867" t="s">
        <v>7881</v>
      </c>
      <c r="P867" t="s">
        <v>7888</v>
      </c>
      <c r="Q867" t="s">
        <v>455</v>
      </c>
      <c r="R867" t="s">
        <v>130</v>
      </c>
      <c r="S867" t="s">
        <v>131</v>
      </c>
      <c r="T867">
        <v>425</v>
      </c>
      <c r="U867">
        <v>85</v>
      </c>
      <c r="V867">
        <v>0</v>
      </c>
      <c r="W867" t="s">
        <v>5817</v>
      </c>
    </row>
    <row r="868" spans="1:23" x14ac:dyDescent="0.25">
      <c r="A868">
        <v>20117</v>
      </c>
      <c r="B868" t="s">
        <v>23</v>
      </c>
      <c r="D868">
        <v>885</v>
      </c>
      <c r="E868" t="s">
        <v>5818</v>
      </c>
      <c r="F868" t="s">
        <v>5819</v>
      </c>
      <c r="G868" t="s">
        <v>5820</v>
      </c>
      <c r="H868" t="s">
        <v>5821</v>
      </c>
      <c r="I868" t="s">
        <v>5822</v>
      </c>
      <c r="J868" t="s">
        <v>28</v>
      </c>
      <c r="K868" t="s">
        <v>5823</v>
      </c>
      <c r="L868" t="s">
        <v>43</v>
      </c>
      <c r="M868" s="2" t="s">
        <v>5824</v>
      </c>
      <c r="N868" t="s">
        <v>31</v>
      </c>
      <c r="O868" t="s">
        <v>7881</v>
      </c>
      <c r="P868" t="s">
        <v>7940</v>
      </c>
      <c r="Q868" t="s">
        <v>63</v>
      </c>
      <c r="R868" t="s">
        <v>33</v>
      </c>
      <c r="S868" t="s">
        <v>34</v>
      </c>
      <c r="T868" s="1">
        <v>552500</v>
      </c>
      <c r="U868">
        <v>0</v>
      </c>
      <c r="V868">
        <v>0</v>
      </c>
      <c r="W868" t="s">
        <v>5825</v>
      </c>
    </row>
    <row r="869" spans="1:23" x14ac:dyDescent="0.25">
      <c r="A869">
        <v>3364</v>
      </c>
      <c r="B869" t="s">
        <v>23</v>
      </c>
      <c r="D869">
        <v>886</v>
      </c>
      <c r="E869" t="s">
        <v>5826</v>
      </c>
      <c r="F869" t="s">
        <v>5827</v>
      </c>
      <c r="G869" t="s">
        <v>354</v>
      </c>
      <c r="I869" t="s">
        <v>5828</v>
      </c>
      <c r="J869" t="s">
        <v>53</v>
      </c>
      <c r="K869" t="s">
        <v>5829</v>
      </c>
      <c r="L869" t="s">
        <v>43</v>
      </c>
      <c r="M869" s="2" t="s">
        <v>5830</v>
      </c>
      <c r="N869" t="s">
        <v>31</v>
      </c>
      <c r="O869" t="s">
        <v>7881</v>
      </c>
      <c r="P869" t="s">
        <v>7940</v>
      </c>
      <c r="Q869" t="s">
        <v>46</v>
      </c>
      <c r="R869" t="s">
        <v>33</v>
      </c>
      <c r="S869" t="s">
        <v>34</v>
      </c>
      <c r="T869" s="1">
        <v>552500</v>
      </c>
      <c r="U869">
        <v>0</v>
      </c>
      <c r="V869">
        <v>0</v>
      </c>
      <c r="W869" t="s">
        <v>5831</v>
      </c>
    </row>
    <row r="870" spans="1:23" x14ac:dyDescent="0.25">
      <c r="A870">
        <v>2691</v>
      </c>
      <c r="B870" t="s">
        <v>23</v>
      </c>
      <c r="D870">
        <v>887</v>
      </c>
      <c r="E870" t="s">
        <v>5832</v>
      </c>
      <c r="F870" t="s">
        <v>4323</v>
      </c>
      <c r="G870" t="s">
        <v>1895</v>
      </c>
      <c r="I870" t="s">
        <v>8022</v>
      </c>
      <c r="J870" t="s">
        <v>28</v>
      </c>
      <c r="K870" t="s">
        <v>4028</v>
      </c>
      <c r="L870" t="s">
        <v>43</v>
      </c>
      <c r="M870">
        <v>2348034494894</v>
      </c>
      <c r="N870" t="s">
        <v>2333</v>
      </c>
      <c r="O870" t="s">
        <v>7886</v>
      </c>
      <c r="P870" t="s">
        <v>7981</v>
      </c>
      <c r="Q870" t="s">
        <v>46</v>
      </c>
      <c r="R870" t="s">
        <v>33</v>
      </c>
      <c r="S870" t="s">
        <v>34</v>
      </c>
      <c r="T870" s="1">
        <v>812500</v>
      </c>
      <c r="U870">
        <v>0</v>
      </c>
      <c r="V870" s="1">
        <v>162500</v>
      </c>
      <c r="W870" t="s">
        <v>5833</v>
      </c>
    </row>
    <row r="871" spans="1:23" x14ac:dyDescent="0.25">
      <c r="A871">
        <v>20990</v>
      </c>
      <c r="B871" t="s">
        <v>23</v>
      </c>
      <c r="D871">
        <v>888</v>
      </c>
      <c r="E871" t="s">
        <v>5834</v>
      </c>
      <c r="F871" t="s">
        <v>5835</v>
      </c>
      <c r="G871" t="s">
        <v>5836</v>
      </c>
      <c r="H871" t="s">
        <v>5837</v>
      </c>
      <c r="I871" t="s">
        <v>5838</v>
      </c>
      <c r="J871" t="s">
        <v>28</v>
      </c>
      <c r="K871" t="s">
        <v>5839</v>
      </c>
      <c r="L871" t="s">
        <v>453</v>
      </c>
      <c r="M871">
        <v>233267775522</v>
      </c>
      <c r="N871" t="s">
        <v>31</v>
      </c>
      <c r="O871" t="s">
        <v>7881</v>
      </c>
      <c r="P871" t="s">
        <v>7888</v>
      </c>
      <c r="Q871" t="s">
        <v>455</v>
      </c>
      <c r="R871" t="s">
        <v>33</v>
      </c>
      <c r="S871" t="s">
        <v>34</v>
      </c>
      <c r="T871" s="1">
        <v>552500</v>
      </c>
      <c r="U871" s="1">
        <v>110500</v>
      </c>
      <c r="V871">
        <v>0</v>
      </c>
      <c r="W871" t="s">
        <v>5840</v>
      </c>
    </row>
    <row r="872" spans="1:23" x14ac:dyDescent="0.25">
      <c r="A872">
        <v>3547</v>
      </c>
      <c r="B872" t="s">
        <v>23</v>
      </c>
      <c r="D872">
        <v>889</v>
      </c>
      <c r="E872" t="s">
        <v>5841</v>
      </c>
      <c r="F872" t="s">
        <v>5842</v>
      </c>
      <c r="G872" t="s">
        <v>1387</v>
      </c>
      <c r="H872" t="s">
        <v>2488</v>
      </c>
      <c r="I872" t="s">
        <v>5843</v>
      </c>
      <c r="J872" t="s">
        <v>53</v>
      </c>
      <c r="K872" t="s">
        <v>2871</v>
      </c>
      <c r="L872" t="s">
        <v>43</v>
      </c>
      <c r="M872" t="s">
        <v>5844</v>
      </c>
      <c r="N872" t="s">
        <v>31</v>
      </c>
      <c r="O872" t="s">
        <v>7881</v>
      </c>
      <c r="P872" t="s">
        <v>7940</v>
      </c>
      <c r="Q872" t="s">
        <v>46</v>
      </c>
      <c r="R872" t="s">
        <v>33</v>
      </c>
      <c r="S872" t="s">
        <v>34</v>
      </c>
      <c r="T872" s="1">
        <v>552500</v>
      </c>
      <c r="U872">
        <v>0</v>
      </c>
      <c r="V872">
        <v>0</v>
      </c>
      <c r="W872" t="s">
        <v>5845</v>
      </c>
    </row>
    <row r="873" spans="1:23" x14ac:dyDescent="0.25">
      <c r="A873">
        <v>24350</v>
      </c>
      <c r="B873" t="s">
        <v>23</v>
      </c>
      <c r="D873">
        <v>890</v>
      </c>
      <c r="E873" t="s">
        <v>5846</v>
      </c>
      <c r="F873" t="s">
        <v>4620</v>
      </c>
      <c r="G873" t="s">
        <v>3081</v>
      </c>
      <c r="I873" t="s">
        <v>5847</v>
      </c>
      <c r="J873" t="s">
        <v>28</v>
      </c>
      <c r="K873" t="s">
        <v>5848</v>
      </c>
      <c r="L873" t="s">
        <v>43</v>
      </c>
      <c r="M873">
        <v>2348033822164</v>
      </c>
      <c r="N873" t="s">
        <v>31</v>
      </c>
      <c r="O873" t="s">
        <v>7879</v>
      </c>
      <c r="P873" t="s">
        <v>7981</v>
      </c>
      <c r="Q873" t="s">
        <v>46</v>
      </c>
      <c r="R873" t="s">
        <v>33</v>
      </c>
      <c r="S873" t="s">
        <v>34</v>
      </c>
      <c r="T873" s="1">
        <v>195000</v>
      </c>
      <c r="U873">
        <v>0</v>
      </c>
      <c r="V873">
        <v>0</v>
      </c>
      <c r="W873" t="s">
        <v>5849</v>
      </c>
    </row>
    <row r="874" spans="1:23" x14ac:dyDescent="0.25">
      <c r="A874">
        <v>21338</v>
      </c>
      <c r="B874" t="s">
        <v>1627</v>
      </c>
      <c r="C874" t="s">
        <v>5850</v>
      </c>
      <c r="D874">
        <v>891</v>
      </c>
      <c r="E874" t="s">
        <v>5851</v>
      </c>
      <c r="F874" t="s">
        <v>5852</v>
      </c>
      <c r="G874" t="s">
        <v>5853</v>
      </c>
      <c r="H874" t="s">
        <v>5854</v>
      </c>
      <c r="I874" t="s">
        <v>5855</v>
      </c>
      <c r="J874" t="s">
        <v>53</v>
      </c>
      <c r="K874" t="s">
        <v>5856</v>
      </c>
      <c r="L874" t="s">
        <v>43</v>
      </c>
      <c r="M874" s="2" t="s">
        <v>5857</v>
      </c>
      <c r="N874" t="s">
        <v>31</v>
      </c>
      <c r="O874" t="s">
        <v>7886</v>
      </c>
      <c r="P874" t="s">
        <v>7981</v>
      </c>
      <c r="Q874" t="s">
        <v>46</v>
      </c>
      <c r="R874" t="s">
        <v>33</v>
      </c>
      <c r="S874" t="s">
        <v>34</v>
      </c>
      <c r="T874" s="1">
        <v>812500</v>
      </c>
      <c r="U874">
        <v>0</v>
      </c>
      <c r="V874" s="1">
        <v>162500</v>
      </c>
      <c r="W874" t="s">
        <v>5858</v>
      </c>
    </row>
    <row r="875" spans="1:23" x14ac:dyDescent="0.25">
      <c r="A875">
        <v>24547</v>
      </c>
      <c r="B875" t="s">
        <v>23</v>
      </c>
      <c r="D875">
        <v>892</v>
      </c>
      <c r="E875" t="s">
        <v>5859</v>
      </c>
      <c r="F875" t="s">
        <v>5860</v>
      </c>
      <c r="G875" t="s">
        <v>599</v>
      </c>
      <c r="H875" t="s">
        <v>5861</v>
      </c>
      <c r="I875" t="s">
        <v>5862</v>
      </c>
      <c r="J875" t="s">
        <v>28</v>
      </c>
      <c r="K875" t="s">
        <v>5238</v>
      </c>
      <c r="L875" t="s">
        <v>453</v>
      </c>
      <c r="M875" s="2" t="s">
        <v>5863</v>
      </c>
      <c r="N875" t="s">
        <v>31</v>
      </c>
      <c r="O875" t="s">
        <v>7879</v>
      </c>
      <c r="P875" t="s">
        <v>7888</v>
      </c>
      <c r="Q875" t="s">
        <v>455</v>
      </c>
      <c r="R875" t="s">
        <v>130</v>
      </c>
      <c r="S875" t="s">
        <v>131</v>
      </c>
      <c r="T875">
        <v>150</v>
      </c>
      <c r="U875">
        <v>0</v>
      </c>
      <c r="V875">
        <v>0</v>
      </c>
      <c r="W875" t="s">
        <v>5864</v>
      </c>
    </row>
    <row r="876" spans="1:23" x14ac:dyDescent="0.25">
      <c r="A876">
        <v>195</v>
      </c>
      <c r="B876" t="s">
        <v>1627</v>
      </c>
      <c r="C876" t="s">
        <v>5865</v>
      </c>
      <c r="D876">
        <v>893</v>
      </c>
      <c r="E876" t="s">
        <v>5866</v>
      </c>
      <c r="F876" t="s">
        <v>5867</v>
      </c>
      <c r="G876" t="s">
        <v>264</v>
      </c>
      <c r="H876" t="s">
        <v>5868</v>
      </c>
      <c r="I876" t="s">
        <v>5869</v>
      </c>
      <c r="J876" t="s">
        <v>53</v>
      </c>
      <c r="K876" t="s">
        <v>5870</v>
      </c>
      <c r="L876" t="s">
        <v>43</v>
      </c>
      <c r="M876">
        <v>2348024695405</v>
      </c>
      <c r="N876" t="s">
        <v>31</v>
      </c>
      <c r="O876" t="s">
        <v>7886</v>
      </c>
      <c r="P876" t="s">
        <v>7981</v>
      </c>
      <c r="Q876" t="s">
        <v>46</v>
      </c>
      <c r="R876" t="s">
        <v>33</v>
      </c>
      <c r="S876" t="s">
        <v>34</v>
      </c>
      <c r="T876" s="1">
        <v>812500</v>
      </c>
      <c r="U876">
        <v>0</v>
      </c>
      <c r="V876" s="1">
        <v>162500</v>
      </c>
      <c r="W876" t="s">
        <v>5871</v>
      </c>
    </row>
    <row r="877" spans="1:23" x14ac:dyDescent="0.25">
      <c r="A877">
        <v>6915</v>
      </c>
      <c r="B877" t="s">
        <v>23</v>
      </c>
      <c r="D877">
        <v>894</v>
      </c>
      <c r="E877" t="s">
        <v>5872</v>
      </c>
      <c r="F877" t="s">
        <v>5873</v>
      </c>
      <c r="G877" t="s">
        <v>5385</v>
      </c>
      <c r="H877" t="s">
        <v>5874</v>
      </c>
      <c r="I877" t="s">
        <v>7933</v>
      </c>
      <c r="J877" t="s">
        <v>53</v>
      </c>
      <c r="K877" t="s">
        <v>5875</v>
      </c>
      <c r="L877" t="s">
        <v>43</v>
      </c>
      <c r="M877" s="2" t="s">
        <v>5876</v>
      </c>
      <c r="N877" t="s">
        <v>31</v>
      </c>
      <c r="O877" t="s">
        <v>7881</v>
      </c>
      <c r="P877" t="s">
        <v>7893</v>
      </c>
      <c r="Q877" t="s">
        <v>63</v>
      </c>
      <c r="R877" t="s">
        <v>33</v>
      </c>
      <c r="S877" t="s">
        <v>34</v>
      </c>
      <c r="T877" s="1">
        <v>552500</v>
      </c>
      <c r="U877">
        <v>0</v>
      </c>
      <c r="V877">
        <v>0</v>
      </c>
      <c r="W877" t="s">
        <v>5877</v>
      </c>
    </row>
    <row r="878" spans="1:23" x14ac:dyDescent="0.25">
      <c r="A878">
        <v>21883</v>
      </c>
      <c r="B878" t="s">
        <v>23</v>
      </c>
      <c r="D878">
        <v>895</v>
      </c>
      <c r="E878" t="s">
        <v>5878</v>
      </c>
      <c r="F878" t="s">
        <v>3393</v>
      </c>
      <c r="G878" t="s">
        <v>91</v>
      </c>
      <c r="H878" t="s">
        <v>5879</v>
      </c>
      <c r="I878" t="s">
        <v>5880</v>
      </c>
      <c r="J878" t="s">
        <v>28</v>
      </c>
      <c r="K878" t="s">
        <v>5881</v>
      </c>
      <c r="L878" t="s">
        <v>43</v>
      </c>
      <c r="M878" s="2" t="s">
        <v>5882</v>
      </c>
      <c r="N878" t="s">
        <v>45</v>
      </c>
      <c r="O878" t="s">
        <v>7879</v>
      </c>
      <c r="P878" t="s">
        <v>7940</v>
      </c>
      <c r="Q878" t="s">
        <v>46</v>
      </c>
      <c r="R878" t="s">
        <v>33</v>
      </c>
      <c r="S878" t="s">
        <v>34</v>
      </c>
      <c r="T878" s="1">
        <v>195000</v>
      </c>
      <c r="U878">
        <v>0</v>
      </c>
      <c r="V878">
        <v>0</v>
      </c>
      <c r="W878" t="s">
        <v>5883</v>
      </c>
    </row>
    <row r="879" spans="1:23" x14ac:dyDescent="0.25">
      <c r="A879">
        <v>4738</v>
      </c>
      <c r="B879" t="s">
        <v>23</v>
      </c>
      <c r="D879">
        <v>896</v>
      </c>
      <c r="E879" t="s">
        <v>5884</v>
      </c>
      <c r="F879" t="s">
        <v>5885</v>
      </c>
      <c r="G879" t="s">
        <v>5886</v>
      </c>
      <c r="H879" t="s">
        <v>3488</v>
      </c>
      <c r="I879" t="s">
        <v>5887</v>
      </c>
      <c r="J879" t="s">
        <v>53</v>
      </c>
      <c r="K879" t="s">
        <v>2375</v>
      </c>
      <c r="L879" t="s">
        <v>43</v>
      </c>
      <c r="M879">
        <v>2348169254333</v>
      </c>
      <c r="N879" t="s">
        <v>31</v>
      </c>
      <c r="O879" t="s">
        <v>7881</v>
      </c>
      <c r="P879" t="s">
        <v>7940</v>
      </c>
      <c r="Q879" t="s">
        <v>46</v>
      </c>
      <c r="R879" t="s">
        <v>33</v>
      </c>
      <c r="S879" t="s">
        <v>34</v>
      </c>
      <c r="T879" s="1">
        <v>552500</v>
      </c>
      <c r="U879">
        <v>0</v>
      </c>
      <c r="V879">
        <v>0</v>
      </c>
      <c r="W879" t="s">
        <v>5888</v>
      </c>
    </row>
    <row r="880" spans="1:23" x14ac:dyDescent="0.25">
      <c r="A880">
        <v>1253</v>
      </c>
      <c r="B880" t="s">
        <v>23</v>
      </c>
      <c r="D880">
        <v>897</v>
      </c>
      <c r="E880" t="s">
        <v>5889</v>
      </c>
      <c r="F880" t="s">
        <v>5890</v>
      </c>
      <c r="G880" t="s">
        <v>5891</v>
      </c>
      <c r="H880" t="s">
        <v>196</v>
      </c>
      <c r="I880" t="s">
        <v>7934</v>
      </c>
      <c r="J880" t="s">
        <v>53</v>
      </c>
      <c r="K880" t="s">
        <v>5892</v>
      </c>
      <c r="L880" t="s">
        <v>43</v>
      </c>
      <c r="M880">
        <v>8032175017</v>
      </c>
      <c r="N880" t="s">
        <v>5893</v>
      </c>
      <c r="O880" t="s">
        <v>7886</v>
      </c>
      <c r="P880" t="s">
        <v>7903</v>
      </c>
      <c r="Q880" t="s">
        <v>46</v>
      </c>
      <c r="R880" t="s">
        <v>33</v>
      </c>
      <c r="S880" t="s">
        <v>34</v>
      </c>
      <c r="T880" s="1">
        <v>812500</v>
      </c>
      <c r="U880">
        <v>0</v>
      </c>
      <c r="V880">
        <v>0</v>
      </c>
      <c r="W880" t="s">
        <v>5894</v>
      </c>
    </row>
    <row r="881" spans="1:23" x14ac:dyDescent="0.25">
      <c r="A881">
        <v>22967</v>
      </c>
      <c r="B881" t="s">
        <v>23</v>
      </c>
      <c r="D881">
        <v>898</v>
      </c>
      <c r="E881" t="s">
        <v>5895</v>
      </c>
      <c r="F881" t="s">
        <v>745</v>
      </c>
      <c r="G881" t="s">
        <v>5896</v>
      </c>
      <c r="H881" t="s">
        <v>5897</v>
      </c>
      <c r="I881" t="s">
        <v>5898</v>
      </c>
      <c r="J881" t="s">
        <v>53</v>
      </c>
      <c r="K881" t="s">
        <v>5899</v>
      </c>
      <c r="L881" t="s">
        <v>43</v>
      </c>
      <c r="M881">
        <v>2348060314362</v>
      </c>
      <c r="N881" t="s">
        <v>45</v>
      </c>
      <c r="O881" t="s">
        <v>7879</v>
      </c>
      <c r="P881" t="s">
        <v>8028</v>
      </c>
      <c r="Q881" t="s">
        <v>63</v>
      </c>
      <c r="R881" t="s">
        <v>33</v>
      </c>
      <c r="S881" t="s">
        <v>34</v>
      </c>
      <c r="T881" s="1">
        <v>195000</v>
      </c>
      <c r="U881">
        <v>0</v>
      </c>
      <c r="V881">
        <v>0</v>
      </c>
      <c r="W881" t="s">
        <v>5900</v>
      </c>
    </row>
    <row r="882" spans="1:23" x14ac:dyDescent="0.25">
      <c r="A882">
        <v>21286</v>
      </c>
      <c r="B882" t="s">
        <v>23</v>
      </c>
      <c r="D882">
        <v>899</v>
      </c>
      <c r="E882" t="s">
        <v>5901</v>
      </c>
      <c r="F882" t="s">
        <v>5902</v>
      </c>
      <c r="G882" t="s">
        <v>5903</v>
      </c>
      <c r="H882" t="s">
        <v>1660</v>
      </c>
      <c r="I882" t="s">
        <v>5904</v>
      </c>
      <c r="J882" t="s">
        <v>28</v>
      </c>
      <c r="K882" t="s">
        <v>5905</v>
      </c>
      <c r="L882" t="s">
        <v>43</v>
      </c>
      <c r="M882" s="2" t="s">
        <v>5906</v>
      </c>
      <c r="N882" t="s">
        <v>31</v>
      </c>
      <c r="O882" t="s">
        <v>7881</v>
      </c>
      <c r="P882" t="s">
        <v>7888</v>
      </c>
      <c r="Q882" t="s">
        <v>63</v>
      </c>
      <c r="R882" t="s">
        <v>33</v>
      </c>
      <c r="S882" t="s">
        <v>34</v>
      </c>
      <c r="T882" s="1">
        <v>552500</v>
      </c>
      <c r="U882" s="1">
        <v>110500</v>
      </c>
      <c r="V882">
        <v>0</v>
      </c>
      <c r="W882" t="s">
        <v>5907</v>
      </c>
    </row>
    <row r="883" spans="1:23" x14ac:dyDescent="0.25">
      <c r="A883">
        <v>6929</v>
      </c>
      <c r="B883" t="s">
        <v>23</v>
      </c>
      <c r="D883">
        <v>900</v>
      </c>
      <c r="E883" t="s">
        <v>5908</v>
      </c>
      <c r="F883" t="s">
        <v>5909</v>
      </c>
      <c r="G883" t="s">
        <v>5910</v>
      </c>
      <c r="H883" t="s">
        <v>529</v>
      </c>
      <c r="I883" t="s">
        <v>5911</v>
      </c>
      <c r="J883" t="s">
        <v>28</v>
      </c>
      <c r="K883" t="s">
        <v>5912</v>
      </c>
      <c r="L883" t="s">
        <v>43</v>
      </c>
      <c r="M883">
        <v>2348031536569</v>
      </c>
      <c r="N883" t="s">
        <v>2333</v>
      </c>
      <c r="O883" t="s">
        <v>7886</v>
      </c>
      <c r="P883" t="s">
        <v>7981</v>
      </c>
      <c r="Q883" t="s">
        <v>63</v>
      </c>
      <c r="R883" t="s">
        <v>33</v>
      </c>
      <c r="S883" t="s">
        <v>34</v>
      </c>
      <c r="T883" s="1">
        <v>812500</v>
      </c>
      <c r="U883">
        <v>0</v>
      </c>
      <c r="V883" s="1">
        <v>162500</v>
      </c>
      <c r="W883" t="s">
        <v>5913</v>
      </c>
    </row>
    <row r="884" spans="1:23" x14ac:dyDescent="0.25">
      <c r="A884">
        <v>19345</v>
      </c>
      <c r="B884" t="s">
        <v>23</v>
      </c>
      <c r="D884">
        <v>901</v>
      </c>
      <c r="E884" t="s">
        <v>5914</v>
      </c>
      <c r="F884" t="s">
        <v>5198</v>
      </c>
      <c r="G884" t="s">
        <v>5915</v>
      </c>
      <c r="H884" t="s">
        <v>5916</v>
      </c>
      <c r="I884" t="s">
        <v>5917</v>
      </c>
      <c r="J884" t="s">
        <v>53</v>
      </c>
      <c r="K884" t="s">
        <v>5918</v>
      </c>
      <c r="L884" t="s">
        <v>43</v>
      </c>
      <c r="M884" s="2" t="s">
        <v>5919</v>
      </c>
      <c r="N884" t="s">
        <v>31</v>
      </c>
      <c r="O884" t="s">
        <v>7886</v>
      </c>
      <c r="P884" t="s">
        <v>8028</v>
      </c>
      <c r="Q884" t="s">
        <v>63</v>
      </c>
      <c r="R884" t="s">
        <v>33</v>
      </c>
      <c r="S884" t="s">
        <v>34</v>
      </c>
      <c r="T884" s="1">
        <v>812500</v>
      </c>
      <c r="U884">
        <v>0</v>
      </c>
      <c r="V884" s="1">
        <v>162500</v>
      </c>
      <c r="W884" t="s">
        <v>5920</v>
      </c>
    </row>
    <row r="885" spans="1:23" x14ac:dyDescent="0.25">
      <c r="A885">
        <v>5968</v>
      </c>
      <c r="B885" t="s">
        <v>23</v>
      </c>
      <c r="D885">
        <v>902</v>
      </c>
      <c r="E885" t="s">
        <v>5921</v>
      </c>
      <c r="F885" t="s">
        <v>5922</v>
      </c>
      <c r="G885" t="s">
        <v>5923</v>
      </c>
      <c r="H885" t="s">
        <v>5924</v>
      </c>
      <c r="I885" t="s">
        <v>5925</v>
      </c>
      <c r="J885" t="s">
        <v>53</v>
      </c>
      <c r="K885" t="s">
        <v>3971</v>
      </c>
      <c r="L885" t="s">
        <v>43</v>
      </c>
      <c r="M885" s="2" t="s">
        <v>5926</v>
      </c>
      <c r="N885" t="s">
        <v>31</v>
      </c>
      <c r="O885" t="s">
        <v>7886</v>
      </c>
      <c r="P885" t="s">
        <v>7940</v>
      </c>
      <c r="Q885" t="s">
        <v>46</v>
      </c>
      <c r="R885" t="s">
        <v>33</v>
      </c>
      <c r="S885" t="s">
        <v>34</v>
      </c>
      <c r="T885" s="1">
        <v>812500</v>
      </c>
      <c r="U885">
        <v>0</v>
      </c>
      <c r="V885" s="1">
        <v>162500</v>
      </c>
      <c r="W885" t="s">
        <v>5927</v>
      </c>
    </row>
    <row r="886" spans="1:23" x14ac:dyDescent="0.25">
      <c r="A886">
        <v>21878</v>
      </c>
      <c r="B886" t="s">
        <v>23</v>
      </c>
      <c r="D886">
        <v>903</v>
      </c>
      <c r="E886" t="s">
        <v>5928</v>
      </c>
      <c r="F886" t="s">
        <v>5929</v>
      </c>
      <c r="G886" t="s">
        <v>5930</v>
      </c>
      <c r="H886" t="s">
        <v>5931</v>
      </c>
      <c r="I886" t="s">
        <v>5932</v>
      </c>
      <c r="J886" t="s">
        <v>53</v>
      </c>
      <c r="K886" t="s">
        <v>5933</v>
      </c>
      <c r="L886" t="s">
        <v>43</v>
      </c>
      <c r="M886">
        <v>2348066293880</v>
      </c>
      <c r="N886" t="s">
        <v>31</v>
      </c>
      <c r="O886" t="s">
        <v>7879</v>
      </c>
      <c r="P886" t="s">
        <v>7888</v>
      </c>
      <c r="Q886" t="s">
        <v>46</v>
      </c>
      <c r="R886" t="s">
        <v>33</v>
      </c>
      <c r="S886" t="s">
        <v>34</v>
      </c>
      <c r="T886" s="1">
        <v>195000</v>
      </c>
      <c r="U886">
        <v>0</v>
      </c>
      <c r="V886">
        <v>0</v>
      </c>
      <c r="W886" t="s">
        <v>5934</v>
      </c>
    </row>
    <row r="887" spans="1:23" x14ac:dyDescent="0.25">
      <c r="A887">
        <v>24548</v>
      </c>
      <c r="B887" t="s">
        <v>23</v>
      </c>
      <c r="D887">
        <v>904</v>
      </c>
      <c r="E887" t="s">
        <v>5935</v>
      </c>
      <c r="F887" t="s">
        <v>3855</v>
      </c>
      <c r="G887" t="s">
        <v>5936</v>
      </c>
      <c r="H887" t="s">
        <v>5937</v>
      </c>
      <c r="I887" t="s">
        <v>5938</v>
      </c>
      <c r="J887" t="s">
        <v>28</v>
      </c>
      <c r="K887" t="s">
        <v>5939</v>
      </c>
      <c r="L887" t="s">
        <v>43</v>
      </c>
      <c r="M887" s="2" t="s">
        <v>5940</v>
      </c>
      <c r="N887" t="s">
        <v>31</v>
      </c>
      <c r="O887" t="s">
        <v>7879</v>
      </c>
      <c r="P887" t="s">
        <v>8028</v>
      </c>
      <c r="Q887" t="s">
        <v>46</v>
      </c>
      <c r="R887" t="s">
        <v>33</v>
      </c>
      <c r="S887" t="s">
        <v>34</v>
      </c>
      <c r="T887" s="1">
        <v>195000</v>
      </c>
      <c r="U887">
        <v>0</v>
      </c>
      <c r="V887">
        <v>0</v>
      </c>
      <c r="W887" t="s">
        <v>5941</v>
      </c>
    </row>
    <row r="888" spans="1:23" x14ac:dyDescent="0.25">
      <c r="A888">
        <v>10653</v>
      </c>
      <c r="B888" t="s">
        <v>23</v>
      </c>
      <c r="D888">
        <v>905</v>
      </c>
      <c r="E888" t="s">
        <v>5942</v>
      </c>
      <c r="F888" t="s">
        <v>5943</v>
      </c>
      <c r="G888" t="s">
        <v>631</v>
      </c>
      <c r="H888" t="s">
        <v>5944</v>
      </c>
      <c r="I888" t="s">
        <v>5945</v>
      </c>
      <c r="J888" t="s">
        <v>28</v>
      </c>
      <c r="K888" t="s">
        <v>5946</v>
      </c>
      <c r="L888" t="s">
        <v>43</v>
      </c>
      <c r="M888" s="2" t="s">
        <v>5947</v>
      </c>
      <c r="N888" t="s">
        <v>31</v>
      </c>
      <c r="O888" t="s">
        <v>7886</v>
      </c>
      <c r="P888" t="s">
        <v>7888</v>
      </c>
      <c r="Q888" t="s">
        <v>63</v>
      </c>
      <c r="R888" t="s">
        <v>33</v>
      </c>
      <c r="S888" t="s">
        <v>34</v>
      </c>
      <c r="T888" s="1">
        <v>812500</v>
      </c>
      <c r="U888">
        <v>0</v>
      </c>
      <c r="V888" s="1">
        <v>162500</v>
      </c>
      <c r="W888" t="s">
        <v>5948</v>
      </c>
    </row>
    <row r="889" spans="1:23" x14ac:dyDescent="0.25">
      <c r="A889">
        <v>24524</v>
      </c>
      <c r="B889" t="s">
        <v>23</v>
      </c>
      <c r="D889">
        <v>906</v>
      </c>
      <c r="E889" t="s">
        <v>5949</v>
      </c>
      <c r="F889" t="s">
        <v>5950</v>
      </c>
      <c r="G889" t="s">
        <v>5187</v>
      </c>
      <c r="H889" t="s">
        <v>5951</v>
      </c>
      <c r="I889" t="s">
        <v>5952</v>
      </c>
      <c r="J889" t="s">
        <v>28</v>
      </c>
      <c r="K889" t="s">
        <v>5953</v>
      </c>
      <c r="L889" t="s">
        <v>765</v>
      </c>
      <c r="M889">
        <v>23276228500</v>
      </c>
      <c r="N889" t="s">
        <v>31</v>
      </c>
      <c r="O889" t="s">
        <v>7879</v>
      </c>
      <c r="P889" t="s">
        <v>7940</v>
      </c>
      <c r="Q889" t="s">
        <v>1480</v>
      </c>
      <c r="R889" t="s">
        <v>33</v>
      </c>
      <c r="S889" t="s">
        <v>34</v>
      </c>
      <c r="T889" s="1">
        <v>195000</v>
      </c>
      <c r="U889">
        <v>0</v>
      </c>
      <c r="V889">
        <v>0</v>
      </c>
      <c r="W889" t="s">
        <v>5954</v>
      </c>
    </row>
    <row r="890" spans="1:23" x14ac:dyDescent="0.25">
      <c r="A890">
        <v>863</v>
      </c>
      <c r="B890" t="s">
        <v>23</v>
      </c>
      <c r="D890">
        <v>907</v>
      </c>
      <c r="E890" t="s">
        <v>5955</v>
      </c>
      <c r="F890" t="s">
        <v>5956</v>
      </c>
      <c r="G890" t="s">
        <v>637</v>
      </c>
      <c r="H890" t="s">
        <v>2922</v>
      </c>
      <c r="I890" t="s">
        <v>5957</v>
      </c>
      <c r="J890" t="s">
        <v>53</v>
      </c>
      <c r="K890" t="s">
        <v>5958</v>
      </c>
      <c r="L890" t="s">
        <v>43</v>
      </c>
      <c r="M890" s="2" t="s">
        <v>5959</v>
      </c>
      <c r="N890" t="s">
        <v>45</v>
      </c>
      <c r="O890" t="s">
        <v>7881</v>
      </c>
      <c r="P890" t="s">
        <v>7893</v>
      </c>
      <c r="Q890" t="s">
        <v>87</v>
      </c>
      <c r="R890" t="s">
        <v>33</v>
      </c>
      <c r="S890" t="s">
        <v>34</v>
      </c>
      <c r="T890" s="1">
        <v>552500</v>
      </c>
      <c r="U890">
        <v>0</v>
      </c>
      <c r="V890">
        <v>0</v>
      </c>
      <c r="W890" t="s">
        <v>5960</v>
      </c>
    </row>
    <row r="891" spans="1:23" x14ac:dyDescent="0.25">
      <c r="A891">
        <v>9325</v>
      </c>
      <c r="B891" t="s">
        <v>23</v>
      </c>
      <c r="D891">
        <v>908</v>
      </c>
      <c r="E891" t="s">
        <v>5961</v>
      </c>
      <c r="F891" t="s">
        <v>5962</v>
      </c>
      <c r="G891" t="s">
        <v>3320</v>
      </c>
      <c r="I891">
        <v>902101</v>
      </c>
      <c r="J891" t="s">
        <v>28</v>
      </c>
      <c r="K891" t="s">
        <v>5963</v>
      </c>
      <c r="L891" t="s">
        <v>43</v>
      </c>
      <c r="M891">
        <v>8163110972</v>
      </c>
      <c r="N891" t="s">
        <v>31</v>
      </c>
      <c r="O891" t="s">
        <v>7881</v>
      </c>
      <c r="P891" t="s">
        <v>7940</v>
      </c>
      <c r="Q891" t="s">
        <v>46</v>
      </c>
      <c r="R891" t="s">
        <v>33</v>
      </c>
      <c r="S891" t="s">
        <v>34</v>
      </c>
      <c r="T891" s="1">
        <v>552500</v>
      </c>
      <c r="U891">
        <v>0</v>
      </c>
      <c r="V891">
        <v>0</v>
      </c>
      <c r="W891" t="s">
        <v>5964</v>
      </c>
    </row>
    <row r="892" spans="1:23" x14ac:dyDescent="0.25">
      <c r="A892">
        <v>22354</v>
      </c>
      <c r="B892" t="s">
        <v>23</v>
      </c>
      <c r="D892">
        <v>909</v>
      </c>
      <c r="E892" t="s">
        <v>5965</v>
      </c>
      <c r="F892" t="s">
        <v>5966</v>
      </c>
      <c r="G892" t="s">
        <v>5967</v>
      </c>
      <c r="H892" t="s">
        <v>5968</v>
      </c>
      <c r="I892" t="s">
        <v>5969</v>
      </c>
      <c r="J892" t="s">
        <v>53</v>
      </c>
      <c r="K892" t="s">
        <v>5970</v>
      </c>
      <c r="L892" t="s">
        <v>43</v>
      </c>
      <c r="M892" s="2" t="s">
        <v>5971</v>
      </c>
      <c r="N892" t="s">
        <v>31</v>
      </c>
      <c r="O892" t="s">
        <v>7881</v>
      </c>
      <c r="P892" t="s">
        <v>7893</v>
      </c>
      <c r="Q892" t="s">
        <v>87</v>
      </c>
      <c r="R892" t="s">
        <v>33</v>
      </c>
      <c r="S892" t="s">
        <v>34</v>
      </c>
      <c r="T892" s="1">
        <v>552500</v>
      </c>
      <c r="U892">
        <v>0</v>
      </c>
      <c r="V892">
        <v>0</v>
      </c>
      <c r="W892" t="s">
        <v>5972</v>
      </c>
    </row>
    <row r="893" spans="1:23" x14ac:dyDescent="0.25">
      <c r="A893">
        <v>10062</v>
      </c>
      <c r="B893" t="s">
        <v>23</v>
      </c>
      <c r="D893">
        <v>910</v>
      </c>
      <c r="E893" t="s">
        <v>5973</v>
      </c>
      <c r="F893" t="s">
        <v>2628</v>
      </c>
      <c r="G893" t="s">
        <v>5974</v>
      </c>
      <c r="H893" t="s">
        <v>5975</v>
      </c>
      <c r="I893" t="s">
        <v>5976</v>
      </c>
      <c r="J893" t="s">
        <v>53</v>
      </c>
      <c r="K893" t="s">
        <v>869</v>
      </c>
      <c r="L893" t="s">
        <v>43</v>
      </c>
      <c r="M893">
        <v>7032298474</v>
      </c>
      <c r="N893" t="s">
        <v>31</v>
      </c>
      <c r="O893" t="s">
        <v>7879</v>
      </c>
      <c r="P893" t="s">
        <v>7940</v>
      </c>
      <c r="Q893" t="s">
        <v>46</v>
      </c>
      <c r="R893" t="s">
        <v>33</v>
      </c>
      <c r="S893" t="s">
        <v>34</v>
      </c>
      <c r="T893" s="1">
        <v>195000</v>
      </c>
      <c r="U893">
        <v>0</v>
      </c>
      <c r="V893">
        <v>0</v>
      </c>
      <c r="W893" t="s">
        <v>5977</v>
      </c>
    </row>
    <row r="894" spans="1:23" x14ac:dyDescent="0.25">
      <c r="A894">
        <v>3792</v>
      </c>
      <c r="B894" t="s">
        <v>23</v>
      </c>
      <c r="D894">
        <v>911</v>
      </c>
      <c r="E894" t="s">
        <v>5978</v>
      </c>
      <c r="F894" t="s">
        <v>5979</v>
      </c>
      <c r="G894" t="s">
        <v>5980</v>
      </c>
      <c r="H894" t="s">
        <v>5981</v>
      </c>
      <c r="I894" t="s">
        <v>5982</v>
      </c>
      <c r="J894" t="s">
        <v>53</v>
      </c>
      <c r="K894" t="s">
        <v>5983</v>
      </c>
      <c r="L894" t="s">
        <v>43</v>
      </c>
      <c r="M894" s="2" t="s">
        <v>5984</v>
      </c>
      <c r="N894" t="s">
        <v>31</v>
      </c>
      <c r="O894" t="s">
        <v>7886</v>
      </c>
      <c r="P894" t="s">
        <v>7981</v>
      </c>
      <c r="Q894" t="s">
        <v>46</v>
      </c>
      <c r="R894" t="s">
        <v>33</v>
      </c>
      <c r="S894" t="s">
        <v>34</v>
      </c>
      <c r="T894" s="1">
        <v>812500</v>
      </c>
      <c r="U894">
        <v>0</v>
      </c>
      <c r="V894" s="1">
        <v>162500</v>
      </c>
      <c r="W894" t="s">
        <v>5985</v>
      </c>
    </row>
    <row r="895" spans="1:23" x14ac:dyDescent="0.25">
      <c r="A895">
        <v>24239</v>
      </c>
      <c r="B895" t="s">
        <v>23</v>
      </c>
      <c r="D895">
        <v>913</v>
      </c>
      <c r="E895" t="s">
        <v>5986</v>
      </c>
      <c r="F895" t="s">
        <v>5987</v>
      </c>
      <c r="G895" t="s">
        <v>5988</v>
      </c>
      <c r="H895" t="s">
        <v>5989</v>
      </c>
      <c r="I895" t="s">
        <v>5990</v>
      </c>
      <c r="J895" t="s">
        <v>53</v>
      </c>
      <c r="K895" t="s">
        <v>5991</v>
      </c>
      <c r="L895" t="s">
        <v>43</v>
      </c>
      <c r="M895" s="2" t="s">
        <v>5992</v>
      </c>
      <c r="N895" t="s">
        <v>31</v>
      </c>
      <c r="O895" t="s">
        <v>7879</v>
      </c>
      <c r="P895" t="s">
        <v>7940</v>
      </c>
      <c r="Q895" t="s">
        <v>63</v>
      </c>
      <c r="R895" t="s">
        <v>33</v>
      </c>
      <c r="S895" t="s">
        <v>34</v>
      </c>
      <c r="T895" s="1">
        <v>195000</v>
      </c>
      <c r="U895">
        <v>0</v>
      </c>
      <c r="V895">
        <v>0</v>
      </c>
      <c r="W895" t="s">
        <v>5993</v>
      </c>
    </row>
    <row r="896" spans="1:23" x14ac:dyDescent="0.25">
      <c r="A896">
        <v>24481</v>
      </c>
      <c r="B896" t="s">
        <v>23</v>
      </c>
      <c r="D896">
        <v>914</v>
      </c>
      <c r="E896" t="s">
        <v>5994</v>
      </c>
      <c r="F896" t="s">
        <v>5995</v>
      </c>
      <c r="G896" t="s">
        <v>5996</v>
      </c>
      <c r="H896" t="s">
        <v>5997</v>
      </c>
      <c r="I896" t="s">
        <v>5998</v>
      </c>
      <c r="J896" t="s">
        <v>53</v>
      </c>
      <c r="K896" t="s">
        <v>5999</v>
      </c>
      <c r="L896" t="s">
        <v>765</v>
      </c>
      <c r="M896">
        <v>23276401526</v>
      </c>
      <c r="N896" t="s">
        <v>31</v>
      </c>
      <c r="O896" t="s">
        <v>7879</v>
      </c>
      <c r="P896" t="s">
        <v>7940</v>
      </c>
      <c r="Q896" t="s">
        <v>1480</v>
      </c>
      <c r="R896" t="s">
        <v>33</v>
      </c>
      <c r="S896" t="s">
        <v>34</v>
      </c>
      <c r="T896" s="1">
        <v>195000</v>
      </c>
      <c r="U896">
        <v>0</v>
      </c>
      <c r="V896">
        <v>0</v>
      </c>
      <c r="W896" t="s">
        <v>6000</v>
      </c>
    </row>
    <row r="897" spans="1:23" x14ac:dyDescent="0.25">
      <c r="A897">
        <v>10246</v>
      </c>
      <c r="B897" t="s">
        <v>23</v>
      </c>
      <c r="D897">
        <v>915</v>
      </c>
      <c r="E897" t="s">
        <v>6001</v>
      </c>
      <c r="F897" t="s">
        <v>6002</v>
      </c>
      <c r="G897" t="s">
        <v>6003</v>
      </c>
      <c r="H897" t="s">
        <v>6004</v>
      </c>
      <c r="I897" t="s">
        <v>6005</v>
      </c>
      <c r="J897" t="s">
        <v>53</v>
      </c>
      <c r="K897" t="s">
        <v>6005</v>
      </c>
      <c r="L897" t="s">
        <v>43</v>
      </c>
      <c r="M897">
        <v>7031804966</v>
      </c>
      <c r="N897" t="s">
        <v>31</v>
      </c>
      <c r="O897" t="s">
        <v>7886</v>
      </c>
      <c r="P897" t="s">
        <v>7940</v>
      </c>
      <c r="Q897" t="s">
        <v>63</v>
      </c>
      <c r="R897" t="s">
        <v>33</v>
      </c>
      <c r="S897" t="s">
        <v>34</v>
      </c>
      <c r="T897" s="1">
        <v>812500</v>
      </c>
      <c r="U897">
        <v>0</v>
      </c>
      <c r="V897" s="1">
        <v>162500</v>
      </c>
      <c r="W897" t="s">
        <v>6006</v>
      </c>
    </row>
    <row r="898" spans="1:23" x14ac:dyDescent="0.25">
      <c r="A898">
        <v>8303</v>
      </c>
      <c r="B898" t="s">
        <v>23</v>
      </c>
      <c r="D898">
        <v>916</v>
      </c>
      <c r="E898" t="s">
        <v>6007</v>
      </c>
      <c r="F898" t="s">
        <v>6008</v>
      </c>
      <c r="G898" t="s">
        <v>6009</v>
      </c>
      <c r="H898" t="s">
        <v>679</v>
      </c>
      <c r="I898" t="s">
        <v>6010</v>
      </c>
      <c r="J898" t="s">
        <v>53</v>
      </c>
      <c r="K898" t="s">
        <v>717</v>
      </c>
      <c r="L898" t="s">
        <v>43</v>
      </c>
      <c r="M898">
        <f>234-7038433415</f>
        <v>-7038433181</v>
      </c>
      <c r="N898" t="s">
        <v>244</v>
      </c>
      <c r="O898" t="s">
        <v>7886</v>
      </c>
      <c r="P898" t="s">
        <v>7888</v>
      </c>
      <c r="Q898" t="s">
        <v>46</v>
      </c>
      <c r="R898" t="s">
        <v>33</v>
      </c>
      <c r="S898" t="s">
        <v>34</v>
      </c>
      <c r="T898" s="1">
        <v>812500</v>
      </c>
      <c r="U898">
        <v>0</v>
      </c>
      <c r="V898">
        <v>0</v>
      </c>
      <c r="W898" t="s">
        <v>6011</v>
      </c>
    </row>
    <row r="899" spans="1:23" x14ac:dyDescent="0.25">
      <c r="A899">
        <v>24223</v>
      </c>
      <c r="B899" t="s">
        <v>23</v>
      </c>
      <c r="D899">
        <v>917</v>
      </c>
      <c r="E899" t="s">
        <v>6012</v>
      </c>
      <c r="F899" t="s">
        <v>6013</v>
      </c>
      <c r="G899" t="s">
        <v>6014</v>
      </c>
      <c r="H899" t="s">
        <v>6015</v>
      </c>
      <c r="I899" t="s">
        <v>6016</v>
      </c>
      <c r="J899" t="s">
        <v>53</v>
      </c>
      <c r="K899" t="s">
        <v>3819</v>
      </c>
      <c r="L899" t="s">
        <v>43</v>
      </c>
      <c r="M899" s="2" t="s">
        <v>6017</v>
      </c>
      <c r="N899" t="s">
        <v>31</v>
      </c>
      <c r="O899" t="s">
        <v>7879</v>
      </c>
      <c r="P899" t="s">
        <v>7940</v>
      </c>
      <c r="Q899" t="s">
        <v>87</v>
      </c>
      <c r="R899" t="s">
        <v>33</v>
      </c>
      <c r="S899" t="s">
        <v>34</v>
      </c>
      <c r="T899" s="1">
        <v>195000</v>
      </c>
      <c r="U899">
        <v>0</v>
      </c>
      <c r="V899">
        <v>0</v>
      </c>
      <c r="W899" t="s">
        <v>6018</v>
      </c>
    </row>
    <row r="900" spans="1:23" x14ac:dyDescent="0.25">
      <c r="A900">
        <v>21359</v>
      </c>
      <c r="B900" t="s">
        <v>23</v>
      </c>
      <c r="D900">
        <v>918</v>
      </c>
      <c r="E900" t="s">
        <v>6019</v>
      </c>
      <c r="F900" t="s">
        <v>6020</v>
      </c>
      <c r="G900" t="s">
        <v>1742</v>
      </c>
      <c r="I900" t="s">
        <v>6021</v>
      </c>
      <c r="J900" t="s">
        <v>28</v>
      </c>
      <c r="K900" t="s">
        <v>960</v>
      </c>
      <c r="L900" t="s">
        <v>453</v>
      </c>
      <c r="M900">
        <v>233201103930</v>
      </c>
      <c r="N900" t="s">
        <v>45</v>
      </c>
      <c r="O900" t="s">
        <v>7881</v>
      </c>
      <c r="P900" t="s">
        <v>7981</v>
      </c>
      <c r="Q900" t="s">
        <v>455</v>
      </c>
      <c r="R900" t="s">
        <v>130</v>
      </c>
      <c r="S900" t="s">
        <v>131</v>
      </c>
      <c r="T900">
        <v>425</v>
      </c>
      <c r="U900">
        <v>0</v>
      </c>
      <c r="V900">
        <v>0</v>
      </c>
      <c r="W900" t="s">
        <v>6022</v>
      </c>
    </row>
    <row r="901" spans="1:23" x14ac:dyDescent="0.25">
      <c r="A901">
        <v>727</v>
      </c>
      <c r="B901" t="s">
        <v>23</v>
      </c>
      <c r="D901">
        <v>919</v>
      </c>
      <c r="E901" t="s">
        <v>6023</v>
      </c>
      <c r="F901" t="s">
        <v>426</v>
      </c>
      <c r="G901" t="s">
        <v>6024</v>
      </c>
      <c r="H901" t="s">
        <v>4875</v>
      </c>
      <c r="I901" t="s">
        <v>6025</v>
      </c>
      <c r="J901" t="s">
        <v>28</v>
      </c>
      <c r="K901" t="s">
        <v>1923</v>
      </c>
      <c r="L901" t="s">
        <v>43</v>
      </c>
      <c r="M901" s="2" t="s">
        <v>6026</v>
      </c>
      <c r="N901" t="s">
        <v>31</v>
      </c>
      <c r="O901" t="s">
        <v>7886</v>
      </c>
      <c r="P901" t="s">
        <v>7900</v>
      </c>
      <c r="Q901" t="s">
        <v>63</v>
      </c>
      <c r="R901" t="s">
        <v>33</v>
      </c>
      <c r="S901" t="s">
        <v>34</v>
      </c>
      <c r="T901" s="1">
        <v>812500</v>
      </c>
      <c r="U901">
        <v>0</v>
      </c>
      <c r="V901" s="1">
        <v>162500</v>
      </c>
      <c r="W901" t="s">
        <v>6027</v>
      </c>
    </row>
    <row r="902" spans="1:23" x14ac:dyDescent="0.25">
      <c r="A902">
        <v>10170</v>
      </c>
      <c r="B902" t="s">
        <v>23</v>
      </c>
      <c r="D902">
        <v>920</v>
      </c>
      <c r="E902" t="s">
        <v>6028</v>
      </c>
      <c r="F902" t="s">
        <v>6029</v>
      </c>
      <c r="G902" t="s">
        <v>302</v>
      </c>
      <c r="H902" t="s">
        <v>6030</v>
      </c>
      <c r="I902" t="s">
        <v>6031</v>
      </c>
      <c r="J902" t="s">
        <v>28</v>
      </c>
      <c r="K902" t="s">
        <v>6032</v>
      </c>
      <c r="L902" t="s">
        <v>43</v>
      </c>
      <c r="M902" s="2" t="s">
        <v>6033</v>
      </c>
      <c r="N902" t="s">
        <v>31</v>
      </c>
      <c r="O902" t="s">
        <v>7881</v>
      </c>
      <c r="P902" t="s">
        <v>7940</v>
      </c>
      <c r="Q902" t="s">
        <v>46</v>
      </c>
      <c r="R902" t="s">
        <v>33</v>
      </c>
      <c r="S902" t="s">
        <v>34</v>
      </c>
      <c r="T902" s="1">
        <v>552500</v>
      </c>
      <c r="U902">
        <v>0</v>
      </c>
      <c r="V902">
        <v>0</v>
      </c>
      <c r="W902" t="s">
        <v>6034</v>
      </c>
    </row>
    <row r="903" spans="1:23" x14ac:dyDescent="0.25">
      <c r="A903">
        <v>23177</v>
      </c>
      <c r="B903" t="s">
        <v>23</v>
      </c>
      <c r="D903">
        <v>921</v>
      </c>
      <c r="E903" t="s">
        <v>6035</v>
      </c>
      <c r="F903" t="s">
        <v>6036</v>
      </c>
      <c r="G903" t="s">
        <v>598</v>
      </c>
      <c r="H903" t="s">
        <v>6037</v>
      </c>
      <c r="I903" s="2" t="s">
        <v>6038</v>
      </c>
      <c r="J903" t="s">
        <v>53</v>
      </c>
      <c r="K903" t="s">
        <v>6039</v>
      </c>
      <c r="L903" t="s">
        <v>453</v>
      </c>
      <c r="M903" s="2" t="s">
        <v>6040</v>
      </c>
      <c r="N903" t="s">
        <v>45</v>
      </c>
      <c r="O903" t="s">
        <v>7879</v>
      </c>
      <c r="P903" t="s">
        <v>7893</v>
      </c>
      <c r="Q903" t="s">
        <v>455</v>
      </c>
      <c r="R903" t="s">
        <v>130</v>
      </c>
      <c r="S903" t="s">
        <v>131</v>
      </c>
      <c r="T903">
        <v>150</v>
      </c>
      <c r="U903">
        <v>0</v>
      </c>
      <c r="V903">
        <v>0</v>
      </c>
      <c r="W903" t="s">
        <v>6041</v>
      </c>
    </row>
    <row r="904" spans="1:23" x14ac:dyDescent="0.25">
      <c r="A904">
        <v>22876</v>
      </c>
      <c r="B904" t="s">
        <v>23</v>
      </c>
      <c r="D904">
        <v>922</v>
      </c>
      <c r="E904" t="s">
        <v>6042</v>
      </c>
      <c r="F904" t="s">
        <v>6043</v>
      </c>
      <c r="G904" t="s">
        <v>6044</v>
      </c>
      <c r="H904" t="s">
        <v>92</v>
      </c>
      <c r="I904" t="s">
        <v>6045</v>
      </c>
      <c r="J904" t="s">
        <v>28</v>
      </c>
      <c r="K904" t="s">
        <v>6046</v>
      </c>
      <c r="L904" t="s">
        <v>43</v>
      </c>
      <c r="M904" s="2" t="s">
        <v>6047</v>
      </c>
      <c r="N904" t="s">
        <v>45</v>
      </c>
      <c r="O904" t="s">
        <v>7879</v>
      </c>
      <c r="P904" t="s">
        <v>7888</v>
      </c>
      <c r="Q904" t="s">
        <v>46</v>
      </c>
      <c r="R904" t="s">
        <v>33</v>
      </c>
      <c r="S904" t="s">
        <v>34</v>
      </c>
      <c r="T904" s="1">
        <v>195000</v>
      </c>
      <c r="U904">
        <v>0</v>
      </c>
      <c r="V904">
        <v>0</v>
      </c>
      <c r="W904" t="s">
        <v>6048</v>
      </c>
    </row>
    <row r="905" spans="1:23" x14ac:dyDescent="0.25">
      <c r="A905">
        <v>21678</v>
      </c>
      <c r="B905" t="s">
        <v>23</v>
      </c>
      <c r="D905">
        <v>923</v>
      </c>
      <c r="E905" t="s">
        <v>6049</v>
      </c>
      <c r="F905" t="s">
        <v>6050</v>
      </c>
      <c r="G905" t="s">
        <v>6051</v>
      </c>
      <c r="H905" t="s">
        <v>6052</v>
      </c>
      <c r="I905" t="s">
        <v>8023</v>
      </c>
      <c r="J905" t="s">
        <v>28</v>
      </c>
      <c r="K905" t="s">
        <v>6053</v>
      </c>
      <c r="L905" t="s">
        <v>43</v>
      </c>
      <c r="M905">
        <v>2348035001023</v>
      </c>
      <c r="N905" t="s">
        <v>31</v>
      </c>
      <c r="O905" t="s">
        <v>7881</v>
      </c>
      <c r="P905" t="s">
        <v>7981</v>
      </c>
      <c r="Q905" t="s">
        <v>87</v>
      </c>
      <c r="R905" t="s">
        <v>33</v>
      </c>
      <c r="S905" t="s">
        <v>34</v>
      </c>
      <c r="T905" s="1">
        <v>552500</v>
      </c>
      <c r="U905">
        <v>0</v>
      </c>
      <c r="V905">
        <v>0</v>
      </c>
      <c r="W905" t="s">
        <v>6054</v>
      </c>
    </row>
    <row r="906" spans="1:23" x14ac:dyDescent="0.25">
      <c r="A906">
        <v>1869</v>
      </c>
      <c r="B906" t="s">
        <v>1627</v>
      </c>
      <c r="C906" t="s">
        <v>6055</v>
      </c>
      <c r="D906">
        <v>924</v>
      </c>
      <c r="E906" t="s">
        <v>6056</v>
      </c>
      <c r="F906" t="s">
        <v>6057</v>
      </c>
      <c r="G906" t="s">
        <v>6058</v>
      </c>
      <c r="H906" t="s">
        <v>6059</v>
      </c>
      <c r="I906" t="s">
        <v>6060</v>
      </c>
      <c r="J906" t="s">
        <v>53</v>
      </c>
      <c r="K906" t="s">
        <v>4891</v>
      </c>
      <c r="L906" t="s">
        <v>43</v>
      </c>
      <c r="M906">
        <v>8035524512</v>
      </c>
      <c r="N906" t="s">
        <v>45</v>
      </c>
      <c r="O906" t="s">
        <v>7881</v>
      </c>
      <c r="P906" t="s">
        <v>7981</v>
      </c>
      <c r="Q906" t="s">
        <v>63</v>
      </c>
      <c r="R906" t="s">
        <v>33</v>
      </c>
      <c r="S906" t="s">
        <v>34</v>
      </c>
      <c r="T906" s="1">
        <v>552500</v>
      </c>
      <c r="U906">
        <v>0</v>
      </c>
      <c r="V906">
        <v>0</v>
      </c>
      <c r="W906" t="s">
        <v>6061</v>
      </c>
    </row>
    <row r="907" spans="1:23" x14ac:dyDescent="0.25">
      <c r="A907">
        <v>6711</v>
      </c>
      <c r="B907" t="s">
        <v>23</v>
      </c>
      <c r="D907">
        <v>925</v>
      </c>
      <c r="E907" t="s">
        <v>6062</v>
      </c>
      <c r="F907" t="s">
        <v>6063</v>
      </c>
      <c r="G907" t="s">
        <v>6064</v>
      </c>
      <c r="H907" t="s">
        <v>6065</v>
      </c>
      <c r="I907" t="s">
        <v>6066</v>
      </c>
      <c r="J907" t="s">
        <v>28</v>
      </c>
      <c r="K907" t="s">
        <v>6067</v>
      </c>
      <c r="L907" t="s">
        <v>43</v>
      </c>
      <c r="M907">
        <v>2347068488568</v>
      </c>
      <c r="N907" t="s">
        <v>45</v>
      </c>
      <c r="O907" t="s">
        <v>7879</v>
      </c>
      <c r="P907" t="s">
        <v>7893</v>
      </c>
      <c r="Q907" t="s">
        <v>63</v>
      </c>
      <c r="R907" t="s">
        <v>33</v>
      </c>
      <c r="S907" t="s">
        <v>34</v>
      </c>
      <c r="T907" s="1">
        <v>195000</v>
      </c>
      <c r="U907">
        <v>0</v>
      </c>
      <c r="V907">
        <v>0</v>
      </c>
      <c r="W907" t="s">
        <v>6068</v>
      </c>
    </row>
    <row r="908" spans="1:23" x14ac:dyDescent="0.25">
      <c r="A908">
        <v>24496</v>
      </c>
      <c r="B908" t="s">
        <v>23</v>
      </c>
      <c r="D908">
        <v>926</v>
      </c>
      <c r="E908" t="s">
        <v>6069</v>
      </c>
      <c r="F908" t="s">
        <v>6070</v>
      </c>
      <c r="G908" t="s">
        <v>264</v>
      </c>
      <c r="H908" t="s">
        <v>6014</v>
      </c>
      <c r="I908" t="s">
        <v>6071</v>
      </c>
      <c r="J908" t="s">
        <v>53</v>
      </c>
      <c r="K908" t="s">
        <v>6072</v>
      </c>
      <c r="L908" t="s">
        <v>43</v>
      </c>
      <c r="M908" s="2" t="s">
        <v>6073</v>
      </c>
      <c r="N908" t="s">
        <v>31</v>
      </c>
      <c r="O908" t="s">
        <v>7879</v>
      </c>
      <c r="P908" t="s">
        <v>7940</v>
      </c>
      <c r="Q908" t="s">
        <v>87</v>
      </c>
      <c r="R908" t="s">
        <v>33</v>
      </c>
      <c r="S908" t="s">
        <v>34</v>
      </c>
      <c r="T908" s="1">
        <v>195000</v>
      </c>
      <c r="U908">
        <v>0</v>
      </c>
      <c r="V908">
        <v>0</v>
      </c>
      <c r="W908" t="s">
        <v>6074</v>
      </c>
    </row>
    <row r="909" spans="1:23" x14ac:dyDescent="0.25">
      <c r="A909">
        <v>5192</v>
      </c>
      <c r="B909" t="s">
        <v>23</v>
      </c>
      <c r="D909">
        <v>927</v>
      </c>
      <c r="E909" t="s">
        <v>6075</v>
      </c>
      <c r="F909" t="s">
        <v>6076</v>
      </c>
      <c r="G909" t="s">
        <v>4741</v>
      </c>
      <c r="H909" t="s">
        <v>6077</v>
      </c>
      <c r="I909" t="s">
        <v>8024</v>
      </c>
      <c r="J909" t="s">
        <v>28</v>
      </c>
      <c r="K909" t="s">
        <v>778</v>
      </c>
      <c r="L909" t="s">
        <v>43</v>
      </c>
      <c r="M909">
        <v>2348062585090</v>
      </c>
      <c r="N909" t="s">
        <v>31</v>
      </c>
      <c r="O909" t="s">
        <v>7886</v>
      </c>
      <c r="P909" t="s">
        <v>7981</v>
      </c>
      <c r="Q909" t="s">
        <v>46</v>
      </c>
      <c r="R909" t="s">
        <v>33</v>
      </c>
      <c r="S909" t="s">
        <v>34</v>
      </c>
      <c r="T909" s="1">
        <v>812500</v>
      </c>
      <c r="U909">
        <v>0</v>
      </c>
      <c r="V909" s="1">
        <v>162500</v>
      </c>
      <c r="W909" t="s">
        <v>6078</v>
      </c>
    </row>
    <row r="910" spans="1:23" x14ac:dyDescent="0.25">
      <c r="A910">
        <v>5734</v>
      </c>
      <c r="B910" t="s">
        <v>23</v>
      </c>
      <c r="D910">
        <v>928</v>
      </c>
      <c r="E910" t="s">
        <v>6079</v>
      </c>
      <c r="F910" t="s">
        <v>6080</v>
      </c>
      <c r="G910" t="s">
        <v>6081</v>
      </c>
      <c r="H910" t="s">
        <v>6082</v>
      </c>
      <c r="I910" t="s">
        <v>6083</v>
      </c>
      <c r="J910" t="s">
        <v>28</v>
      </c>
      <c r="K910" t="s">
        <v>1923</v>
      </c>
      <c r="L910" t="s">
        <v>43</v>
      </c>
      <c r="M910" s="2" t="s">
        <v>6084</v>
      </c>
      <c r="N910" t="s">
        <v>31</v>
      </c>
      <c r="O910" t="s">
        <v>7886</v>
      </c>
      <c r="P910" t="s">
        <v>7981</v>
      </c>
      <c r="Q910" t="s">
        <v>46</v>
      </c>
      <c r="R910" t="s">
        <v>33</v>
      </c>
      <c r="S910" t="s">
        <v>34</v>
      </c>
      <c r="T910" s="1">
        <v>812500</v>
      </c>
      <c r="U910">
        <v>0</v>
      </c>
      <c r="V910" s="1">
        <v>162500</v>
      </c>
      <c r="W910" t="s">
        <v>6085</v>
      </c>
    </row>
    <row r="911" spans="1:23" x14ac:dyDescent="0.25">
      <c r="A911">
        <v>11215</v>
      </c>
      <c r="B911" t="s">
        <v>23</v>
      </c>
      <c r="D911">
        <v>929</v>
      </c>
      <c r="E911" t="s">
        <v>6086</v>
      </c>
      <c r="F911" t="s">
        <v>6087</v>
      </c>
      <c r="G911" t="s">
        <v>6088</v>
      </c>
      <c r="H911" t="s">
        <v>196</v>
      </c>
      <c r="I911" t="s">
        <v>6089</v>
      </c>
      <c r="J911" t="s">
        <v>28</v>
      </c>
      <c r="K911" t="s">
        <v>6090</v>
      </c>
      <c r="L911" t="s">
        <v>43</v>
      </c>
      <c r="M911">
        <v>8067145294</v>
      </c>
      <c r="N911" t="s">
        <v>45</v>
      </c>
      <c r="O911" t="s">
        <v>7881</v>
      </c>
      <c r="P911" t="s">
        <v>7981</v>
      </c>
      <c r="Q911" t="s">
        <v>87</v>
      </c>
      <c r="R911" t="s">
        <v>33</v>
      </c>
      <c r="S911" t="s">
        <v>34</v>
      </c>
      <c r="T911" s="1">
        <v>552500</v>
      </c>
      <c r="U911">
        <v>0</v>
      </c>
      <c r="V911">
        <v>0</v>
      </c>
      <c r="W911" t="s">
        <v>6091</v>
      </c>
    </row>
    <row r="912" spans="1:23" x14ac:dyDescent="0.25">
      <c r="A912">
        <v>24556</v>
      </c>
      <c r="B912" t="s">
        <v>23</v>
      </c>
      <c r="D912">
        <v>930</v>
      </c>
      <c r="E912" t="s">
        <v>6092</v>
      </c>
      <c r="F912" t="s">
        <v>6093</v>
      </c>
      <c r="G912" t="s">
        <v>6094</v>
      </c>
      <c r="I912" t="s">
        <v>6095</v>
      </c>
      <c r="J912" t="s">
        <v>28</v>
      </c>
      <c r="K912" t="s">
        <v>6096</v>
      </c>
      <c r="L912" t="s">
        <v>453</v>
      </c>
      <c r="M912" s="2" t="s">
        <v>6097</v>
      </c>
      <c r="N912" t="s">
        <v>31</v>
      </c>
      <c r="O912" t="s">
        <v>7879</v>
      </c>
      <c r="P912" t="s">
        <v>7888</v>
      </c>
      <c r="Q912" t="s">
        <v>455</v>
      </c>
      <c r="R912" t="s">
        <v>130</v>
      </c>
      <c r="S912" t="s">
        <v>131</v>
      </c>
      <c r="T912">
        <v>150</v>
      </c>
      <c r="U912">
        <v>0</v>
      </c>
      <c r="V912">
        <v>0</v>
      </c>
      <c r="W912" t="s">
        <v>6098</v>
      </c>
    </row>
    <row r="913" spans="1:23" x14ac:dyDescent="0.25">
      <c r="A913">
        <v>24558</v>
      </c>
      <c r="B913" t="s">
        <v>23</v>
      </c>
      <c r="D913">
        <v>931</v>
      </c>
      <c r="E913" t="s">
        <v>6099</v>
      </c>
      <c r="F913" t="s">
        <v>6100</v>
      </c>
      <c r="G913" t="s">
        <v>6101</v>
      </c>
      <c r="H913" t="s">
        <v>6102</v>
      </c>
      <c r="I913" t="s">
        <v>6103</v>
      </c>
      <c r="J913" t="s">
        <v>28</v>
      </c>
      <c r="K913" t="s">
        <v>6104</v>
      </c>
      <c r="L913" t="s">
        <v>43</v>
      </c>
      <c r="M913" s="2" t="s">
        <v>6105</v>
      </c>
      <c r="N913" t="s">
        <v>31</v>
      </c>
      <c r="O913" t="s">
        <v>7879</v>
      </c>
      <c r="P913" t="s">
        <v>7893</v>
      </c>
      <c r="Q913" t="s">
        <v>46</v>
      </c>
      <c r="R913" t="s">
        <v>33</v>
      </c>
      <c r="S913" t="s">
        <v>34</v>
      </c>
      <c r="T913" s="1">
        <v>195000</v>
      </c>
      <c r="U913">
        <v>0</v>
      </c>
      <c r="V913">
        <v>0</v>
      </c>
      <c r="W913" t="s">
        <v>6106</v>
      </c>
    </row>
    <row r="914" spans="1:23" x14ac:dyDescent="0.25">
      <c r="A914">
        <v>24339</v>
      </c>
      <c r="B914" t="s">
        <v>23</v>
      </c>
      <c r="D914">
        <v>932</v>
      </c>
      <c r="E914" t="s">
        <v>6107</v>
      </c>
      <c r="F914" t="s">
        <v>6108</v>
      </c>
      <c r="G914" t="s">
        <v>1510</v>
      </c>
      <c r="H914" t="s">
        <v>6109</v>
      </c>
      <c r="I914" t="s">
        <v>6110</v>
      </c>
      <c r="J914" t="s">
        <v>53</v>
      </c>
      <c r="K914" t="s">
        <v>6111</v>
      </c>
      <c r="L914" t="s">
        <v>43</v>
      </c>
      <c r="M914" s="2" t="s">
        <v>6112</v>
      </c>
      <c r="N914" t="s">
        <v>31</v>
      </c>
      <c r="O914" t="s">
        <v>7879</v>
      </c>
      <c r="P914" t="s">
        <v>7940</v>
      </c>
      <c r="Q914" t="s">
        <v>63</v>
      </c>
      <c r="R914" t="s">
        <v>33</v>
      </c>
      <c r="S914" t="s">
        <v>34</v>
      </c>
      <c r="T914" s="1">
        <v>195000</v>
      </c>
      <c r="U914">
        <v>0</v>
      </c>
      <c r="V914">
        <v>0</v>
      </c>
      <c r="W914" t="s">
        <v>6113</v>
      </c>
    </row>
    <row r="915" spans="1:23" x14ac:dyDescent="0.25">
      <c r="A915">
        <v>3218</v>
      </c>
      <c r="B915" t="s">
        <v>23</v>
      </c>
      <c r="D915">
        <v>933</v>
      </c>
      <c r="E915" t="s">
        <v>6114</v>
      </c>
      <c r="F915" t="s">
        <v>6115</v>
      </c>
      <c r="G915" t="s">
        <v>6116</v>
      </c>
      <c r="H915" t="s">
        <v>6117</v>
      </c>
      <c r="I915" t="s">
        <v>7935</v>
      </c>
      <c r="J915" t="s">
        <v>28</v>
      </c>
      <c r="K915" t="s">
        <v>2883</v>
      </c>
      <c r="L915" t="s">
        <v>43</v>
      </c>
      <c r="M915" s="2" t="s">
        <v>6118</v>
      </c>
      <c r="N915" t="s">
        <v>31</v>
      </c>
      <c r="O915" t="s">
        <v>7886</v>
      </c>
      <c r="P915" t="s">
        <v>7898</v>
      </c>
      <c r="Q915" t="s">
        <v>46</v>
      </c>
      <c r="R915" t="s">
        <v>33</v>
      </c>
      <c r="S915" t="s">
        <v>34</v>
      </c>
      <c r="T915" s="1">
        <v>812500</v>
      </c>
      <c r="U915">
        <v>0</v>
      </c>
      <c r="V915" s="1">
        <v>162500</v>
      </c>
      <c r="W915" t="s">
        <v>6119</v>
      </c>
    </row>
    <row r="916" spans="1:23" x14ac:dyDescent="0.25">
      <c r="A916">
        <v>24559</v>
      </c>
      <c r="B916" t="s">
        <v>23</v>
      </c>
      <c r="D916">
        <v>934</v>
      </c>
      <c r="E916" t="s">
        <v>6120</v>
      </c>
      <c r="F916" t="s">
        <v>6121</v>
      </c>
      <c r="G916" t="s">
        <v>2487</v>
      </c>
      <c r="H916" t="s">
        <v>6122</v>
      </c>
      <c r="I916" t="s">
        <v>6123</v>
      </c>
      <c r="J916" t="s">
        <v>28</v>
      </c>
      <c r="K916" t="s">
        <v>6124</v>
      </c>
      <c r="L916" t="s">
        <v>43</v>
      </c>
      <c r="M916" s="2" t="s">
        <v>6125</v>
      </c>
      <c r="N916" t="s">
        <v>31</v>
      </c>
      <c r="O916" t="s">
        <v>7879</v>
      </c>
      <c r="P916" t="s">
        <v>7893</v>
      </c>
      <c r="Q916" t="s">
        <v>87</v>
      </c>
      <c r="R916" t="s">
        <v>33</v>
      </c>
      <c r="S916" t="s">
        <v>34</v>
      </c>
      <c r="T916" s="1">
        <v>195000</v>
      </c>
      <c r="U916">
        <v>0</v>
      </c>
      <c r="V916">
        <v>0</v>
      </c>
      <c r="W916" t="s">
        <v>6126</v>
      </c>
    </row>
    <row r="917" spans="1:23" x14ac:dyDescent="0.25">
      <c r="A917">
        <v>3863</v>
      </c>
      <c r="B917" t="s">
        <v>23</v>
      </c>
      <c r="D917">
        <v>935</v>
      </c>
      <c r="E917" t="s">
        <v>6127</v>
      </c>
      <c r="F917" t="s">
        <v>6128</v>
      </c>
      <c r="G917" t="s">
        <v>6129</v>
      </c>
      <c r="H917" t="s">
        <v>598</v>
      </c>
      <c r="I917" t="s">
        <v>6130</v>
      </c>
      <c r="J917" t="s">
        <v>53</v>
      </c>
      <c r="K917" t="s">
        <v>6131</v>
      </c>
      <c r="L917" t="s">
        <v>43</v>
      </c>
      <c r="M917" s="2" t="s">
        <v>6132</v>
      </c>
      <c r="N917" t="s">
        <v>31</v>
      </c>
      <c r="O917" t="s">
        <v>7886</v>
      </c>
      <c r="P917" t="s">
        <v>7940</v>
      </c>
      <c r="Q917" t="s">
        <v>63</v>
      </c>
      <c r="R917" t="s">
        <v>33</v>
      </c>
      <c r="S917" t="s">
        <v>34</v>
      </c>
      <c r="T917" s="1">
        <v>812500</v>
      </c>
      <c r="U917">
        <v>0</v>
      </c>
      <c r="V917" s="1">
        <v>162500</v>
      </c>
      <c r="W917" t="s">
        <v>6133</v>
      </c>
    </row>
    <row r="918" spans="1:23" x14ac:dyDescent="0.25">
      <c r="A918">
        <v>24566</v>
      </c>
      <c r="B918" t="s">
        <v>23</v>
      </c>
      <c r="D918">
        <v>936</v>
      </c>
      <c r="E918" t="s">
        <v>6134</v>
      </c>
      <c r="F918" t="s">
        <v>6135</v>
      </c>
      <c r="G918" t="s">
        <v>398</v>
      </c>
      <c r="H918" t="s">
        <v>2580</v>
      </c>
      <c r="I918" t="s">
        <v>6136</v>
      </c>
      <c r="J918" t="s">
        <v>28</v>
      </c>
      <c r="K918" t="s">
        <v>6137</v>
      </c>
      <c r="L918" t="s">
        <v>43</v>
      </c>
      <c r="M918" s="2" t="s">
        <v>6138</v>
      </c>
      <c r="N918" t="s">
        <v>31</v>
      </c>
      <c r="O918" t="s">
        <v>7879</v>
      </c>
      <c r="P918" t="s">
        <v>8028</v>
      </c>
      <c r="Q918" t="s">
        <v>87</v>
      </c>
      <c r="R918" t="s">
        <v>33</v>
      </c>
      <c r="S918" t="s">
        <v>34</v>
      </c>
      <c r="T918" s="1">
        <v>195000</v>
      </c>
      <c r="U918">
        <v>0</v>
      </c>
      <c r="V918">
        <v>0</v>
      </c>
      <c r="W918" t="s">
        <v>6139</v>
      </c>
    </row>
    <row r="919" spans="1:23" x14ac:dyDescent="0.25">
      <c r="A919">
        <v>6723</v>
      </c>
      <c r="B919" t="s">
        <v>23</v>
      </c>
      <c r="D919">
        <v>937</v>
      </c>
      <c r="E919" t="s">
        <v>6140</v>
      </c>
      <c r="F919" t="s">
        <v>6141</v>
      </c>
      <c r="G919" t="s">
        <v>6142</v>
      </c>
      <c r="H919" t="s">
        <v>4298</v>
      </c>
      <c r="I919" t="s">
        <v>6143</v>
      </c>
      <c r="J919" t="s">
        <v>28</v>
      </c>
      <c r="K919" t="s">
        <v>5691</v>
      </c>
      <c r="L919" t="s">
        <v>43</v>
      </c>
      <c r="M919" s="2" t="s">
        <v>6144</v>
      </c>
      <c r="N919" t="s">
        <v>45</v>
      </c>
      <c r="O919" t="s">
        <v>7881</v>
      </c>
      <c r="P919" t="s">
        <v>7978</v>
      </c>
      <c r="Q919" t="s">
        <v>63</v>
      </c>
      <c r="R919" t="s">
        <v>33</v>
      </c>
      <c r="S919" t="s">
        <v>34</v>
      </c>
      <c r="T919" s="1">
        <v>552500</v>
      </c>
      <c r="U919" s="1">
        <v>110500</v>
      </c>
      <c r="V919">
        <v>0</v>
      </c>
      <c r="W919" t="s">
        <v>6145</v>
      </c>
    </row>
    <row r="920" spans="1:23" x14ac:dyDescent="0.25">
      <c r="A920">
        <v>24550</v>
      </c>
      <c r="B920" t="s">
        <v>23</v>
      </c>
      <c r="D920">
        <v>938</v>
      </c>
      <c r="E920" t="s">
        <v>6146</v>
      </c>
      <c r="F920" t="s">
        <v>6147</v>
      </c>
      <c r="G920" t="s">
        <v>1652</v>
      </c>
      <c r="H920" t="s">
        <v>6148</v>
      </c>
      <c r="I920" t="s">
        <v>6149</v>
      </c>
      <c r="J920" t="s">
        <v>28</v>
      </c>
      <c r="K920" t="s">
        <v>952</v>
      </c>
      <c r="L920" t="s">
        <v>453</v>
      </c>
      <c r="M920" s="2" t="s">
        <v>6150</v>
      </c>
      <c r="N920" t="s">
        <v>31</v>
      </c>
      <c r="O920" t="s">
        <v>7879</v>
      </c>
      <c r="P920" t="s">
        <v>8028</v>
      </c>
      <c r="Q920" t="s">
        <v>455</v>
      </c>
      <c r="R920" t="s">
        <v>130</v>
      </c>
      <c r="S920" t="s">
        <v>131</v>
      </c>
      <c r="T920">
        <v>150</v>
      </c>
      <c r="U920">
        <v>0</v>
      </c>
      <c r="V920">
        <v>0</v>
      </c>
      <c r="W920" t="s">
        <v>6151</v>
      </c>
    </row>
    <row r="921" spans="1:23" x14ac:dyDescent="0.25">
      <c r="A921">
        <v>9914</v>
      </c>
      <c r="B921" t="s">
        <v>23</v>
      </c>
      <c r="D921">
        <v>939</v>
      </c>
      <c r="E921" t="s">
        <v>6152</v>
      </c>
      <c r="F921" t="s">
        <v>6153</v>
      </c>
      <c r="G921" t="s">
        <v>3146</v>
      </c>
      <c r="H921" t="s">
        <v>6154</v>
      </c>
      <c r="I921" t="s">
        <v>6155</v>
      </c>
      <c r="J921" t="s">
        <v>28</v>
      </c>
      <c r="K921" t="s">
        <v>455</v>
      </c>
      <c r="L921" t="s">
        <v>453</v>
      </c>
      <c r="M921">
        <v>200802907</v>
      </c>
      <c r="N921" t="s">
        <v>45</v>
      </c>
      <c r="O921" t="s">
        <v>7881</v>
      </c>
      <c r="P921" t="s">
        <v>7893</v>
      </c>
      <c r="Q921" t="s">
        <v>455</v>
      </c>
      <c r="R921" t="s">
        <v>130</v>
      </c>
      <c r="S921" t="s">
        <v>131</v>
      </c>
      <c r="T921">
        <v>425</v>
      </c>
      <c r="U921">
        <v>0</v>
      </c>
      <c r="V921">
        <v>0</v>
      </c>
      <c r="W921" t="s">
        <v>6156</v>
      </c>
    </row>
    <row r="922" spans="1:23" x14ac:dyDescent="0.25">
      <c r="A922">
        <v>22955</v>
      </c>
      <c r="B922" t="s">
        <v>23</v>
      </c>
      <c r="D922">
        <v>940</v>
      </c>
      <c r="E922" t="s">
        <v>6157</v>
      </c>
      <c r="F922" t="s">
        <v>368</v>
      </c>
      <c r="G922" t="s">
        <v>4741</v>
      </c>
      <c r="H922" t="s">
        <v>5198</v>
      </c>
      <c r="I922" t="s">
        <v>6158</v>
      </c>
      <c r="J922" t="s">
        <v>28</v>
      </c>
      <c r="K922" t="s">
        <v>6159</v>
      </c>
      <c r="L922" t="s">
        <v>43</v>
      </c>
      <c r="M922" s="2" t="s">
        <v>6160</v>
      </c>
      <c r="N922" t="s">
        <v>45</v>
      </c>
      <c r="O922" t="s">
        <v>7879</v>
      </c>
      <c r="P922" t="s">
        <v>7888</v>
      </c>
      <c r="Q922" t="s">
        <v>46</v>
      </c>
      <c r="R922" t="s">
        <v>33</v>
      </c>
      <c r="S922" t="s">
        <v>34</v>
      </c>
      <c r="T922" s="1">
        <v>195000</v>
      </c>
      <c r="U922">
        <v>0</v>
      </c>
      <c r="V922">
        <v>0</v>
      </c>
      <c r="W922" t="s">
        <v>6161</v>
      </c>
    </row>
    <row r="923" spans="1:23" x14ac:dyDescent="0.25">
      <c r="A923">
        <v>5613</v>
      </c>
      <c r="B923" t="s">
        <v>23</v>
      </c>
      <c r="D923">
        <v>941</v>
      </c>
      <c r="E923" t="s">
        <v>6162</v>
      </c>
      <c r="F923" t="s">
        <v>6163</v>
      </c>
      <c r="G923" t="s">
        <v>6164</v>
      </c>
      <c r="H923" t="s">
        <v>6165</v>
      </c>
      <c r="I923" t="s">
        <v>7973</v>
      </c>
      <c r="J923" t="s">
        <v>53</v>
      </c>
      <c r="K923" t="s">
        <v>3403</v>
      </c>
      <c r="L923" t="s">
        <v>43</v>
      </c>
      <c r="M923">
        <v>2348036164489</v>
      </c>
      <c r="N923" t="s">
        <v>31</v>
      </c>
      <c r="O923" t="s">
        <v>7886</v>
      </c>
      <c r="P923" t="s">
        <v>7940</v>
      </c>
      <c r="Q923" t="s">
        <v>46</v>
      </c>
      <c r="R923" t="s">
        <v>33</v>
      </c>
      <c r="S923" t="s">
        <v>34</v>
      </c>
      <c r="T923" s="1">
        <v>812500</v>
      </c>
      <c r="U923">
        <v>0</v>
      </c>
      <c r="V923" s="1">
        <v>162500</v>
      </c>
      <c r="W923" t="s">
        <v>6166</v>
      </c>
    </row>
    <row r="924" spans="1:23" x14ac:dyDescent="0.25">
      <c r="A924">
        <v>24061</v>
      </c>
      <c r="B924" t="s">
        <v>23</v>
      </c>
      <c r="D924">
        <v>942</v>
      </c>
      <c r="E924" t="s">
        <v>6167</v>
      </c>
      <c r="F924" t="s">
        <v>6168</v>
      </c>
      <c r="G924" t="s">
        <v>6169</v>
      </c>
      <c r="H924" t="s">
        <v>6170</v>
      </c>
      <c r="I924" t="s">
        <v>6171</v>
      </c>
      <c r="J924" t="s">
        <v>28</v>
      </c>
      <c r="K924" t="s">
        <v>6172</v>
      </c>
      <c r="L924" t="s">
        <v>43</v>
      </c>
      <c r="M924" s="2" t="s">
        <v>6173</v>
      </c>
      <c r="N924" t="s">
        <v>31</v>
      </c>
      <c r="O924" t="s">
        <v>7879</v>
      </c>
      <c r="P924" t="s">
        <v>7981</v>
      </c>
      <c r="Q924" t="s">
        <v>63</v>
      </c>
      <c r="R924" t="s">
        <v>33</v>
      </c>
      <c r="S924" t="s">
        <v>34</v>
      </c>
      <c r="T924" s="1">
        <v>195000</v>
      </c>
      <c r="U924">
        <v>0</v>
      </c>
      <c r="V924">
        <v>0</v>
      </c>
      <c r="W924" t="s">
        <v>6174</v>
      </c>
    </row>
    <row r="925" spans="1:23" x14ac:dyDescent="0.25">
      <c r="A925">
        <v>24555</v>
      </c>
      <c r="B925" t="s">
        <v>23</v>
      </c>
      <c r="D925">
        <v>943</v>
      </c>
      <c r="E925" t="s">
        <v>6175</v>
      </c>
      <c r="F925" t="s">
        <v>6176</v>
      </c>
      <c r="G925" t="s">
        <v>6177</v>
      </c>
      <c r="H925" t="s">
        <v>6178</v>
      </c>
      <c r="I925" t="s">
        <v>6179</v>
      </c>
      <c r="J925" t="s">
        <v>28</v>
      </c>
      <c r="K925" t="s">
        <v>952</v>
      </c>
      <c r="L925" t="s">
        <v>453</v>
      </c>
      <c r="M925">
        <v>233246959135</v>
      </c>
      <c r="N925" t="s">
        <v>31</v>
      </c>
      <c r="O925" t="s">
        <v>7879</v>
      </c>
      <c r="P925" t="s">
        <v>8028</v>
      </c>
      <c r="Q925" t="s">
        <v>455</v>
      </c>
      <c r="R925" t="s">
        <v>130</v>
      </c>
      <c r="S925" t="s">
        <v>131</v>
      </c>
      <c r="T925">
        <v>150</v>
      </c>
      <c r="U925">
        <v>0</v>
      </c>
      <c r="V925">
        <v>0</v>
      </c>
      <c r="W925" t="s">
        <v>6180</v>
      </c>
    </row>
    <row r="926" spans="1:23" x14ac:dyDescent="0.25">
      <c r="A926">
        <v>9049</v>
      </c>
      <c r="B926" t="s">
        <v>23</v>
      </c>
      <c r="D926">
        <v>944</v>
      </c>
      <c r="E926" t="s">
        <v>6181</v>
      </c>
      <c r="F926" t="s">
        <v>6182</v>
      </c>
      <c r="G926" t="s">
        <v>6122</v>
      </c>
      <c r="H926" t="s">
        <v>6183</v>
      </c>
      <c r="I926" t="s">
        <v>6184</v>
      </c>
      <c r="J926" t="s">
        <v>28</v>
      </c>
      <c r="K926" t="s">
        <v>4506</v>
      </c>
      <c r="L926" t="s">
        <v>43</v>
      </c>
      <c r="M926">
        <v>2348137569161</v>
      </c>
      <c r="N926" t="s">
        <v>31</v>
      </c>
      <c r="O926" t="s">
        <v>7881</v>
      </c>
      <c r="P926" t="s">
        <v>7940</v>
      </c>
      <c r="Q926" t="s">
        <v>46</v>
      </c>
      <c r="R926" t="s">
        <v>33</v>
      </c>
      <c r="S926" t="s">
        <v>34</v>
      </c>
      <c r="T926" s="1">
        <v>552500</v>
      </c>
      <c r="U926">
        <v>0</v>
      </c>
      <c r="V926">
        <v>0</v>
      </c>
      <c r="W926" t="s">
        <v>6185</v>
      </c>
    </row>
    <row r="927" spans="1:23" x14ac:dyDescent="0.25">
      <c r="A927">
        <v>23975</v>
      </c>
      <c r="B927" t="s">
        <v>23</v>
      </c>
      <c r="D927">
        <v>945</v>
      </c>
      <c r="E927" t="s">
        <v>6186</v>
      </c>
      <c r="F927" t="s">
        <v>6187</v>
      </c>
      <c r="G927" t="s">
        <v>6188</v>
      </c>
      <c r="I927" t="s">
        <v>6189</v>
      </c>
      <c r="J927" t="s">
        <v>28</v>
      </c>
      <c r="K927" t="s">
        <v>6190</v>
      </c>
      <c r="L927" t="s">
        <v>453</v>
      </c>
      <c r="M927">
        <v>233207383532</v>
      </c>
      <c r="N927" t="s">
        <v>31</v>
      </c>
      <c r="O927" t="s">
        <v>7879</v>
      </c>
      <c r="P927" t="s">
        <v>7981</v>
      </c>
      <c r="Q927" t="s">
        <v>455</v>
      </c>
      <c r="R927" t="s">
        <v>130</v>
      </c>
      <c r="S927" t="s">
        <v>131</v>
      </c>
      <c r="T927">
        <v>150</v>
      </c>
      <c r="U927">
        <v>0</v>
      </c>
      <c r="V927">
        <v>0</v>
      </c>
      <c r="W927" t="s">
        <v>6191</v>
      </c>
    </row>
    <row r="928" spans="1:23" x14ac:dyDescent="0.25">
      <c r="A928">
        <v>20410</v>
      </c>
      <c r="B928" t="s">
        <v>23</v>
      </c>
      <c r="D928">
        <v>946</v>
      </c>
      <c r="E928" t="s">
        <v>6192</v>
      </c>
      <c r="F928" t="s">
        <v>6193</v>
      </c>
      <c r="G928" t="s">
        <v>6194</v>
      </c>
      <c r="H928" t="s">
        <v>6195</v>
      </c>
      <c r="I928" t="s">
        <v>6196</v>
      </c>
      <c r="J928" t="s">
        <v>53</v>
      </c>
      <c r="K928" t="s">
        <v>952</v>
      </c>
      <c r="L928" t="s">
        <v>453</v>
      </c>
      <c r="M928" t="s">
        <v>6197</v>
      </c>
      <c r="N928" t="s">
        <v>31</v>
      </c>
      <c r="O928" t="s">
        <v>7879</v>
      </c>
      <c r="P928" t="s">
        <v>8028</v>
      </c>
      <c r="Q928" t="s">
        <v>455</v>
      </c>
      <c r="R928" t="s">
        <v>130</v>
      </c>
      <c r="S928" t="s">
        <v>131</v>
      </c>
      <c r="T928">
        <v>150</v>
      </c>
      <c r="U928">
        <v>0</v>
      </c>
      <c r="V928">
        <v>0</v>
      </c>
      <c r="W928" t="s">
        <v>6198</v>
      </c>
    </row>
    <row r="929" spans="1:23" x14ac:dyDescent="0.25">
      <c r="A929">
        <v>24573</v>
      </c>
      <c r="B929" t="s">
        <v>23</v>
      </c>
      <c r="D929">
        <v>947</v>
      </c>
      <c r="E929" t="s">
        <v>6199</v>
      </c>
      <c r="F929" t="s">
        <v>6200</v>
      </c>
      <c r="G929" t="s">
        <v>5768</v>
      </c>
      <c r="H929" t="s">
        <v>6201</v>
      </c>
      <c r="I929" t="s">
        <v>6202</v>
      </c>
      <c r="J929" t="s">
        <v>53</v>
      </c>
      <c r="K929" t="s">
        <v>6203</v>
      </c>
      <c r="L929" t="s">
        <v>43</v>
      </c>
      <c r="M929" s="2" t="s">
        <v>6204</v>
      </c>
      <c r="N929" t="s">
        <v>31</v>
      </c>
      <c r="O929" t="s">
        <v>7879</v>
      </c>
      <c r="P929" t="s">
        <v>7888</v>
      </c>
      <c r="Q929" t="s">
        <v>87</v>
      </c>
      <c r="R929" t="s">
        <v>33</v>
      </c>
      <c r="S929" t="s">
        <v>34</v>
      </c>
      <c r="T929" s="1">
        <v>195000</v>
      </c>
      <c r="U929">
        <v>0</v>
      </c>
      <c r="V929">
        <v>0</v>
      </c>
      <c r="W929" t="s">
        <v>6205</v>
      </c>
    </row>
    <row r="930" spans="1:23" x14ac:dyDescent="0.25">
      <c r="A930">
        <v>24569</v>
      </c>
      <c r="B930" t="s">
        <v>23</v>
      </c>
      <c r="D930">
        <v>948</v>
      </c>
      <c r="E930" t="s">
        <v>6206</v>
      </c>
      <c r="F930" t="s">
        <v>664</v>
      </c>
      <c r="G930" t="s">
        <v>6207</v>
      </c>
      <c r="I930" t="s">
        <v>6208</v>
      </c>
      <c r="J930" t="s">
        <v>53</v>
      </c>
      <c r="K930" t="s">
        <v>6209</v>
      </c>
      <c r="L930" t="s">
        <v>43</v>
      </c>
      <c r="M930" s="2" t="s">
        <v>6210</v>
      </c>
      <c r="N930" t="s">
        <v>31</v>
      </c>
      <c r="O930" t="s">
        <v>7879</v>
      </c>
      <c r="P930" t="s">
        <v>7888</v>
      </c>
      <c r="Q930" t="s">
        <v>46</v>
      </c>
      <c r="R930" t="s">
        <v>33</v>
      </c>
      <c r="S930" t="s">
        <v>34</v>
      </c>
      <c r="T930" s="1">
        <v>195000</v>
      </c>
      <c r="U930">
        <v>0</v>
      </c>
      <c r="V930">
        <v>0</v>
      </c>
      <c r="W930" t="s">
        <v>6211</v>
      </c>
    </row>
    <row r="931" spans="1:23" x14ac:dyDescent="0.25">
      <c r="A931">
        <v>24345</v>
      </c>
      <c r="B931" t="s">
        <v>23</v>
      </c>
      <c r="D931">
        <v>949</v>
      </c>
      <c r="E931" t="s">
        <v>6212</v>
      </c>
      <c r="F931" t="s">
        <v>6213</v>
      </c>
      <c r="G931" t="s">
        <v>6214</v>
      </c>
      <c r="H931" t="s">
        <v>6215</v>
      </c>
      <c r="I931" t="s">
        <v>6216</v>
      </c>
      <c r="J931" t="s">
        <v>53</v>
      </c>
      <c r="K931" t="s">
        <v>6217</v>
      </c>
      <c r="L931" t="s">
        <v>43</v>
      </c>
      <c r="M931" s="2" t="s">
        <v>6218</v>
      </c>
      <c r="N931" t="s">
        <v>31</v>
      </c>
      <c r="O931" t="s">
        <v>7879</v>
      </c>
      <c r="P931" t="s">
        <v>8028</v>
      </c>
      <c r="Q931" t="s">
        <v>87</v>
      </c>
      <c r="R931" t="s">
        <v>33</v>
      </c>
      <c r="S931" t="s">
        <v>34</v>
      </c>
      <c r="T931" s="1">
        <v>195000</v>
      </c>
      <c r="U931">
        <v>0</v>
      </c>
      <c r="V931">
        <v>0</v>
      </c>
      <c r="W931" t="s">
        <v>6219</v>
      </c>
    </row>
    <row r="932" spans="1:23" x14ac:dyDescent="0.25">
      <c r="A932">
        <v>24554</v>
      </c>
      <c r="B932" t="s">
        <v>23</v>
      </c>
      <c r="D932">
        <v>950</v>
      </c>
      <c r="E932" t="s">
        <v>6220</v>
      </c>
      <c r="F932" t="s">
        <v>6221</v>
      </c>
      <c r="G932" t="s">
        <v>1742</v>
      </c>
      <c r="H932" t="s">
        <v>6222</v>
      </c>
      <c r="I932" t="s">
        <v>6223</v>
      </c>
      <c r="J932" t="s">
        <v>28</v>
      </c>
      <c r="K932" t="s">
        <v>6224</v>
      </c>
      <c r="L932" t="s">
        <v>453</v>
      </c>
      <c r="M932" s="2" t="s">
        <v>6225</v>
      </c>
      <c r="N932" t="s">
        <v>31</v>
      </c>
      <c r="O932" t="s">
        <v>7879</v>
      </c>
      <c r="P932" t="s">
        <v>8028</v>
      </c>
      <c r="Q932" t="s">
        <v>455</v>
      </c>
      <c r="R932" t="s">
        <v>130</v>
      </c>
      <c r="S932" t="s">
        <v>131</v>
      </c>
      <c r="T932">
        <v>150</v>
      </c>
      <c r="U932">
        <v>0</v>
      </c>
      <c r="V932">
        <v>0</v>
      </c>
      <c r="W932" t="s">
        <v>6226</v>
      </c>
    </row>
    <row r="933" spans="1:23" x14ac:dyDescent="0.25">
      <c r="A933">
        <v>1758</v>
      </c>
      <c r="B933" t="s">
        <v>23</v>
      </c>
      <c r="D933">
        <v>951</v>
      </c>
      <c r="E933" t="s">
        <v>6227</v>
      </c>
      <c r="F933" t="s">
        <v>6228</v>
      </c>
      <c r="G933" t="s">
        <v>6229</v>
      </c>
      <c r="H933" t="s">
        <v>6230</v>
      </c>
      <c r="I933" t="s">
        <v>7936</v>
      </c>
      <c r="J933" t="s">
        <v>53</v>
      </c>
      <c r="K933" t="s">
        <v>6231</v>
      </c>
      <c r="L933" t="s">
        <v>43</v>
      </c>
      <c r="M933">
        <v>8036628149</v>
      </c>
      <c r="N933" t="s">
        <v>31</v>
      </c>
      <c r="O933" t="s">
        <v>7886</v>
      </c>
      <c r="P933" t="s">
        <v>7919</v>
      </c>
      <c r="Q933" t="s">
        <v>46</v>
      </c>
      <c r="R933" t="s">
        <v>33</v>
      </c>
      <c r="S933" t="s">
        <v>34</v>
      </c>
      <c r="T933" s="1">
        <v>812500</v>
      </c>
      <c r="U933">
        <v>0</v>
      </c>
      <c r="V933" s="1">
        <v>162500</v>
      </c>
      <c r="W933" t="s">
        <v>6232</v>
      </c>
    </row>
    <row r="934" spans="1:23" x14ac:dyDescent="0.25">
      <c r="A934">
        <v>24557</v>
      </c>
      <c r="B934" t="s">
        <v>23</v>
      </c>
      <c r="D934">
        <v>952</v>
      </c>
      <c r="E934" t="s">
        <v>6233</v>
      </c>
      <c r="F934" t="s">
        <v>6234</v>
      </c>
      <c r="G934" t="s">
        <v>769</v>
      </c>
      <c r="H934" t="s">
        <v>6235</v>
      </c>
      <c r="I934" t="s">
        <v>6236</v>
      </c>
      <c r="J934" t="s">
        <v>53</v>
      </c>
      <c r="K934" t="s">
        <v>952</v>
      </c>
      <c r="L934" t="s">
        <v>453</v>
      </c>
      <c r="M934" s="2" t="s">
        <v>6237</v>
      </c>
      <c r="N934" t="s">
        <v>31</v>
      </c>
      <c r="O934" t="s">
        <v>7879</v>
      </c>
      <c r="P934" t="s">
        <v>8028</v>
      </c>
      <c r="Q934" t="s">
        <v>455</v>
      </c>
      <c r="R934" t="s">
        <v>130</v>
      </c>
      <c r="S934" t="s">
        <v>131</v>
      </c>
      <c r="T934">
        <v>150</v>
      </c>
      <c r="U934">
        <v>0</v>
      </c>
      <c r="V934">
        <v>0</v>
      </c>
      <c r="W934" t="s">
        <v>6238</v>
      </c>
    </row>
    <row r="935" spans="1:23" x14ac:dyDescent="0.25">
      <c r="A935">
        <v>24035</v>
      </c>
      <c r="B935" t="s">
        <v>23</v>
      </c>
      <c r="D935">
        <v>953</v>
      </c>
      <c r="E935" t="s">
        <v>6239</v>
      </c>
      <c r="F935" t="s">
        <v>6240</v>
      </c>
      <c r="G935" t="s">
        <v>6241</v>
      </c>
      <c r="H935" t="s">
        <v>1985</v>
      </c>
      <c r="I935" t="s">
        <v>6242</v>
      </c>
      <c r="J935" t="s">
        <v>28</v>
      </c>
      <c r="K935" t="s">
        <v>2044</v>
      </c>
      <c r="L935" t="s">
        <v>43</v>
      </c>
      <c r="M935" s="2" t="s">
        <v>6243</v>
      </c>
      <c r="N935" t="s">
        <v>31</v>
      </c>
      <c r="O935" t="s">
        <v>7879</v>
      </c>
      <c r="P935" t="s">
        <v>8028</v>
      </c>
      <c r="Q935" t="s">
        <v>63</v>
      </c>
      <c r="R935" t="s">
        <v>33</v>
      </c>
      <c r="S935" t="s">
        <v>34</v>
      </c>
      <c r="T935" s="1">
        <v>195000</v>
      </c>
      <c r="U935">
        <v>0</v>
      </c>
      <c r="V935">
        <v>0</v>
      </c>
      <c r="W935" t="s">
        <v>6244</v>
      </c>
    </row>
    <row r="936" spans="1:23" x14ac:dyDescent="0.25">
      <c r="A936">
        <v>24564</v>
      </c>
      <c r="B936" t="s">
        <v>23</v>
      </c>
      <c r="D936">
        <v>954</v>
      </c>
      <c r="E936" t="s">
        <v>6245</v>
      </c>
      <c r="F936" t="s">
        <v>6246</v>
      </c>
      <c r="G936" t="s">
        <v>592</v>
      </c>
      <c r="H936" t="s">
        <v>5614</v>
      </c>
      <c r="I936" t="s">
        <v>6245</v>
      </c>
      <c r="J936" t="s">
        <v>28</v>
      </c>
      <c r="K936" t="s">
        <v>6247</v>
      </c>
      <c r="L936" t="s">
        <v>43</v>
      </c>
      <c r="M936" s="2" t="s">
        <v>6248</v>
      </c>
      <c r="N936" t="s">
        <v>31</v>
      </c>
      <c r="O936" t="s">
        <v>7879</v>
      </c>
      <c r="P936" t="s">
        <v>7888</v>
      </c>
      <c r="Q936" t="s">
        <v>46</v>
      </c>
      <c r="R936" t="s">
        <v>33</v>
      </c>
      <c r="S936" t="s">
        <v>34</v>
      </c>
      <c r="T936" s="1">
        <v>195000</v>
      </c>
      <c r="U936">
        <v>0</v>
      </c>
      <c r="V936">
        <v>0</v>
      </c>
      <c r="W936" t="s">
        <v>6249</v>
      </c>
    </row>
    <row r="937" spans="1:23" x14ac:dyDescent="0.25">
      <c r="A937">
        <v>24333</v>
      </c>
      <c r="B937" t="s">
        <v>23</v>
      </c>
      <c r="D937">
        <v>955</v>
      </c>
      <c r="E937" t="s">
        <v>6250</v>
      </c>
      <c r="F937" t="s">
        <v>6251</v>
      </c>
      <c r="G937" t="s">
        <v>6252</v>
      </c>
      <c r="H937" t="s">
        <v>6253</v>
      </c>
      <c r="I937" t="s">
        <v>6254</v>
      </c>
      <c r="J937" t="s">
        <v>53</v>
      </c>
      <c r="K937" t="s">
        <v>6255</v>
      </c>
      <c r="L937" t="s">
        <v>453</v>
      </c>
      <c r="M937" s="2" t="s">
        <v>6256</v>
      </c>
      <c r="N937" t="s">
        <v>31</v>
      </c>
      <c r="O937" t="s">
        <v>7879</v>
      </c>
      <c r="P937" t="s">
        <v>7893</v>
      </c>
      <c r="Q937" t="s">
        <v>455</v>
      </c>
      <c r="R937" t="s">
        <v>130</v>
      </c>
      <c r="S937" t="s">
        <v>131</v>
      </c>
      <c r="T937">
        <v>150</v>
      </c>
      <c r="U937">
        <v>0</v>
      </c>
      <c r="V937">
        <v>0</v>
      </c>
      <c r="W937" t="s">
        <v>6257</v>
      </c>
    </row>
    <row r="938" spans="1:23" x14ac:dyDescent="0.25">
      <c r="A938">
        <v>3522</v>
      </c>
      <c r="B938" t="s">
        <v>23</v>
      </c>
      <c r="D938">
        <v>956</v>
      </c>
      <c r="E938" t="s">
        <v>6258</v>
      </c>
      <c r="F938" t="s">
        <v>1949</v>
      </c>
      <c r="G938" t="s">
        <v>6259</v>
      </c>
      <c r="H938" t="s">
        <v>2057</v>
      </c>
      <c r="I938" t="s">
        <v>6260</v>
      </c>
      <c r="J938" t="s">
        <v>53</v>
      </c>
      <c r="K938" t="s">
        <v>7937</v>
      </c>
      <c r="L938" t="s">
        <v>43</v>
      </c>
      <c r="M938">
        <v>7039236212</v>
      </c>
      <c r="N938" t="s">
        <v>31</v>
      </c>
      <c r="O938" t="s">
        <v>7886</v>
      </c>
      <c r="P938" t="s">
        <v>7903</v>
      </c>
      <c r="Q938" t="s">
        <v>46</v>
      </c>
      <c r="R938" t="s">
        <v>33</v>
      </c>
      <c r="S938" t="s">
        <v>34</v>
      </c>
      <c r="T938" s="1">
        <v>812500</v>
      </c>
      <c r="U938">
        <v>0</v>
      </c>
      <c r="V938" s="1">
        <v>162500</v>
      </c>
      <c r="W938" t="s">
        <v>6261</v>
      </c>
    </row>
    <row r="939" spans="1:23" x14ac:dyDescent="0.25">
      <c r="A939">
        <v>24575</v>
      </c>
      <c r="B939" t="s">
        <v>23</v>
      </c>
      <c r="D939">
        <v>957</v>
      </c>
      <c r="E939" t="s">
        <v>6262</v>
      </c>
      <c r="F939" t="s">
        <v>6263</v>
      </c>
      <c r="G939" t="s">
        <v>6264</v>
      </c>
      <c r="H939" t="s">
        <v>6265</v>
      </c>
      <c r="I939" t="s">
        <v>6266</v>
      </c>
      <c r="J939" t="s">
        <v>53</v>
      </c>
      <c r="K939" t="s">
        <v>6267</v>
      </c>
      <c r="L939" t="s">
        <v>43</v>
      </c>
      <c r="M939">
        <v>2348136179710</v>
      </c>
      <c r="N939" t="s">
        <v>31</v>
      </c>
      <c r="O939" t="s">
        <v>7879</v>
      </c>
      <c r="P939" t="s">
        <v>7940</v>
      </c>
      <c r="Q939" t="s">
        <v>63</v>
      </c>
      <c r="R939" t="s">
        <v>33</v>
      </c>
      <c r="S939" t="s">
        <v>34</v>
      </c>
      <c r="T939" s="1">
        <v>195000</v>
      </c>
      <c r="U939">
        <v>0</v>
      </c>
      <c r="V939">
        <v>0</v>
      </c>
      <c r="W939" t="s">
        <v>6268</v>
      </c>
    </row>
    <row r="940" spans="1:23" x14ac:dyDescent="0.25">
      <c r="A940">
        <v>24568</v>
      </c>
      <c r="B940" t="s">
        <v>23</v>
      </c>
      <c r="D940">
        <v>958</v>
      </c>
      <c r="E940" t="s">
        <v>6269</v>
      </c>
      <c r="F940" t="s">
        <v>6270</v>
      </c>
      <c r="G940" t="s">
        <v>6271</v>
      </c>
      <c r="H940" t="s">
        <v>3401</v>
      </c>
      <c r="I940" t="s">
        <v>6272</v>
      </c>
      <c r="J940" t="s">
        <v>53</v>
      </c>
      <c r="K940" t="s">
        <v>6273</v>
      </c>
      <c r="L940" t="s">
        <v>43</v>
      </c>
      <c r="M940">
        <v>2347066677336</v>
      </c>
      <c r="N940" t="s">
        <v>31</v>
      </c>
      <c r="O940" t="s">
        <v>7879</v>
      </c>
      <c r="P940" t="s">
        <v>7940</v>
      </c>
      <c r="Q940" t="s">
        <v>46</v>
      </c>
      <c r="R940" t="s">
        <v>33</v>
      </c>
      <c r="S940" t="s">
        <v>34</v>
      </c>
      <c r="T940" s="1">
        <v>195000</v>
      </c>
      <c r="U940">
        <v>0</v>
      </c>
      <c r="V940">
        <v>0</v>
      </c>
      <c r="W940" t="s">
        <v>6274</v>
      </c>
    </row>
    <row r="941" spans="1:23" x14ac:dyDescent="0.25">
      <c r="A941">
        <v>24574</v>
      </c>
      <c r="B941" t="s">
        <v>23</v>
      </c>
      <c r="D941">
        <v>959</v>
      </c>
      <c r="E941" t="s">
        <v>6275</v>
      </c>
      <c r="F941" t="s">
        <v>643</v>
      </c>
      <c r="G941" t="s">
        <v>6276</v>
      </c>
      <c r="I941" t="s">
        <v>6277</v>
      </c>
      <c r="J941" t="s">
        <v>53</v>
      </c>
      <c r="K941" t="s">
        <v>6278</v>
      </c>
      <c r="L941" t="s">
        <v>43</v>
      </c>
      <c r="M941" s="2" t="s">
        <v>6279</v>
      </c>
      <c r="N941" t="s">
        <v>31</v>
      </c>
      <c r="O941" t="s">
        <v>7879</v>
      </c>
      <c r="P941" t="s">
        <v>7888</v>
      </c>
      <c r="Q941" t="s">
        <v>46</v>
      </c>
      <c r="R941" t="s">
        <v>33</v>
      </c>
      <c r="S941" t="s">
        <v>34</v>
      </c>
      <c r="T941" s="1">
        <v>195000</v>
      </c>
      <c r="U941">
        <v>0</v>
      </c>
      <c r="V941">
        <v>0</v>
      </c>
      <c r="W941" t="s">
        <v>6280</v>
      </c>
    </row>
    <row r="942" spans="1:23" x14ac:dyDescent="0.25">
      <c r="A942">
        <v>24561</v>
      </c>
      <c r="B942" t="s">
        <v>23</v>
      </c>
      <c r="D942">
        <v>960</v>
      </c>
      <c r="E942" t="s">
        <v>6281</v>
      </c>
      <c r="F942" t="s">
        <v>6282</v>
      </c>
      <c r="G942" t="s">
        <v>5968</v>
      </c>
      <c r="H942" t="s">
        <v>6283</v>
      </c>
      <c r="I942" t="s">
        <v>6284</v>
      </c>
      <c r="J942" t="s">
        <v>53</v>
      </c>
      <c r="K942" t="s">
        <v>6285</v>
      </c>
      <c r="L942" t="s">
        <v>453</v>
      </c>
      <c r="M942" s="2" t="s">
        <v>6286</v>
      </c>
      <c r="N942" t="s">
        <v>31</v>
      </c>
      <c r="O942" t="s">
        <v>7879</v>
      </c>
      <c r="P942" t="s">
        <v>7893</v>
      </c>
      <c r="Q942" t="s">
        <v>455</v>
      </c>
      <c r="R942" t="s">
        <v>130</v>
      </c>
      <c r="S942" t="s">
        <v>131</v>
      </c>
      <c r="T942">
        <v>150</v>
      </c>
      <c r="U942">
        <v>0</v>
      </c>
      <c r="V942">
        <v>0</v>
      </c>
      <c r="W942" t="s">
        <v>6287</v>
      </c>
    </row>
    <row r="943" spans="1:23" x14ac:dyDescent="0.25">
      <c r="A943">
        <v>24002</v>
      </c>
      <c r="B943" t="s">
        <v>23</v>
      </c>
      <c r="D943">
        <v>961</v>
      </c>
      <c r="E943" t="s">
        <v>6288</v>
      </c>
      <c r="F943" t="s">
        <v>6289</v>
      </c>
      <c r="G943" t="s">
        <v>6290</v>
      </c>
      <c r="H943" t="s">
        <v>5516</v>
      </c>
      <c r="I943" t="s">
        <v>6291</v>
      </c>
      <c r="J943" t="s">
        <v>53</v>
      </c>
      <c r="K943" t="s">
        <v>6292</v>
      </c>
      <c r="L943" t="s">
        <v>43</v>
      </c>
      <c r="M943" s="2" t="s">
        <v>6293</v>
      </c>
      <c r="N943" t="s">
        <v>31</v>
      </c>
      <c r="O943" t="s">
        <v>7879</v>
      </c>
      <c r="P943" t="s">
        <v>8028</v>
      </c>
      <c r="Q943" t="s">
        <v>87</v>
      </c>
      <c r="R943" t="s">
        <v>33</v>
      </c>
      <c r="S943" t="s">
        <v>34</v>
      </c>
      <c r="T943" s="1">
        <v>195000</v>
      </c>
      <c r="U943">
        <v>0</v>
      </c>
      <c r="V943">
        <v>0</v>
      </c>
      <c r="W943" t="s">
        <v>6294</v>
      </c>
    </row>
    <row r="944" spans="1:23" x14ac:dyDescent="0.25">
      <c r="A944">
        <v>24553</v>
      </c>
      <c r="B944" t="s">
        <v>23</v>
      </c>
      <c r="D944">
        <v>962</v>
      </c>
      <c r="E944" t="s">
        <v>6295</v>
      </c>
      <c r="F944" t="s">
        <v>6296</v>
      </c>
      <c r="G944" t="s">
        <v>6297</v>
      </c>
      <c r="H944" t="s">
        <v>6298</v>
      </c>
      <c r="I944" t="s">
        <v>6299</v>
      </c>
      <c r="J944" t="s">
        <v>28</v>
      </c>
      <c r="K944" t="s">
        <v>5110</v>
      </c>
      <c r="L944" t="s">
        <v>453</v>
      </c>
      <c r="M944" s="2" t="s">
        <v>6300</v>
      </c>
      <c r="N944" t="s">
        <v>31</v>
      </c>
      <c r="O944" t="s">
        <v>7879</v>
      </c>
      <c r="P944" t="s">
        <v>7940</v>
      </c>
      <c r="Q944" t="s">
        <v>455</v>
      </c>
      <c r="R944" t="s">
        <v>130</v>
      </c>
      <c r="S944" t="s">
        <v>131</v>
      </c>
      <c r="T944">
        <v>150</v>
      </c>
      <c r="U944">
        <v>0</v>
      </c>
      <c r="V944">
        <v>0</v>
      </c>
      <c r="W944" t="s">
        <v>6301</v>
      </c>
    </row>
    <row r="945" spans="1:23" x14ac:dyDescent="0.25">
      <c r="A945">
        <v>24552</v>
      </c>
      <c r="B945" t="s">
        <v>23</v>
      </c>
      <c r="D945">
        <v>963</v>
      </c>
      <c r="E945" t="s">
        <v>6302</v>
      </c>
      <c r="F945" t="s">
        <v>6303</v>
      </c>
      <c r="G945" t="s">
        <v>6304</v>
      </c>
      <c r="H945" t="s">
        <v>6305</v>
      </c>
      <c r="I945" t="s">
        <v>6306</v>
      </c>
      <c r="J945" t="s">
        <v>28</v>
      </c>
      <c r="K945" t="s">
        <v>6306</v>
      </c>
      <c r="L945" t="s">
        <v>453</v>
      </c>
      <c r="M945">
        <v>233559650442</v>
      </c>
      <c r="N945" t="s">
        <v>31</v>
      </c>
      <c r="O945" t="s">
        <v>7879</v>
      </c>
      <c r="P945" t="s">
        <v>7940</v>
      </c>
      <c r="Q945" t="s">
        <v>455</v>
      </c>
      <c r="R945" t="s">
        <v>130</v>
      </c>
      <c r="S945" t="s">
        <v>131</v>
      </c>
      <c r="T945">
        <v>150</v>
      </c>
      <c r="U945">
        <v>0</v>
      </c>
      <c r="V945">
        <v>0</v>
      </c>
      <c r="W945" t="s">
        <v>6307</v>
      </c>
    </row>
    <row r="946" spans="1:23" x14ac:dyDescent="0.25">
      <c r="A946">
        <v>8635</v>
      </c>
      <c r="B946" t="s">
        <v>23</v>
      </c>
      <c r="D946">
        <v>964</v>
      </c>
      <c r="E946" t="s">
        <v>6308</v>
      </c>
      <c r="F946" t="s">
        <v>6309</v>
      </c>
      <c r="G946" t="s">
        <v>5187</v>
      </c>
      <c r="H946" t="s">
        <v>6310</v>
      </c>
      <c r="I946" t="s">
        <v>6311</v>
      </c>
      <c r="J946" t="s">
        <v>28</v>
      </c>
      <c r="K946" t="s">
        <v>6312</v>
      </c>
      <c r="L946" t="s">
        <v>43</v>
      </c>
      <c r="M946">
        <v>8037417274</v>
      </c>
      <c r="N946" t="s">
        <v>31</v>
      </c>
      <c r="O946" t="s">
        <v>7886</v>
      </c>
      <c r="P946" t="s">
        <v>7888</v>
      </c>
      <c r="Q946" t="s">
        <v>63</v>
      </c>
      <c r="R946" t="s">
        <v>33</v>
      </c>
      <c r="S946" t="s">
        <v>34</v>
      </c>
      <c r="T946" s="1">
        <v>812500</v>
      </c>
      <c r="U946">
        <v>0</v>
      </c>
      <c r="V946" s="1">
        <v>162500</v>
      </c>
      <c r="W946" t="s">
        <v>6313</v>
      </c>
    </row>
    <row r="947" spans="1:23" x14ac:dyDescent="0.25">
      <c r="A947">
        <v>22513</v>
      </c>
      <c r="B947" t="s">
        <v>23</v>
      </c>
      <c r="D947">
        <v>965</v>
      </c>
      <c r="E947" t="s">
        <v>6314</v>
      </c>
      <c r="F947" t="s">
        <v>6315</v>
      </c>
      <c r="G947" t="s">
        <v>6316</v>
      </c>
      <c r="H947" t="s">
        <v>950</v>
      </c>
      <c r="I947" t="s">
        <v>6317</v>
      </c>
      <c r="J947" t="s">
        <v>28</v>
      </c>
      <c r="K947" t="s">
        <v>480</v>
      </c>
      <c r="L947" t="s">
        <v>453</v>
      </c>
      <c r="M947" s="2" t="s">
        <v>6318</v>
      </c>
      <c r="N947" t="s">
        <v>45</v>
      </c>
      <c r="O947" t="s">
        <v>7881</v>
      </c>
      <c r="P947" t="s">
        <v>7981</v>
      </c>
      <c r="Q947" t="s">
        <v>455</v>
      </c>
      <c r="R947" t="s">
        <v>130</v>
      </c>
      <c r="S947" t="s">
        <v>131</v>
      </c>
      <c r="T947">
        <v>425</v>
      </c>
      <c r="U947">
        <v>0</v>
      </c>
      <c r="V947">
        <v>0</v>
      </c>
      <c r="W947" t="s">
        <v>6319</v>
      </c>
    </row>
    <row r="948" spans="1:23" x14ac:dyDescent="0.25">
      <c r="A948">
        <v>24518</v>
      </c>
      <c r="B948" t="s">
        <v>23</v>
      </c>
      <c r="D948">
        <v>966</v>
      </c>
      <c r="E948" t="s">
        <v>6320</v>
      </c>
      <c r="F948" t="s">
        <v>6321</v>
      </c>
      <c r="G948" t="s">
        <v>6322</v>
      </c>
      <c r="I948" t="s">
        <v>6323</v>
      </c>
      <c r="J948" t="s">
        <v>53</v>
      </c>
      <c r="K948" t="s">
        <v>6324</v>
      </c>
      <c r="L948" t="s">
        <v>453</v>
      </c>
      <c r="M948" s="2" t="s">
        <v>6325</v>
      </c>
      <c r="N948" t="s">
        <v>31</v>
      </c>
      <c r="O948" t="s">
        <v>7879</v>
      </c>
      <c r="P948" t="s">
        <v>7940</v>
      </c>
      <c r="Q948" t="s">
        <v>455</v>
      </c>
      <c r="R948" t="s">
        <v>130</v>
      </c>
      <c r="S948" t="s">
        <v>131</v>
      </c>
      <c r="T948">
        <v>150</v>
      </c>
      <c r="U948">
        <v>0</v>
      </c>
      <c r="V948">
        <v>0</v>
      </c>
      <c r="W948" t="s">
        <v>6326</v>
      </c>
    </row>
    <row r="949" spans="1:23" x14ac:dyDescent="0.25">
      <c r="A949">
        <v>20420</v>
      </c>
      <c r="B949" t="s">
        <v>23</v>
      </c>
      <c r="D949">
        <v>967</v>
      </c>
      <c r="E949" t="s">
        <v>6327</v>
      </c>
      <c r="F949" t="s">
        <v>6328</v>
      </c>
      <c r="G949" t="s">
        <v>3880</v>
      </c>
      <c r="H949" t="s">
        <v>6329</v>
      </c>
      <c r="I949" t="s">
        <v>6330</v>
      </c>
      <c r="J949" t="s">
        <v>28</v>
      </c>
      <c r="K949" t="s">
        <v>6331</v>
      </c>
      <c r="L949" t="s">
        <v>43</v>
      </c>
      <c r="M949" s="2" t="s">
        <v>6332</v>
      </c>
      <c r="N949" t="s">
        <v>31</v>
      </c>
      <c r="O949" t="s">
        <v>7881</v>
      </c>
      <c r="P949" t="s">
        <v>7979</v>
      </c>
      <c r="Q949" t="s">
        <v>46</v>
      </c>
      <c r="R949" t="s">
        <v>33</v>
      </c>
      <c r="S949" t="s">
        <v>34</v>
      </c>
      <c r="T949" s="1">
        <v>552500</v>
      </c>
      <c r="U949" s="1">
        <v>110500</v>
      </c>
      <c r="V949">
        <v>0</v>
      </c>
      <c r="W949" t="s">
        <v>6333</v>
      </c>
    </row>
    <row r="950" spans="1:23" x14ac:dyDescent="0.25">
      <c r="A950">
        <v>22750</v>
      </c>
      <c r="B950" t="s">
        <v>23</v>
      </c>
      <c r="D950">
        <v>968</v>
      </c>
      <c r="E950" t="s">
        <v>6334</v>
      </c>
      <c r="F950" t="s">
        <v>6335</v>
      </c>
      <c r="G950" t="s">
        <v>6336</v>
      </c>
      <c r="H950" t="s">
        <v>6337</v>
      </c>
      <c r="I950" t="s">
        <v>6338</v>
      </c>
      <c r="J950" t="s">
        <v>28</v>
      </c>
      <c r="K950" t="s">
        <v>6285</v>
      </c>
      <c r="L950" t="s">
        <v>453</v>
      </c>
      <c r="M950" s="2" t="s">
        <v>6339</v>
      </c>
      <c r="N950" t="s">
        <v>31</v>
      </c>
      <c r="O950" t="s">
        <v>7881</v>
      </c>
      <c r="P950" t="s">
        <v>7981</v>
      </c>
      <c r="Q950" t="s">
        <v>455</v>
      </c>
      <c r="R950" t="s">
        <v>130</v>
      </c>
      <c r="S950" t="s">
        <v>131</v>
      </c>
      <c r="T950">
        <v>425</v>
      </c>
      <c r="U950">
        <v>0</v>
      </c>
      <c r="V950">
        <v>0</v>
      </c>
      <c r="W950" t="s">
        <v>6340</v>
      </c>
    </row>
    <row r="951" spans="1:23" x14ac:dyDescent="0.25">
      <c r="A951">
        <v>7890</v>
      </c>
      <c r="B951" t="s">
        <v>23</v>
      </c>
      <c r="D951">
        <v>969</v>
      </c>
      <c r="E951" t="s">
        <v>6341</v>
      </c>
      <c r="F951" t="s">
        <v>6342</v>
      </c>
      <c r="G951" t="s">
        <v>6343</v>
      </c>
      <c r="H951" t="s">
        <v>6344</v>
      </c>
      <c r="I951" t="s">
        <v>6345</v>
      </c>
      <c r="J951" t="s">
        <v>28</v>
      </c>
      <c r="K951" t="s">
        <v>5757</v>
      </c>
      <c r="L951" t="s">
        <v>43</v>
      </c>
      <c r="M951">
        <v>7038177041</v>
      </c>
      <c r="N951" t="s">
        <v>31</v>
      </c>
      <c r="O951" t="s">
        <v>7886</v>
      </c>
      <c r="P951" t="s">
        <v>7981</v>
      </c>
      <c r="Q951" t="s">
        <v>46</v>
      </c>
      <c r="R951" t="s">
        <v>33</v>
      </c>
      <c r="S951" t="s">
        <v>34</v>
      </c>
      <c r="T951" s="1">
        <v>812500</v>
      </c>
      <c r="U951">
        <v>0</v>
      </c>
      <c r="V951" s="1">
        <v>162500</v>
      </c>
      <c r="W951" t="s">
        <v>6346</v>
      </c>
    </row>
    <row r="952" spans="1:23" x14ac:dyDescent="0.25">
      <c r="A952">
        <v>23780</v>
      </c>
      <c r="B952" t="s">
        <v>23</v>
      </c>
      <c r="D952">
        <v>970</v>
      </c>
      <c r="E952" t="s">
        <v>6347</v>
      </c>
      <c r="F952" t="s">
        <v>6348</v>
      </c>
      <c r="G952" t="s">
        <v>91</v>
      </c>
      <c r="H952" t="s">
        <v>6349</v>
      </c>
      <c r="I952" t="s">
        <v>6350</v>
      </c>
      <c r="J952" t="s">
        <v>28</v>
      </c>
      <c r="K952" t="s">
        <v>6351</v>
      </c>
      <c r="L952" t="s">
        <v>43</v>
      </c>
      <c r="M952" s="2" t="s">
        <v>6352</v>
      </c>
      <c r="N952" t="s">
        <v>45</v>
      </c>
      <c r="O952" t="s">
        <v>7879</v>
      </c>
      <c r="P952" t="s">
        <v>7940</v>
      </c>
      <c r="Q952" t="s">
        <v>46</v>
      </c>
      <c r="R952" t="s">
        <v>33</v>
      </c>
      <c r="S952" t="s">
        <v>34</v>
      </c>
      <c r="T952" s="1">
        <v>195000</v>
      </c>
      <c r="U952">
        <v>0</v>
      </c>
      <c r="V952">
        <v>0</v>
      </c>
      <c r="W952" t="s">
        <v>6353</v>
      </c>
    </row>
    <row r="953" spans="1:23" x14ac:dyDescent="0.25">
      <c r="A953">
        <v>21337</v>
      </c>
      <c r="B953" t="s">
        <v>23</v>
      </c>
      <c r="D953">
        <v>971</v>
      </c>
      <c r="E953" t="s">
        <v>6354</v>
      </c>
      <c r="F953" t="s">
        <v>6355</v>
      </c>
      <c r="G953" t="s">
        <v>1469</v>
      </c>
      <c r="H953" t="s">
        <v>6356</v>
      </c>
      <c r="I953" t="s">
        <v>6357</v>
      </c>
      <c r="J953" t="s">
        <v>28</v>
      </c>
      <c r="K953" t="s">
        <v>1088</v>
      </c>
      <c r="L953" t="s">
        <v>453</v>
      </c>
      <c r="M953" s="2" t="s">
        <v>6358</v>
      </c>
      <c r="N953" t="s">
        <v>31</v>
      </c>
      <c r="O953" t="s">
        <v>7881</v>
      </c>
      <c r="P953" t="s">
        <v>7888</v>
      </c>
      <c r="Q953" t="s">
        <v>455</v>
      </c>
      <c r="R953" t="s">
        <v>130</v>
      </c>
      <c r="S953" t="s">
        <v>131</v>
      </c>
      <c r="T953">
        <v>425</v>
      </c>
      <c r="U953">
        <v>85</v>
      </c>
      <c r="V953">
        <v>0</v>
      </c>
      <c r="W953" t="s">
        <v>6359</v>
      </c>
    </row>
    <row r="954" spans="1:23" x14ac:dyDescent="0.25">
      <c r="A954">
        <v>20653</v>
      </c>
      <c r="B954" t="s">
        <v>23</v>
      </c>
      <c r="D954">
        <v>972</v>
      </c>
      <c r="E954" t="s">
        <v>6360</v>
      </c>
      <c r="F954" t="s">
        <v>6361</v>
      </c>
      <c r="G954" t="s">
        <v>529</v>
      </c>
      <c r="H954" t="s">
        <v>6362</v>
      </c>
      <c r="I954" t="s">
        <v>6363</v>
      </c>
      <c r="J954" t="s">
        <v>53</v>
      </c>
      <c r="K954" t="s">
        <v>6285</v>
      </c>
      <c r="L954" t="s">
        <v>453</v>
      </c>
      <c r="M954" s="2" t="s">
        <v>6364</v>
      </c>
      <c r="N954" t="s">
        <v>45</v>
      </c>
      <c r="O954" t="s">
        <v>7881</v>
      </c>
      <c r="P954" t="s">
        <v>7981</v>
      </c>
      <c r="Q954" t="s">
        <v>455</v>
      </c>
      <c r="R954" t="s">
        <v>130</v>
      </c>
      <c r="S954" t="s">
        <v>131</v>
      </c>
      <c r="T954">
        <v>425</v>
      </c>
      <c r="U954">
        <v>0</v>
      </c>
      <c r="V954">
        <v>0</v>
      </c>
      <c r="W954" t="s">
        <v>6365</v>
      </c>
    </row>
    <row r="955" spans="1:23" x14ac:dyDescent="0.25">
      <c r="A955">
        <v>24571</v>
      </c>
      <c r="B955" t="s">
        <v>23</v>
      </c>
      <c r="D955">
        <v>973</v>
      </c>
      <c r="E955" t="s">
        <v>6366</v>
      </c>
      <c r="F955" t="s">
        <v>4714</v>
      </c>
      <c r="G955" t="s">
        <v>1652</v>
      </c>
      <c r="I955" t="s">
        <v>6367</v>
      </c>
      <c r="J955" t="s">
        <v>28</v>
      </c>
      <c r="K955" t="s">
        <v>6368</v>
      </c>
      <c r="L955" t="s">
        <v>453</v>
      </c>
      <c r="M955" s="2" t="s">
        <v>6369</v>
      </c>
      <c r="N955" t="s">
        <v>31</v>
      </c>
      <c r="O955" t="s">
        <v>7879</v>
      </c>
      <c r="P955" t="s">
        <v>7893</v>
      </c>
      <c r="Q955" t="s">
        <v>455</v>
      </c>
      <c r="R955" t="s">
        <v>130</v>
      </c>
      <c r="S955" t="s">
        <v>131</v>
      </c>
      <c r="T955">
        <v>150</v>
      </c>
      <c r="U955">
        <v>0</v>
      </c>
      <c r="V955">
        <v>0</v>
      </c>
      <c r="W955" t="s">
        <v>6370</v>
      </c>
    </row>
    <row r="956" spans="1:23" x14ac:dyDescent="0.25">
      <c r="A956">
        <v>24562</v>
      </c>
      <c r="B956" t="s">
        <v>23</v>
      </c>
      <c r="D956">
        <v>974</v>
      </c>
      <c r="E956" t="s">
        <v>6371</v>
      </c>
      <c r="F956" t="s">
        <v>6372</v>
      </c>
      <c r="G956" t="s">
        <v>6373</v>
      </c>
      <c r="H956" t="s">
        <v>6374</v>
      </c>
      <c r="I956" t="s">
        <v>6375</v>
      </c>
      <c r="J956" t="s">
        <v>28</v>
      </c>
      <c r="K956" t="s">
        <v>6376</v>
      </c>
      <c r="L956" t="s">
        <v>43</v>
      </c>
      <c r="M956" s="2" t="s">
        <v>6377</v>
      </c>
      <c r="N956" t="s">
        <v>31</v>
      </c>
      <c r="O956" t="s">
        <v>7879</v>
      </c>
      <c r="P956" t="s">
        <v>8028</v>
      </c>
      <c r="Q956" t="s">
        <v>46</v>
      </c>
      <c r="R956" t="s">
        <v>33</v>
      </c>
      <c r="S956" t="s">
        <v>34</v>
      </c>
      <c r="T956" s="1">
        <v>195000</v>
      </c>
      <c r="U956">
        <v>0</v>
      </c>
      <c r="V956">
        <v>0</v>
      </c>
      <c r="W956" t="s">
        <v>6378</v>
      </c>
    </row>
    <row r="957" spans="1:23" x14ac:dyDescent="0.25">
      <c r="A957">
        <v>19612</v>
      </c>
      <c r="B957" t="s">
        <v>23</v>
      </c>
      <c r="D957">
        <v>975</v>
      </c>
      <c r="E957" t="s">
        <v>6379</v>
      </c>
      <c r="F957" t="s">
        <v>6380</v>
      </c>
      <c r="G957" t="s">
        <v>1809</v>
      </c>
      <c r="H957" t="s">
        <v>6381</v>
      </c>
      <c r="I957" t="s">
        <v>6382</v>
      </c>
      <c r="J957" t="s">
        <v>53</v>
      </c>
      <c r="K957" t="s">
        <v>6383</v>
      </c>
      <c r="L957" t="s">
        <v>43</v>
      </c>
      <c r="M957" s="2" t="s">
        <v>6384</v>
      </c>
      <c r="N957" t="s">
        <v>31</v>
      </c>
      <c r="O957" t="s">
        <v>7881</v>
      </c>
      <c r="P957" t="s">
        <v>7940</v>
      </c>
      <c r="Q957" t="s">
        <v>63</v>
      </c>
      <c r="R957" t="s">
        <v>33</v>
      </c>
      <c r="S957" t="s">
        <v>34</v>
      </c>
      <c r="T957" s="1">
        <v>552500</v>
      </c>
      <c r="U957">
        <v>0</v>
      </c>
      <c r="V957">
        <v>0</v>
      </c>
      <c r="W957" t="s">
        <v>6385</v>
      </c>
    </row>
    <row r="958" spans="1:23" x14ac:dyDescent="0.25">
      <c r="A958">
        <v>19242</v>
      </c>
      <c r="B958" t="s">
        <v>23</v>
      </c>
      <c r="D958">
        <v>976</v>
      </c>
      <c r="E958" t="s">
        <v>6386</v>
      </c>
      <c r="F958" t="s">
        <v>2516</v>
      </c>
      <c r="G958" t="s">
        <v>3154</v>
      </c>
      <c r="H958" t="s">
        <v>196</v>
      </c>
      <c r="I958" t="s">
        <v>6387</v>
      </c>
      <c r="J958" t="s">
        <v>53</v>
      </c>
      <c r="K958" t="s">
        <v>2883</v>
      </c>
      <c r="L958" t="s">
        <v>43</v>
      </c>
      <c r="M958" s="2" t="s">
        <v>6388</v>
      </c>
      <c r="N958" t="s">
        <v>45</v>
      </c>
      <c r="O958" t="s">
        <v>7881</v>
      </c>
      <c r="P958" t="s">
        <v>7981</v>
      </c>
      <c r="Q958" t="s">
        <v>63</v>
      </c>
      <c r="R958" t="s">
        <v>33</v>
      </c>
      <c r="S958" t="s">
        <v>34</v>
      </c>
      <c r="T958" s="1">
        <v>552500</v>
      </c>
      <c r="U958">
        <v>0</v>
      </c>
      <c r="V958">
        <v>0</v>
      </c>
      <c r="W958" t="s">
        <v>6389</v>
      </c>
    </row>
    <row r="959" spans="1:23" x14ac:dyDescent="0.25">
      <c r="A959">
        <v>24503</v>
      </c>
      <c r="B959" t="s">
        <v>23</v>
      </c>
      <c r="D959">
        <v>977</v>
      </c>
      <c r="E959" t="s">
        <v>6390</v>
      </c>
      <c r="F959" t="s">
        <v>240</v>
      </c>
      <c r="G959" t="s">
        <v>6391</v>
      </c>
      <c r="H959" t="s">
        <v>6392</v>
      </c>
      <c r="I959" t="s">
        <v>6393</v>
      </c>
      <c r="J959" t="s">
        <v>28</v>
      </c>
      <c r="K959" t="s">
        <v>6394</v>
      </c>
      <c r="L959" t="s">
        <v>43</v>
      </c>
      <c r="M959" s="2" t="s">
        <v>6395</v>
      </c>
      <c r="N959" t="s">
        <v>31</v>
      </c>
      <c r="O959" t="s">
        <v>7879</v>
      </c>
      <c r="P959" t="s">
        <v>7893</v>
      </c>
      <c r="Q959" t="s">
        <v>63</v>
      </c>
      <c r="R959" t="s">
        <v>33</v>
      </c>
      <c r="S959" t="s">
        <v>34</v>
      </c>
      <c r="T959" s="1">
        <v>195000</v>
      </c>
      <c r="U959">
        <v>0</v>
      </c>
      <c r="V959">
        <v>0</v>
      </c>
      <c r="W959" t="s">
        <v>6396</v>
      </c>
    </row>
    <row r="960" spans="1:23" x14ac:dyDescent="0.25">
      <c r="A960">
        <v>5516</v>
      </c>
      <c r="B960" t="s">
        <v>23</v>
      </c>
      <c r="D960">
        <v>978</v>
      </c>
      <c r="E960" t="s">
        <v>6397</v>
      </c>
      <c r="F960" t="s">
        <v>6398</v>
      </c>
      <c r="G960" t="s">
        <v>6399</v>
      </c>
      <c r="H960" t="s">
        <v>196</v>
      </c>
      <c r="I960" t="s">
        <v>7974</v>
      </c>
      <c r="J960" t="s">
        <v>53</v>
      </c>
      <c r="K960" t="s">
        <v>2883</v>
      </c>
      <c r="L960" t="s">
        <v>43</v>
      </c>
      <c r="M960">
        <v>8037465119</v>
      </c>
      <c r="N960" t="s">
        <v>31</v>
      </c>
      <c r="O960" t="s">
        <v>7886</v>
      </c>
      <c r="P960" t="s">
        <v>7940</v>
      </c>
      <c r="Q960" t="s">
        <v>46</v>
      </c>
      <c r="R960" t="s">
        <v>33</v>
      </c>
      <c r="S960" t="s">
        <v>34</v>
      </c>
      <c r="T960" s="1">
        <v>812500</v>
      </c>
      <c r="U960">
        <v>0</v>
      </c>
      <c r="V960" s="1">
        <v>162500</v>
      </c>
      <c r="W960" t="s">
        <v>6400</v>
      </c>
    </row>
    <row r="961" spans="1:23" x14ac:dyDescent="0.25">
      <c r="A961">
        <v>24582</v>
      </c>
      <c r="B961" t="s">
        <v>23</v>
      </c>
      <c r="D961">
        <v>979</v>
      </c>
      <c r="E961" t="s">
        <v>6401</v>
      </c>
      <c r="F961" t="s">
        <v>6402</v>
      </c>
      <c r="G961" t="s">
        <v>6403</v>
      </c>
      <c r="I961" t="s">
        <v>6404</v>
      </c>
      <c r="J961" t="s">
        <v>28</v>
      </c>
      <c r="K961" t="s">
        <v>6405</v>
      </c>
      <c r="L961" t="s">
        <v>453</v>
      </c>
      <c r="M961" s="2" t="s">
        <v>6406</v>
      </c>
      <c r="N961" t="s">
        <v>31</v>
      </c>
      <c r="O961" t="s">
        <v>7879</v>
      </c>
      <c r="P961" t="s">
        <v>7893</v>
      </c>
      <c r="Q961" t="s">
        <v>455</v>
      </c>
      <c r="R961" t="s">
        <v>130</v>
      </c>
      <c r="S961" t="s">
        <v>131</v>
      </c>
      <c r="T961">
        <v>150</v>
      </c>
      <c r="U961">
        <v>0</v>
      </c>
      <c r="V961">
        <v>0</v>
      </c>
      <c r="W961" t="s">
        <v>6407</v>
      </c>
    </row>
    <row r="962" spans="1:23" x14ac:dyDescent="0.25">
      <c r="A962">
        <v>24488</v>
      </c>
      <c r="B962" t="s">
        <v>23</v>
      </c>
      <c r="D962">
        <v>980</v>
      </c>
      <c r="E962" t="s">
        <v>6408</v>
      </c>
      <c r="F962" t="s">
        <v>6409</v>
      </c>
      <c r="G962" t="s">
        <v>6410</v>
      </c>
      <c r="H962" t="s">
        <v>5045</v>
      </c>
      <c r="I962" t="s">
        <v>6411</v>
      </c>
      <c r="J962" t="s">
        <v>28</v>
      </c>
      <c r="K962" t="s">
        <v>35</v>
      </c>
      <c r="L962" t="s">
        <v>43</v>
      </c>
      <c r="M962" s="2" t="s">
        <v>6412</v>
      </c>
      <c r="N962" t="s">
        <v>31</v>
      </c>
      <c r="O962" t="s">
        <v>7879</v>
      </c>
      <c r="P962" t="s">
        <v>7940</v>
      </c>
      <c r="Q962" t="s">
        <v>87</v>
      </c>
      <c r="R962" t="s">
        <v>33</v>
      </c>
      <c r="S962" t="s">
        <v>34</v>
      </c>
      <c r="T962" s="1">
        <v>195000</v>
      </c>
      <c r="U962">
        <v>0</v>
      </c>
      <c r="V962">
        <v>0</v>
      </c>
      <c r="W962" t="s">
        <v>6413</v>
      </c>
    </row>
    <row r="963" spans="1:23" x14ac:dyDescent="0.25">
      <c r="A963">
        <v>12931</v>
      </c>
      <c r="B963" t="s">
        <v>23</v>
      </c>
      <c r="D963">
        <v>981</v>
      </c>
      <c r="E963" t="s">
        <v>6414</v>
      </c>
      <c r="F963" t="s">
        <v>6415</v>
      </c>
      <c r="G963" t="s">
        <v>6416</v>
      </c>
      <c r="H963" t="s">
        <v>6417</v>
      </c>
      <c r="I963" t="s">
        <v>6418</v>
      </c>
      <c r="J963" t="s">
        <v>28</v>
      </c>
      <c r="K963" t="s">
        <v>6419</v>
      </c>
      <c r="L963" t="s">
        <v>43</v>
      </c>
      <c r="M963" s="2" t="s">
        <v>6420</v>
      </c>
      <c r="N963" t="s">
        <v>31</v>
      </c>
      <c r="O963" t="s">
        <v>7886</v>
      </c>
      <c r="P963" t="s">
        <v>7930</v>
      </c>
      <c r="Q963" t="s">
        <v>46</v>
      </c>
      <c r="R963" t="s">
        <v>33</v>
      </c>
      <c r="S963" t="s">
        <v>34</v>
      </c>
      <c r="T963" s="1">
        <v>812500</v>
      </c>
      <c r="U963">
        <v>0</v>
      </c>
      <c r="V963" s="1">
        <v>162500</v>
      </c>
      <c r="W963" t="s">
        <v>6421</v>
      </c>
    </row>
    <row r="964" spans="1:23" x14ac:dyDescent="0.25">
      <c r="A964">
        <v>24588</v>
      </c>
      <c r="B964" t="s">
        <v>23</v>
      </c>
      <c r="D964">
        <v>982</v>
      </c>
      <c r="E964" t="s">
        <v>6422</v>
      </c>
      <c r="F964" t="s">
        <v>6423</v>
      </c>
      <c r="G964" t="s">
        <v>529</v>
      </c>
      <c r="H964" t="s">
        <v>6424</v>
      </c>
      <c r="I964" t="s">
        <v>6425</v>
      </c>
      <c r="J964" t="s">
        <v>53</v>
      </c>
      <c r="K964" t="s">
        <v>6426</v>
      </c>
      <c r="L964" t="s">
        <v>43</v>
      </c>
      <c r="M964" s="2" t="s">
        <v>6427</v>
      </c>
      <c r="N964" t="s">
        <v>31</v>
      </c>
      <c r="O964" t="s">
        <v>7879</v>
      </c>
      <c r="P964" t="s">
        <v>7940</v>
      </c>
      <c r="Q964" t="s">
        <v>63</v>
      </c>
      <c r="R964" t="s">
        <v>33</v>
      </c>
      <c r="S964" t="s">
        <v>34</v>
      </c>
      <c r="T964" s="1">
        <v>195000</v>
      </c>
      <c r="U964">
        <v>0</v>
      </c>
      <c r="V964">
        <v>0</v>
      </c>
      <c r="W964" t="s">
        <v>6428</v>
      </c>
    </row>
    <row r="965" spans="1:23" x14ac:dyDescent="0.25">
      <c r="A965">
        <v>18328</v>
      </c>
      <c r="B965" t="s">
        <v>23</v>
      </c>
      <c r="D965">
        <v>983</v>
      </c>
      <c r="E965" t="s">
        <v>6429</v>
      </c>
      <c r="F965" t="s">
        <v>6430</v>
      </c>
      <c r="G965" t="s">
        <v>3555</v>
      </c>
      <c r="H965" t="s">
        <v>6431</v>
      </c>
      <c r="I965" t="s">
        <v>6432</v>
      </c>
      <c r="J965" t="s">
        <v>53</v>
      </c>
      <c r="K965" t="s">
        <v>6433</v>
      </c>
      <c r="L965" t="s">
        <v>43</v>
      </c>
      <c r="M965" s="2" t="s">
        <v>6434</v>
      </c>
      <c r="N965" t="s">
        <v>31</v>
      </c>
      <c r="O965" t="s">
        <v>7879</v>
      </c>
      <c r="P965" t="s">
        <v>7940</v>
      </c>
      <c r="Q965" t="s">
        <v>87</v>
      </c>
      <c r="R965" t="s">
        <v>33</v>
      </c>
      <c r="S965" t="s">
        <v>34</v>
      </c>
      <c r="T965" s="1">
        <v>195000</v>
      </c>
      <c r="U965">
        <v>0</v>
      </c>
      <c r="V965">
        <v>0</v>
      </c>
      <c r="W965" t="s">
        <v>6435</v>
      </c>
    </row>
    <row r="966" spans="1:23" x14ac:dyDescent="0.25">
      <c r="A966">
        <v>21069</v>
      </c>
      <c r="B966" t="s">
        <v>23</v>
      </c>
      <c r="D966">
        <v>984</v>
      </c>
      <c r="E966" t="s">
        <v>6436</v>
      </c>
      <c r="F966" t="s">
        <v>4212</v>
      </c>
      <c r="G966" t="s">
        <v>362</v>
      </c>
      <c r="H966" t="s">
        <v>384</v>
      </c>
      <c r="I966" t="s">
        <v>6437</v>
      </c>
      <c r="J966" t="s">
        <v>53</v>
      </c>
      <c r="K966" t="s">
        <v>364</v>
      </c>
      <c r="L966" t="s">
        <v>43</v>
      </c>
      <c r="M966" s="2" t="s">
        <v>6438</v>
      </c>
      <c r="N966" t="s">
        <v>31</v>
      </c>
      <c r="O966" t="s">
        <v>7881</v>
      </c>
      <c r="P966" t="s">
        <v>7978</v>
      </c>
      <c r="Q966" t="s">
        <v>46</v>
      </c>
      <c r="R966" t="s">
        <v>33</v>
      </c>
      <c r="S966" t="s">
        <v>34</v>
      </c>
      <c r="T966" s="1">
        <v>552500</v>
      </c>
      <c r="U966" s="1">
        <v>110500</v>
      </c>
      <c r="V966">
        <v>0</v>
      </c>
      <c r="W966" t="s">
        <v>6439</v>
      </c>
    </row>
    <row r="967" spans="1:23" x14ac:dyDescent="0.25">
      <c r="A967">
        <v>18033</v>
      </c>
      <c r="B967" t="s">
        <v>23</v>
      </c>
      <c r="D967">
        <v>985</v>
      </c>
      <c r="E967" t="s">
        <v>6440</v>
      </c>
      <c r="F967" t="s">
        <v>6441</v>
      </c>
      <c r="G967" t="s">
        <v>6442</v>
      </c>
      <c r="H967" t="s">
        <v>6443</v>
      </c>
      <c r="I967" t="s">
        <v>6444</v>
      </c>
      <c r="J967" t="s">
        <v>53</v>
      </c>
      <c r="K967" t="s">
        <v>6445</v>
      </c>
      <c r="L967" t="s">
        <v>43</v>
      </c>
      <c r="M967" s="2" t="s">
        <v>6446</v>
      </c>
      <c r="N967" t="s">
        <v>31</v>
      </c>
      <c r="O967" t="s">
        <v>7881</v>
      </c>
      <c r="P967" t="s">
        <v>7893</v>
      </c>
      <c r="Q967" t="s">
        <v>46</v>
      </c>
      <c r="R967" t="s">
        <v>33</v>
      </c>
      <c r="S967" t="s">
        <v>34</v>
      </c>
      <c r="T967" s="1">
        <v>552500</v>
      </c>
      <c r="U967">
        <v>0</v>
      </c>
      <c r="V967">
        <v>0</v>
      </c>
      <c r="W967" t="s">
        <v>6447</v>
      </c>
    </row>
    <row r="968" spans="1:23" x14ac:dyDescent="0.25">
      <c r="A968">
        <v>4633</v>
      </c>
      <c r="B968" t="s">
        <v>23</v>
      </c>
      <c r="D968">
        <v>986</v>
      </c>
      <c r="E968" t="s">
        <v>6448</v>
      </c>
      <c r="F968" t="s">
        <v>6449</v>
      </c>
      <c r="G968" t="s">
        <v>6450</v>
      </c>
      <c r="H968" t="s">
        <v>6451</v>
      </c>
      <c r="I968" t="s">
        <v>6452</v>
      </c>
      <c r="J968" t="s">
        <v>53</v>
      </c>
      <c r="K968" t="s">
        <v>6453</v>
      </c>
      <c r="L968" t="s">
        <v>43</v>
      </c>
      <c r="M968">
        <v>7069150040</v>
      </c>
      <c r="N968" t="s">
        <v>31</v>
      </c>
      <c r="O968" t="s">
        <v>7881</v>
      </c>
      <c r="P968" t="s">
        <v>7979</v>
      </c>
      <c r="Q968" t="s">
        <v>63</v>
      </c>
      <c r="R968" t="s">
        <v>33</v>
      </c>
      <c r="S968" t="s">
        <v>34</v>
      </c>
      <c r="T968" s="1">
        <v>552500</v>
      </c>
      <c r="U968" s="1">
        <v>110500</v>
      </c>
      <c r="V968">
        <v>0</v>
      </c>
      <c r="W968" t="s">
        <v>6454</v>
      </c>
    </row>
    <row r="969" spans="1:23" x14ac:dyDescent="0.25">
      <c r="A969">
        <v>3567</v>
      </c>
      <c r="B969" t="s">
        <v>23</v>
      </c>
      <c r="D969">
        <v>987</v>
      </c>
      <c r="E969" t="s">
        <v>6455</v>
      </c>
      <c r="F969" t="s">
        <v>6456</v>
      </c>
      <c r="G969" t="s">
        <v>6457</v>
      </c>
      <c r="H969" t="s">
        <v>5896</v>
      </c>
      <c r="I969" t="s">
        <v>6458</v>
      </c>
      <c r="J969" t="s">
        <v>53</v>
      </c>
      <c r="K969" t="s">
        <v>6459</v>
      </c>
      <c r="L969" t="s">
        <v>43</v>
      </c>
      <c r="M969" s="2" t="s">
        <v>6460</v>
      </c>
      <c r="N969" t="s">
        <v>31</v>
      </c>
      <c r="O969" t="s">
        <v>7886</v>
      </c>
      <c r="P969" t="s">
        <v>7888</v>
      </c>
      <c r="Q969" t="s">
        <v>63</v>
      </c>
      <c r="R969" t="s">
        <v>33</v>
      </c>
      <c r="S969" t="s">
        <v>34</v>
      </c>
      <c r="T969" s="1">
        <v>812500</v>
      </c>
      <c r="U969">
        <v>0</v>
      </c>
      <c r="V969" s="1">
        <v>162500</v>
      </c>
      <c r="W969" t="s">
        <v>6461</v>
      </c>
    </row>
    <row r="970" spans="1:23" x14ac:dyDescent="0.25">
      <c r="A970">
        <v>24005</v>
      </c>
      <c r="B970" t="s">
        <v>23</v>
      </c>
      <c r="D970">
        <v>988</v>
      </c>
      <c r="E970" t="s">
        <v>6462</v>
      </c>
      <c r="F970" t="s">
        <v>6463</v>
      </c>
      <c r="G970" t="s">
        <v>631</v>
      </c>
      <c r="H970" t="s">
        <v>5306</v>
      </c>
      <c r="I970" t="s">
        <v>6464</v>
      </c>
      <c r="J970" t="s">
        <v>28</v>
      </c>
      <c r="K970" t="s">
        <v>6465</v>
      </c>
      <c r="L970" t="s">
        <v>43</v>
      </c>
      <c r="M970" s="2" t="s">
        <v>6466</v>
      </c>
      <c r="N970" t="s">
        <v>31</v>
      </c>
      <c r="O970" t="s">
        <v>7879</v>
      </c>
      <c r="P970" t="s">
        <v>7893</v>
      </c>
      <c r="Q970" t="s">
        <v>63</v>
      </c>
      <c r="R970" t="s">
        <v>33</v>
      </c>
      <c r="S970" t="s">
        <v>34</v>
      </c>
      <c r="T970" s="1">
        <v>195000</v>
      </c>
      <c r="U970">
        <v>0</v>
      </c>
      <c r="V970">
        <v>0</v>
      </c>
      <c r="W970" t="s">
        <v>6467</v>
      </c>
    </row>
    <row r="971" spans="1:23" x14ac:dyDescent="0.25">
      <c r="A971">
        <v>14279</v>
      </c>
      <c r="B971" t="s">
        <v>23</v>
      </c>
      <c r="D971">
        <v>989</v>
      </c>
      <c r="E971" t="s">
        <v>6468</v>
      </c>
      <c r="F971" t="s">
        <v>6469</v>
      </c>
      <c r="G971" t="s">
        <v>6470</v>
      </c>
      <c r="I971" t="s">
        <v>6471</v>
      </c>
      <c r="J971" t="s">
        <v>28</v>
      </c>
      <c r="K971" t="s">
        <v>6472</v>
      </c>
      <c r="L971" t="s">
        <v>43</v>
      </c>
      <c r="M971" s="2" t="s">
        <v>6473</v>
      </c>
      <c r="N971" t="s">
        <v>31</v>
      </c>
      <c r="O971" t="s">
        <v>7886</v>
      </c>
      <c r="P971" t="s">
        <v>7940</v>
      </c>
      <c r="Q971" t="s">
        <v>63</v>
      </c>
      <c r="R971" t="s">
        <v>33</v>
      </c>
      <c r="S971" t="s">
        <v>34</v>
      </c>
      <c r="T971" s="1">
        <v>812500</v>
      </c>
      <c r="U971">
        <v>0</v>
      </c>
      <c r="V971" s="1">
        <v>162500</v>
      </c>
      <c r="W971" t="s">
        <v>6474</v>
      </c>
    </row>
    <row r="972" spans="1:23" x14ac:dyDescent="0.25">
      <c r="A972">
        <v>24589</v>
      </c>
      <c r="B972" t="s">
        <v>23</v>
      </c>
      <c r="D972">
        <v>990</v>
      </c>
      <c r="E972" t="s">
        <v>6475</v>
      </c>
      <c r="F972" t="s">
        <v>6476</v>
      </c>
      <c r="G972" t="s">
        <v>6477</v>
      </c>
      <c r="H972" t="s">
        <v>6478</v>
      </c>
      <c r="I972" t="s">
        <v>6479</v>
      </c>
      <c r="J972" t="s">
        <v>53</v>
      </c>
      <c r="K972" t="s">
        <v>1088</v>
      </c>
      <c r="L972" t="s">
        <v>453</v>
      </c>
      <c r="M972" s="2" t="s">
        <v>6480</v>
      </c>
      <c r="N972" t="s">
        <v>31</v>
      </c>
      <c r="O972" t="s">
        <v>7879</v>
      </c>
      <c r="P972" t="s">
        <v>8028</v>
      </c>
      <c r="Q972" t="s">
        <v>455</v>
      </c>
      <c r="R972" t="s">
        <v>130</v>
      </c>
      <c r="S972" t="s">
        <v>131</v>
      </c>
      <c r="T972">
        <v>150</v>
      </c>
      <c r="U972">
        <v>0</v>
      </c>
      <c r="V972">
        <v>0</v>
      </c>
      <c r="W972" t="s">
        <v>6481</v>
      </c>
    </row>
    <row r="973" spans="1:23" x14ac:dyDescent="0.25">
      <c r="A973">
        <v>7326</v>
      </c>
      <c r="B973" t="s">
        <v>23</v>
      </c>
      <c r="D973">
        <v>991</v>
      </c>
      <c r="E973" t="s">
        <v>6482</v>
      </c>
      <c r="F973" t="s">
        <v>6483</v>
      </c>
      <c r="G973" t="s">
        <v>1440</v>
      </c>
      <c r="H973" t="s">
        <v>6241</v>
      </c>
      <c r="I973" t="s">
        <v>6484</v>
      </c>
      <c r="J973" t="s">
        <v>28</v>
      </c>
      <c r="K973" t="s">
        <v>6485</v>
      </c>
      <c r="L973" t="s">
        <v>43</v>
      </c>
      <c r="M973">
        <v>7061102015</v>
      </c>
      <c r="N973" t="s">
        <v>31</v>
      </c>
      <c r="O973" t="s">
        <v>7886</v>
      </c>
      <c r="P973" t="s">
        <v>7888</v>
      </c>
      <c r="Q973" t="s">
        <v>63</v>
      </c>
      <c r="R973" t="s">
        <v>33</v>
      </c>
      <c r="S973" t="s">
        <v>34</v>
      </c>
      <c r="T973" s="1">
        <v>812500</v>
      </c>
      <c r="U973">
        <v>0</v>
      </c>
      <c r="V973" s="1">
        <v>162500</v>
      </c>
      <c r="W973" t="s">
        <v>6486</v>
      </c>
    </row>
    <row r="974" spans="1:23" x14ac:dyDescent="0.25">
      <c r="A974">
        <v>5593</v>
      </c>
      <c r="B974" t="s">
        <v>23</v>
      </c>
      <c r="D974">
        <v>992</v>
      </c>
      <c r="E974" t="s">
        <v>6487</v>
      </c>
      <c r="F974" t="s">
        <v>6488</v>
      </c>
      <c r="G974" t="s">
        <v>901</v>
      </c>
      <c r="H974" t="s">
        <v>5404</v>
      </c>
      <c r="I974" t="s">
        <v>6489</v>
      </c>
      <c r="J974" t="s">
        <v>28</v>
      </c>
      <c r="K974" t="s">
        <v>6490</v>
      </c>
      <c r="L974" t="s">
        <v>43</v>
      </c>
      <c r="M974">
        <v>8023337962</v>
      </c>
      <c r="N974" t="s">
        <v>31</v>
      </c>
      <c r="O974" t="s">
        <v>7886</v>
      </c>
      <c r="P974" t="s">
        <v>7888</v>
      </c>
      <c r="Q974" t="s">
        <v>63</v>
      </c>
      <c r="R974" t="s">
        <v>33</v>
      </c>
      <c r="S974" t="s">
        <v>34</v>
      </c>
      <c r="T974" s="1">
        <v>812500</v>
      </c>
      <c r="U974">
        <v>0</v>
      </c>
      <c r="V974" s="1">
        <v>162500</v>
      </c>
      <c r="W974" t="s">
        <v>6491</v>
      </c>
    </row>
    <row r="975" spans="1:23" x14ac:dyDescent="0.25">
      <c r="A975">
        <v>16916</v>
      </c>
      <c r="B975" t="s">
        <v>1956</v>
      </c>
      <c r="C975" t="s">
        <v>6492</v>
      </c>
      <c r="D975">
        <v>993</v>
      </c>
      <c r="E975" t="s">
        <v>6493</v>
      </c>
      <c r="F975" t="s">
        <v>1374</v>
      </c>
      <c r="G975" t="s">
        <v>6494</v>
      </c>
      <c r="H975" t="s">
        <v>5788</v>
      </c>
      <c r="I975" t="s">
        <v>6495</v>
      </c>
      <c r="J975" t="s">
        <v>53</v>
      </c>
      <c r="K975" t="s">
        <v>6496</v>
      </c>
      <c r="L975" t="s">
        <v>43</v>
      </c>
      <c r="M975">
        <v>8062963904</v>
      </c>
      <c r="N975" t="s">
        <v>31</v>
      </c>
      <c r="O975" t="s">
        <v>7881</v>
      </c>
      <c r="P975" t="s">
        <v>7979</v>
      </c>
      <c r="Q975" t="s">
        <v>63</v>
      </c>
      <c r="R975" t="s">
        <v>33</v>
      </c>
      <c r="S975" t="s">
        <v>34</v>
      </c>
      <c r="T975" s="1">
        <v>552500</v>
      </c>
      <c r="U975" s="1">
        <v>110500</v>
      </c>
      <c r="V975">
        <v>0</v>
      </c>
      <c r="W975" t="s">
        <v>6497</v>
      </c>
    </row>
    <row r="976" spans="1:23" x14ac:dyDescent="0.25">
      <c r="A976">
        <v>5772</v>
      </c>
      <c r="B976" t="s">
        <v>23</v>
      </c>
      <c r="D976">
        <v>994</v>
      </c>
      <c r="E976" t="s">
        <v>6498</v>
      </c>
      <c r="F976" t="s">
        <v>6499</v>
      </c>
      <c r="G976" t="s">
        <v>6500</v>
      </c>
      <c r="H976" t="s">
        <v>6501</v>
      </c>
      <c r="I976" t="s">
        <v>6502</v>
      </c>
      <c r="J976" t="s">
        <v>28</v>
      </c>
      <c r="K976" t="s">
        <v>6503</v>
      </c>
      <c r="L976" t="s">
        <v>43</v>
      </c>
      <c r="M976">
        <v>8033611000</v>
      </c>
      <c r="N976" t="s">
        <v>31</v>
      </c>
      <c r="O976" t="s">
        <v>7886</v>
      </c>
      <c r="P976" t="s">
        <v>8028</v>
      </c>
      <c r="Q976" t="s">
        <v>63</v>
      </c>
      <c r="R976" t="s">
        <v>33</v>
      </c>
      <c r="S976" t="s">
        <v>34</v>
      </c>
      <c r="T976" s="1">
        <v>812500</v>
      </c>
      <c r="U976">
        <v>0</v>
      </c>
      <c r="V976" s="1">
        <v>162500</v>
      </c>
      <c r="W976" t="s">
        <v>6504</v>
      </c>
    </row>
    <row r="977" spans="1:23" x14ac:dyDescent="0.25">
      <c r="A977">
        <v>24597</v>
      </c>
      <c r="B977" t="s">
        <v>23</v>
      </c>
      <c r="D977">
        <v>995</v>
      </c>
      <c r="E977" t="s">
        <v>6505</v>
      </c>
      <c r="F977" t="s">
        <v>972</v>
      </c>
      <c r="G977" t="s">
        <v>4889</v>
      </c>
      <c r="H977" t="s">
        <v>6506</v>
      </c>
      <c r="I977" t="s">
        <v>6507</v>
      </c>
      <c r="J977" t="s">
        <v>28</v>
      </c>
      <c r="K977" t="s">
        <v>393</v>
      </c>
      <c r="L977" t="s">
        <v>43</v>
      </c>
      <c r="M977" s="2" t="s">
        <v>6508</v>
      </c>
      <c r="N977" t="s">
        <v>31</v>
      </c>
      <c r="O977" t="s">
        <v>7879</v>
      </c>
      <c r="P977" t="s">
        <v>7940</v>
      </c>
      <c r="Q977" t="s">
        <v>63</v>
      </c>
      <c r="R977" t="s">
        <v>33</v>
      </c>
      <c r="S977" t="s">
        <v>34</v>
      </c>
      <c r="T977" s="1">
        <v>195000</v>
      </c>
      <c r="U977">
        <v>0</v>
      </c>
      <c r="V977">
        <v>0</v>
      </c>
      <c r="W977" t="s">
        <v>6509</v>
      </c>
    </row>
    <row r="978" spans="1:23" x14ac:dyDescent="0.25">
      <c r="A978">
        <v>24595</v>
      </c>
      <c r="B978" t="s">
        <v>23</v>
      </c>
      <c r="D978">
        <v>996</v>
      </c>
      <c r="E978" t="s">
        <v>6510</v>
      </c>
      <c r="F978" t="s">
        <v>6511</v>
      </c>
      <c r="G978" t="s">
        <v>6512</v>
      </c>
      <c r="H978" t="s">
        <v>6513</v>
      </c>
      <c r="I978" t="s">
        <v>6514</v>
      </c>
      <c r="J978" t="s">
        <v>28</v>
      </c>
      <c r="K978" t="s">
        <v>6515</v>
      </c>
      <c r="L978" t="s">
        <v>43</v>
      </c>
      <c r="M978" s="2" t="s">
        <v>6516</v>
      </c>
      <c r="N978" t="s">
        <v>31</v>
      </c>
      <c r="O978" t="s">
        <v>7879</v>
      </c>
      <c r="P978" t="s">
        <v>7888</v>
      </c>
      <c r="Q978" t="s">
        <v>46</v>
      </c>
      <c r="R978" t="s">
        <v>33</v>
      </c>
      <c r="S978" t="s">
        <v>34</v>
      </c>
      <c r="T978" s="1">
        <v>195000</v>
      </c>
      <c r="U978">
        <v>0</v>
      </c>
      <c r="V978">
        <v>0</v>
      </c>
      <c r="W978" t="s">
        <v>6517</v>
      </c>
    </row>
    <row r="979" spans="1:23" x14ac:dyDescent="0.25">
      <c r="A979">
        <v>21565</v>
      </c>
      <c r="B979" t="s">
        <v>23</v>
      </c>
      <c r="D979">
        <v>997</v>
      </c>
      <c r="E979" t="s">
        <v>6518</v>
      </c>
      <c r="F979" t="s">
        <v>1998</v>
      </c>
      <c r="G979" t="s">
        <v>2091</v>
      </c>
      <c r="H979" t="s">
        <v>3401</v>
      </c>
      <c r="I979" t="s">
        <v>6519</v>
      </c>
      <c r="J979" t="s">
        <v>28</v>
      </c>
      <c r="K979" t="s">
        <v>6520</v>
      </c>
      <c r="L979" t="s">
        <v>43</v>
      </c>
      <c r="M979" s="2" t="s">
        <v>6521</v>
      </c>
      <c r="N979" t="s">
        <v>45</v>
      </c>
      <c r="O979" t="s">
        <v>7879</v>
      </c>
      <c r="P979" t="s">
        <v>7893</v>
      </c>
      <c r="Q979" t="s">
        <v>46</v>
      </c>
      <c r="R979" t="s">
        <v>33</v>
      </c>
      <c r="S979" t="s">
        <v>34</v>
      </c>
      <c r="T979" s="1">
        <v>195000</v>
      </c>
      <c r="U979">
        <v>0</v>
      </c>
      <c r="V979">
        <v>0</v>
      </c>
      <c r="W979" t="s">
        <v>6522</v>
      </c>
    </row>
    <row r="980" spans="1:23" x14ac:dyDescent="0.25">
      <c r="A980">
        <v>2299</v>
      </c>
      <c r="B980" t="s">
        <v>23</v>
      </c>
      <c r="D980">
        <v>998</v>
      </c>
      <c r="E980" t="s">
        <v>6523</v>
      </c>
      <c r="F980" t="s">
        <v>1567</v>
      </c>
      <c r="G980" t="s">
        <v>6524</v>
      </c>
      <c r="H980" t="s">
        <v>384</v>
      </c>
      <c r="I980" t="s">
        <v>6525</v>
      </c>
      <c r="J980" t="s">
        <v>53</v>
      </c>
      <c r="K980" t="s">
        <v>6526</v>
      </c>
      <c r="L980" t="s">
        <v>43</v>
      </c>
      <c r="M980" s="2" t="s">
        <v>6527</v>
      </c>
      <c r="N980" t="s">
        <v>31</v>
      </c>
      <c r="O980" t="s">
        <v>7886</v>
      </c>
      <c r="P980" t="s">
        <v>7930</v>
      </c>
      <c r="Q980" t="s">
        <v>46</v>
      </c>
      <c r="R980" t="s">
        <v>33</v>
      </c>
      <c r="S980" t="s">
        <v>34</v>
      </c>
      <c r="T980" s="1">
        <v>812500</v>
      </c>
      <c r="U980">
        <v>0</v>
      </c>
      <c r="V980" s="1">
        <v>162500</v>
      </c>
      <c r="W980" t="s">
        <v>6528</v>
      </c>
    </row>
    <row r="981" spans="1:23" x14ac:dyDescent="0.25">
      <c r="A981">
        <v>23841</v>
      </c>
      <c r="B981" t="s">
        <v>23</v>
      </c>
      <c r="D981">
        <v>999</v>
      </c>
      <c r="E981" t="s">
        <v>6529</v>
      </c>
      <c r="F981" t="s">
        <v>6530</v>
      </c>
      <c r="G981" t="s">
        <v>6531</v>
      </c>
      <c r="H981" t="s">
        <v>6532</v>
      </c>
      <c r="I981" t="s">
        <v>6533</v>
      </c>
      <c r="J981" t="s">
        <v>28</v>
      </c>
      <c r="K981" t="s">
        <v>6534</v>
      </c>
      <c r="L981" t="s">
        <v>43</v>
      </c>
      <c r="M981" s="2" t="s">
        <v>6535</v>
      </c>
      <c r="N981" t="s">
        <v>31</v>
      </c>
      <c r="O981" t="s">
        <v>7879</v>
      </c>
      <c r="P981" t="s">
        <v>7940</v>
      </c>
      <c r="Q981" t="s">
        <v>63</v>
      </c>
      <c r="R981" t="s">
        <v>33</v>
      </c>
      <c r="S981" t="s">
        <v>34</v>
      </c>
      <c r="T981" s="1">
        <v>195000</v>
      </c>
      <c r="U981">
        <v>0</v>
      </c>
      <c r="V981">
        <v>0</v>
      </c>
      <c r="W981" t="s">
        <v>6536</v>
      </c>
    </row>
    <row r="982" spans="1:23" x14ac:dyDescent="0.25">
      <c r="A982">
        <v>5339</v>
      </c>
      <c r="B982" t="s">
        <v>23</v>
      </c>
      <c r="D982">
        <v>1000</v>
      </c>
      <c r="E982" t="s">
        <v>6537</v>
      </c>
      <c r="F982" t="s">
        <v>6538</v>
      </c>
      <c r="G982" t="s">
        <v>6539</v>
      </c>
      <c r="I982" t="s">
        <v>6540</v>
      </c>
      <c r="J982" t="s">
        <v>28</v>
      </c>
      <c r="K982" t="s">
        <v>6541</v>
      </c>
      <c r="L982" t="s">
        <v>43</v>
      </c>
      <c r="M982">
        <v>8053271387</v>
      </c>
      <c r="N982" t="s">
        <v>31</v>
      </c>
      <c r="O982" t="s">
        <v>7886</v>
      </c>
      <c r="P982" t="s">
        <v>7981</v>
      </c>
      <c r="Q982" t="s">
        <v>46</v>
      </c>
      <c r="R982" t="s">
        <v>33</v>
      </c>
      <c r="S982" t="s">
        <v>34</v>
      </c>
      <c r="T982" s="1">
        <v>812500</v>
      </c>
      <c r="U982">
        <v>0</v>
      </c>
      <c r="V982" s="1">
        <v>162500</v>
      </c>
      <c r="W982" t="s">
        <v>6542</v>
      </c>
    </row>
    <row r="983" spans="1:23" x14ac:dyDescent="0.25">
      <c r="A983">
        <v>9704</v>
      </c>
      <c r="B983" t="s">
        <v>23</v>
      </c>
      <c r="D983">
        <v>1001</v>
      </c>
      <c r="E983" t="s">
        <v>6543</v>
      </c>
      <c r="F983" t="s">
        <v>6544</v>
      </c>
      <c r="G983" t="s">
        <v>6545</v>
      </c>
      <c r="H983" t="s">
        <v>6546</v>
      </c>
      <c r="I983" t="s">
        <v>7938</v>
      </c>
      <c r="J983" t="s">
        <v>28</v>
      </c>
      <c r="K983" t="s">
        <v>822</v>
      </c>
      <c r="L983" t="s">
        <v>43</v>
      </c>
      <c r="M983">
        <v>8033592457</v>
      </c>
      <c r="N983" t="s">
        <v>31</v>
      </c>
      <c r="O983" t="s">
        <v>7886</v>
      </c>
      <c r="P983" t="s">
        <v>7900</v>
      </c>
      <c r="Q983" t="s">
        <v>46</v>
      </c>
      <c r="R983" t="s">
        <v>33</v>
      </c>
      <c r="S983" t="s">
        <v>34</v>
      </c>
      <c r="T983" s="1">
        <v>812500</v>
      </c>
      <c r="U983">
        <v>0</v>
      </c>
      <c r="V983" s="1">
        <v>162500</v>
      </c>
      <c r="W983" t="s">
        <v>6547</v>
      </c>
    </row>
    <row r="984" spans="1:23" ht="18" customHeight="1" x14ac:dyDescent="0.25">
      <c r="A984">
        <v>22159</v>
      </c>
      <c r="B984" t="s">
        <v>1627</v>
      </c>
      <c r="C984" s="3" t="s">
        <v>7885</v>
      </c>
      <c r="D984">
        <v>1002</v>
      </c>
      <c r="E984" t="s">
        <v>6548</v>
      </c>
      <c r="F984" t="s">
        <v>6549</v>
      </c>
      <c r="G984" t="s">
        <v>6101</v>
      </c>
      <c r="H984" t="s">
        <v>4080</v>
      </c>
      <c r="I984" t="s">
        <v>6550</v>
      </c>
      <c r="J984" t="s">
        <v>28</v>
      </c>
      <c r="K984" t="s">
        <v>6551</v>
      </c>
      <c r="L984" t="s">
        <v>43</v>
      </c>
      <c r="M984">
        <v>2349082092854</v>
      </c>
      <c r="N984" t="s">
        <v>31</v>
      </c>
      <c r="O984" t="s">
        <v>7881</v>
      </c>
      <c r="P984" t="s">
        <v>8028</v>
      </c>
      <c r="Q984" t="s">
        <v>63</v>
      </c>
      <c r="R984" t="s">
        <v>33</v>
      </c>
      <c r="S984" t="s">
        <v>34</v>
      </c>
      <c r="T984" s="1">
        <v>552500</v>
      </c>
      <c r="U984">
        <v>0</v>
      </c>
      <c r="V984">
        <v>0</v>
      </c>
      <c r="W984" t="s">
        <v>6552</v>
      </c>
    </row>
    <row r="985" spans="1:23" x14ac:dyDescent="0.25">
      <c r="A985">
        <v>18767</v>
      </c>
      <c r="B985" t="s">
        <v>23</v>
      </c>
      <c r="D985">
        <v>1003</v>
      </c>
      <c r="E985" t="s">
        <v>6553</v>
      </c>
      <c r="F985" t="s">
        <v>6554</v>
      </c>
      <c r="G985" t="s">
        <v>6555</v>
      </c>
      <c r="H985" t="s">
        <v>6556</v>
      </c>
      <c r="I985" t="s">
        <v>6557</v>
      </c>
      <c r="J985" t="s">
        <v>28</v>
      </c>
      <c r="K985" t="s">
        <v>3449</v>
      </c>
      <c r="L985" t="s">
        <v>43</v>
      </c>
      <c r="M985" s="2" t="s">
        <v>6558</v>
      </c>
      <c r="N985" t="s">
        <v>31</v>
      </c>
      <c r="O985" t="s">
        <v>7881</v>
      </c>
      <c r="P985" t="s">
        <v>7940</v>
      </c>
      <c r="Q985" t="s">
        <v>46</v>
      </c>
      <c r="R985" t="s">
        <v>33</v>
      </c>
      <c r="S985" t="s">
        <v>34</v>
      </c>
      <c r="T985" s="1">
        <v>552500</v>
      </c>
      <c r="U985">
        <v>0</v>
      </c>
      <c r="V985">
        <v>0</v>
      </c>
      <c r="W985" t="s">
        <v>6559</v>
      </c>
    </row>
    <row r="986" spans="1:23" s="5" customFormat="1" x14ac:dyDescent="0.25">
      <c r="A986" s="5">
        <v>18534</v>
      </c>
      <c r="B986" s="5" t="s">
        <v>23</v>
      </c>
      <c r="D986" s="5">
        <v>1004</v>
      </c>
      <c r="E986" s="5" t="s">
        <v>6560</v>
      </c>
      <c r="F986" s="5" t="s">
        <v>6561</v>
      </c>
      <c r="G986" s="5" t="s">
        <v>2049</v>
      </c>
      <c r="H986" s="5" t="s">
        <v>6562</v>
      </c>
      <c r="I986" s="5" t="s">
        <v>6563</v>
      </c>
      <c r="J986" s="5" t="s">
        <v>28</v>
      </c>
      <c r="K986" s="5" t="s">
        <v>960</v>
      </c>
      <c r="L986" s="5" t="s">
        <v>453</v>
      </c>
      <c r="M986" s="6" t="s">
        <v>6564</v>
      </c>
      <c r="N986" s="5" t="s">
        <v>45</v>
      </c>
      <c r="O986" s="5" t="s">
        <v>7881</v>
      </c>
      <c r="P986" s="5" t="s">
        <v>7893</v>
      </c>
      <c r="Q986" s="5" t="s">
        <v>455</v>
      </c>
      <c r="R986" s="5" t="s">
        <v>130</v>
      </c>
      <c r="S986" s="5" t="s">
        <v>131</v>
      </c>
      <c r="T986" s="5">
        <v>425</v>
      </c>
      <c r="U986" s="5">
        <v>0</v>
      </c>
      <c r="V986" s="5">
        <v>0</v>
      </c>
      <c r="W986" s="5" t="s">
        <v>6565</v>
      </c>
    </row>
    <row r="987" spans="1:23" x14ac:dyDescent="0.25">
      <c r="A987">
        <v>20029</v>
      </c>
      <c r="B987" t="s">
        <v>23</v>
      </c>
      <c r="D987">
        <v>1006</v>
      </c>
      <c r="E987" t="s">
        <v>6566</v>
      </c>
      <c r="F987" t="s">
        <v>6567</v>
      </c>
      <c r="G987" t="s">
        <v>2442</v>
      </c>
      <c r="H987" t="s">
        <v>1219</v>
      </c>
      <c r="I987" t="s">
        <v>6568</v>
      </c>
      <c r="J987" t="s">
        <v>28</v>
      </c>
      <c r="K987" t="s">
        <v>7975</v>
      </c>
      <c r="L987" t="s">
        <v>453</v>
      </c>
      <c r="M987" s="2" t="s">
        <v>6569</v>
      </c>
      <c r="N987" t="s">
        <v>31</v>
      </c>
      <c r="O987" t="s">
        <v>7886</v>
      </c>
      <c r="P987" t="s">
        <v>7940</v>
      </c>
      <c r="Q987" t="s">
        <v>455</v>
      </c>
      <c r="R987" t="s">
        <v>130</v>
      </c>
      <c r="S987" t="s">
        <v>131</v>
      </c>
      <c r="T987">
        <v>625</v>
      </c>
      <c r="U987">
        <v>0</v>
      </c>
      <c r="V987">
        <v>125</v>
      </c>
      <c r="W987" t="s">
        <v>6570</v>
      </c>
    </row>
    <row r="988" spans="1:23" x14ac:dyDescent="0.25">
      <c r="A988">
        <v>18940</v>
      </c>
      <c r="B988" t="s">
        <v>23</v>
      </c>
      <c r="D988">
        <v>1007</v>
      </c>
      <c r="E988" t="s">
        <v>6571</v>
      </c>
      <c r="F988" t="s">
        <v>4773</v>
      </c>
      <c r="G988" t="s">
        <v>6572</v>
      </c>
      <c r="H988" t="s">
        <v>6573</v>
      </c>
      <c r="I988" t="s">
        <v>6574</v>
      </c>
      <c r="J988" t="s">
        <v>28</v>
      </c>
      <c r="K988" t="s">
        <v>6575</v>
      </c>
      <c r="L988" t="s">
        <v>43</v>
      </c>
      <c r="M988" s="2" t="s">
        <v>6576</v>
      </c>
      <c r="N988" t="s">
        <v>31</v>
      </c>
      <c r="O988" t="s">
        <v>7881</v>
      </c>
      <c r="P988" t="s">
        <v>7940</v>
      </c>
      <c r="Q988" t="s">
        <v>46</v>
      </c>
      <c r="R988" t="s">
        <v>33</v>
      </c>
      <c r="S988" t="s">
        <v>34</v>
      </c>
      <c r="T988" s="1">
        <v>552500</v>
      </c>
      <c r="U988">
        <v>0</v>
      </c>
      <c r="V988">
        <v>0</v>
      </c>
      <c r="W988" t="s">
        <v>6577</v>
      </c>
    </row>
    <row r="989" spans="1:23" x14ac:dyDescent="0.25">
      <c r="A989">
        <v>19586</v>
      </c>
      <c r="B989" t="s">
        <v>23</v>
      </c>
      <c r="D989">
        <v>1008</v>
      </c>
      <c r="E989" t="s">
        <v>6578</v>
      </c>
      <c r="F989" t="s">
        <v>1229</v>
      </c>
      <c r="G989" t="s">
        <v>6579</v>
      </c>
      <c r="H989" t="s">
        <v>6580</v>
      </c>
      <c r="I989" t="s">
        <v>6581</v>
      </c>
      <c r="J989" t="s">
        <v>53</v>
      </c>
      <c r="K989" t="s">
        <v>6582</v>
      </c>
      <c r="L989" t="s">
        <v>43</v>
      </c>
      <c r="M989" s="2" t="s">
        <v>6583</v>
      </c>
      <c r="N989" t="s">
        <v>31</v>
      </c>
      <c r="O989" t="s">
        <v>7881</v>
      </c>
      <c r="P989" t="s">
        <v>7940</v>
      </c>
      <c r="Q989" t="s">
        <v>63</v>
      </c>
      <c r="R989" t="s">
        <v>33</v>
      </c>
      <c r="S989" t="s">
        <v>34</v>
      </c>
      <c r="T989" s="1">
        <v>552500</v>
      </c>
      <c r="U989">
        <v>0</v>
      </c>
      <c r="V989">
        <v>0</v>
      </c>
      <c r="W989" t="s">
        <v>6584</v>
      </c>
    </row>
    <row r="990" spans="1:23" x14ac:dyDescent="0.25">
      <c r="A990">
        <v>19062</v>
      </c>
      <c r="B990" t="s">
        <v>23</v>
      </c>
      <c r="D990">
        <v>1009</v>
      </c>
      <c r="E990" t="s">
        <v>6585</v>
      </c>
      <c r="F990" t="s">
        <v>6586</v>
      </c>
      <c r="G990" t="s">
        <v>598</v>
      </c>
      <c r="H990" t="s">
        <v>6587</v>
      </c>
      <c r="I990" t="s">
        <v>6588</v>
      </c>
      <c r="J990" t="s">
        <v>53</v>
      </c>
      <c r="K990" t="s">
        <v>6589</v>
      </c>
      <c r="L990" t="s">
        <v>43</v>
      </c>
      <c r="M990" s="2" t="s">
        <v>6590</v>
      </c>
      <c r="N990" t="s">
        <v>31</v>
      </c>
      <c r="O990" t="s">
        <v>7881</v>
      </c>
      <c r="P990" t="s">
        <v>7940</v>
      </c>
      <c r="Q990" t="s">
        <v>63</v>
      </c>
      <c r="R990" t="s">
        <v>33</v>
      </c>
      <c r="S990" t="s">
        <v>34</v>
      </c>
      <c r="T990" s="1">
        <v>552500</v>
      </c>
      <c r="U990">
        <v>0</v>
      </c>
      <c r="V990">
        <v>0</v>
      </c>
      <c r="W990" t="s">
        <v>6591</v>
      </c>
    </row>
    <row r="991" spans="1:23" x14ac:dyDescent="0.25">
      <c r="A991">
        <v>5512</v>
      </c>
      <c r="B991" t="s">
        <v>23</v>
      </c>
      <c r="D991">
        <v>1010</v>
      </c>
      <c r="E991" t="s">
        <v>6592</v>
      </c>
      <c r="F991" t="s">
        <v>6593</v>
      </c>
      <c r="G991" t="s">
        <v>3227</v>
      </c>
      <c r="H991" t="s">
        <v>6594</v>
      </c>
      <c r="I991" t="s">
        <v>6595</v>
      </c>
      <c r="J991" t="s">
        <v>53</v>
      </c>
      <c r="K991" t="s">
        <v>6596</v>
      </c>
      <c r="L991" t="s">
        <v>43</v>
      </c>
      <c r="M991" s="2" t="s">
        <v>6597</v>
      </c>
      <c r="N991" t="s">
        <v>45</v>
      </c>
      <c r="O991" t="s">
        <v>7881</v>
      </c>
      <c r="P991" t="s">
        <v>7893</v>
      </c>
      <c r="Q991" t="s">
        <v>87</v>
      </c>
      <c r="R991" t="s">
        <v>33</v>
      </c>
      <c r="S991" t="s">
        <v>34</v>
      </c>
      <c r="T991" s="1">
        <v>552500</v>
      </c>
      <c r="U991">
        <v>0</v>
      </c>
      <c r="V991">
        <v>0</v>
      </c>
      <c r="W991" t="s">
        <v>6598</v>
      </c>
    </row>
    <row r="992" spans="1:23" x14ac:dyDescent="0.25">
      <c r="A992">
        <v>24064</v>
      </c>
      <c r="B992" t="s">
        <v>23</v>
      </c>
      <c r="D992">
        <v>1011</v>
      </c>
      <c r="E992" t="s">
        <v>6599</v>
      </c>
      <c r="F992" t="s">
        <v>6600</v>
      </c>
      <c r="G992" t="s">
        <v>6601</v>
      </c>
      <c r="H992" t="s">
        <v>2487</v>
      </c>
      <c r="I992" t="s">
        <v>6602</v>
      </c>
      <c r="J992" t="s">
        <v>28</v>
      </c>
      <c r="K992" t="s">
        <v>3843</v>
      </c>
      <c r="L992" t="s">
        <v>43</v>
      </c>
      <c r="M992" s="2" t="s">
        <v>6603</v>
      </c>
      <c r="N992" t="s">
        <v>31</v>
      </c>
      <c r="O992" t="s">
        <v>7879</v>
      </c>
      <c r="P992" t="s">
        <v>7981</v>
      </c>
      <c r="Q992" t="s">
        <v>63</v>
      </c>
      <c r="R992" t="s">
        <v>33</v>
      </c>
      <c r="S992" t="s">
        <v>34</v>
      </c>
      <c r="T992" s="1">
        <v>195000</v>
      </c>
      <c r="U992">
        <v>0</v>
      </c>
      <c r="V992">
        <v>0</v>
      </c>
      <c r="W992" t="s">
        <v>6604</v>
      </c>
    </row>
    <row r="993" spans="1:23" x14ac:dyDescent="0.25">
      <c r="A993">
        <v>6830</v>
      </c>
      <c r="B993" t="s">
        <v>23</v>
      </c>
      <c r="D993">
        <v>1012</v>
      </c>
      <c r="E993" t="s">
        <v>6605</v>
      </c>
      <c r="F993" t="s">
        <v>6606</v>
      </c>
      <c r="G993" t="s">
        <v>3608</v>
      </c>
      <c r="H993" t="s">
        <v>6607</v>
      </c>
      <c r="I993" t="s">
        <v>6608</v>
      </c>
      <c r="J993" t="s">
        <v>28</v>
      </c>
      <c r="K993" t="s">
        <v>6609</v>
      </c>
      <c r="L993" t="s">
        <v>43</v>
      </c>
      <c r="M993">
        <v>7063456280</v>
      </c>
      <c r="N993" t="s">
        <v>31</v>
      </c>
      <c r="O993" t="s">
        <v>7881</v>
      </c>
      <c r="P993" t="s">
        <v>7888</v>
      </c>
      <c r="Q993" t="s">
        <v>87</v>
      </c>
      <c r="R993" t="s">
        <v>33</v>
      </c>
      <c r="S993" t="s">
        <v>34</v>
      </c>
      <c r="T993" s="1">
        <v>552500</v>
      </c>
      <c r="U993" s="1">
        <v>110500</v>
      </c>
      <c r="V993">
        <v>0</v>
      </c>
      <c r="W993" t="s">
        <v>6610</v>
      </c>
    </row>
    <row r="994" spans="1:23" x14ac:dyDescent="0.25">
      <c r="A994">
        <v>4235</v>
      </c>
      <c r="B994" t="s">
        <v>23</v>
      </c>
      <c r="D994">
        <v>1014</v>
      </c>
      <c r="E994" t="s">
        <v>6611</v>
      </c>
      <c r="F994" t="s">
        <v>6612</v>
      </c>
      <c r="G994" t="s">
        <v>6613</v>
      </c>
      <c r="H994" t="s">
        <v>5128</v>
      </c>
      <c r="I994" t="s">
        <v>7976</v>
      </c>
      <c r="J994" t="s">
        <v>28</v>
      </c>
      <c r="K994" t="s">
        <v>5358</v>
      </c>
      <c r="L994" t="s">
        <v>43</v>
      </c>
      <c r="M994">
        <v>8068611445</v>
      </c>
      <c r="N994" t="s">
        <v>31</v>
      </c>
      <c r="O994" t="s">
        <v>7886</v>
      </c>
      <c r="P994" t="s">
        <v>7940</v>
      </c>
      <c r="Q994" t="s">
        <v>63</v>
      </c>
      <c r="R994" t="s">
        <v>33</v>
      </c>
      <c r="S994" t="s">
        <v>34</v>
      </c>
      <c r="T994" s="1">
        <v>812500</v>
      </c>
      <c r="U994">
        <v>0</v>
      </c>
      <c r="V994" s="1">
        <v>162500</v>
      </c>
      <c r="W994" t="s">
        <v>6614</v>
      </c>
    </row>
    <row r="995" spans="1:23" x14ac:dyDescent="0.25">
      <c r="A995">
        <v>18996</v>
      </c>
      <c r="B995" t="s">
        <v>23</v>
      </c>
      <c r="D995">
        <v>1015</v>
      </c>
      <c r="E995" t="s">
        <v>6615</v>
      </c>
      <c r="F995" t="s">
        <v>6616</v>
      </c>
      <c r="G995" t="s">
        <v>6617</v>
      </c>
      <c r="H995" t="s">
        <v>6618</v>
      </c>
      <c r="I995" t="s">
        <v>6619</v>
      </c>
      <c r="J995" t="s">
        <v>53</v>
      </c>
      <c r="K995" t="s">
        <v>6620</v>
      </c>
      <c r="L995" t="s">
        <v>43</v>
      </c>
      <c r="M995" s="2" t="s">
        <v>6621</v>
      </c>
      <c r="N995" t="s">
        <v>31</v>
      </c>
      <c r="O995" t="s">
        <v>7881</v>
      </c>
      <c r="P995" t="s">
        <v>7893</v>
      </c>
      <c r="Q995" t="s">
        <v>63</v>
      </c>
      <c r="R995" t="s">
        <v>33</v>
      </c>
      <c r="S995" t="s">
        <v>34</v>
      </c>
      <c r="T995" s="1">
        <v>552500</v>
      </c>
      <c r="U995">
        <v>0</v>
      </c>
      <c r="V995">
        <v>0</v>
      </c>
      <c r="W995" t="s">
        <v>6622</v>
      </c>
    </row>
    <row r="996" spans="1:23" x14ac:dyDescent="0.25">
      <c r="A996">
        <v>21785</v>
      </c>
      <c r="B996" t="s">
        <v>23</v>
      </c>
      <c r="D996">
        <v>1016</v>
      </c>
      <c r="E996" t="s">
        <v>6623</v>
      </c>
      <c r="F996" t="s">
        <v>6624</v>
      </c>
      <c r="G996" t="s">
        <v>6625</v>
      </c>
      <c r="H996" t="s">
        <v>6626</v>
      </c>
      <c r="I996" t="s">
        <v>6627</v>
      </c>
      <c r="J996" t="s">
        <v>28</v>
      </c>
      <c r="K996" t="s">
        <v>6628</v>
      </c>
      <c r="L996" t="s">
        <v>43</v>
      </c>
      <c r="M996" s="2" t="s">
        <v>6629</v>
      </c>
      <c r="N996" t="s">
        <v>31</v>
      </c>
      <c r="O996" t="s">
        <v>7879</v>
      </c>
      <c r="P996" t="s">
        <v>8028</v>
      </c>
      <c r="Q996" t="s">
        <v>87</v>
      </c>
      <c r="R996" t="s">
        <v>33</v>
      </c>
      <c r="S996" t="s">
        <v>34</v>
      </c>
      <c r="T996" s="1">
        <v>195000</v>
      </c>
      <c r="U996">
        <v>0</v>
      </c>
      <c r="V996">
        <v>0</v>
      </c>
      <c r="W996" t="s">
        <v>6630</v>
      </c>
    </row>
    <row r="997" spans="1:23" x14ac:dyDescent="0.25">
      <c r="A997">
        <v>8488</v>
      </c>
      <c r="B997" t="s">
        <v>23</v>
      </c>
      <c r="D997">
        <v>1017</v>
      </c>
      <c r="E997" t="s">
        <v>6631</v>
      </c>
      <c r="F997" t="s">
        <v>6632</v>
      </c>
      <c r="G997" t="s">
        <v>6633</v>
      </c>
      <c r="H997" t="s">
        <v>6634</v>
      </c>
      <c r="I997" t="s">
        <v>6635</v>
      </c>
      <c r="J997" t="s">
        <v>53</v>
      </c>
      <c r="K997" t="s">
        <v>3483</v>
      </c>
      <c r="L997" t="s">
        <v>43</v>
      </c>
      <c r="M997">
        <v>8033307981</v>
      </c>
      <c r="N997" t="s">
        <v>31</v>
      </c>
      <c r="O997" t="s">
        <v>7886</v>
      </c>
      <c r="P997" t="s">
        <v>7940</v>
      </c>
      <c r="Q997" t="s">
        <v>63</v>
      </c>
      <c r="R997" t="s">
        <v>33</v>
      </c>
      <c r="S997" t="s">
        <v>34</v>
      </c>
      <c r="T997" s="1">
        <v>812500</v>
      </c>
      <c r="U997">
        <v>0</v>
      </c>
      <c r="V997" s="1">
        <v>162500</v>
      </c>
      <c r="W997" t="s">
        <v>6636</v>
      </c>
    </row>
    <row r="998" spans="1:23" x14ac:dyDescent="0.25">
      <c r="A998">
        <v>4734</v>
      </c>
      <c r="B998" t="s">
        <v>23</v>
      </c>
      <c r="D998">
        <v>1018</v>
      </c>
      <c r="E998" t="s">
        <v>6637</v>
      </c>
      <c r="F998" t="s">
        <v>6638</v>
      </c>
      <c r="G998" t="s">
        <v>6639</v>
      </c>
      <c r="H998" t="s">
        <v>6640</v>
      </c>
      <c r="I998" t="s">
        <v>6641</v>
      </c>
      <c r="J998" t="s">
        <v>28</v>
      </c>
      <c r="K998" t="s">
        <v>6426</v>
      </c>
      <c r="L998" t="s">
        <v>43</v>
      </c>
      <c r="M998">
        <v>7032615176</v>
      </c>
      <c r="N998" t="s">
        <v>45</v>
      </c>
      <c r="O998" t="s">
        <v>7881</v>
      </c>
      <c r="P998" t="s">
        <v>7893</v>
      </c>
      <c r="Q998" t="s">
        <v>63</v>
      </c>
      <c r="R998" t="s">
        <v>33</v>
      </c>
      <c r="S998" t="s">
        <v>34</v>
      </c>
      <c r="T998" s="1">
        <v>552500</v>
      </c>
      <c r="U998">
        <v>0</v>
      </c>
      <c r="V998">
        <v>0</v>
      </c>
      <c r="W998" t="s">
        <v>6642</v>
      </c>
    </row>
    <row r="999" spans="1:23" x14ac:dyDescent="0.25">
      <c r="A999">
        <v>935</v>
      </c>
      <c r="B999" t="s">
        <v>23</v>
      </c>
      <c r="D999">
        <v>1019</v>
      </c>
      <c r="E999" t="s">
        <v>6643</v>
      </c>
      <c r="F999" t="s">
        <v>3199</v>
      </c>
      <c r="G999" t="s">
        <v>98</v>
      </c>
      <c r="H999" t="s">
        <v>6644</v>
      </c>
      <c r="I999" t="s">
        <v>7939</v>
      </c>
      <c r="J999" t="s">
        <v>53</v>
      </c>
      <c r="K999" t="s">
        <v>6645</v>
      </c>
      <c r="L999" t="s">
        <v>43</v>
      </c>
      <c r="M999">
        <v>8033456077</v>
      </c>
      <c r="N999" t="s">
        <v>31</v>
      </c>
      <c r="O999" t="s">
        <v>7886</v>
      </c>
      <c r="P999" t="s">
        <v>7930</v>
      </c>
      <c r="Q999" t="s">
        <v>46</v>
      </c>
      <c r="R999" t="s">
        <v>33</v>
      </c>
      <c r="S999" t="s">
        <v>34</v>
      </c>
      <c r="T999" s="1">
        <v>812500</v>
      </c>
      <c r="U999">
        <v>0</v>
      </c>
      <c r="V999" s="1">
        <v>162500</v>
      </c>
      <c r="W999" t="s">
        <v>6646</v>
      </c>
    </row>
    <row r="1000" spans="1:23" x14ac:dyDescent="0.25">
      <c r="A1000">
        <v>22917</v>
      </c>
      <c r="B1000" t="s">
        <v>23</v>
      </c>
      <c r="D1000">
        <v>1020</v>
      </c>
      <c r="E1000" t="s">
        <v>6647</v>
      </c>
      <c r="F1000" t="s">
        <v>6648</v>
      </c>
      <c r="G1000" t="s">
        <v>1566</v>
      </c>
      <c r="H1000" t="s">
        <v>6649</v>
      </c>
      <c r="I1000" t="s">
        <v>6650</v>
      </c>
      <c r="J1000" t="s">
        <v>28</v>
      </c>
      <c r="K1000" t="s">
        <v>6651</v>
      </c>
      <c r="L1000" t="s">
        <v>43</v>
      </c>
      <c r="M1000" s="2" t="s">
        <v>6652</v>
      </c>
      <c r="N1000" t="s">
        <v>45</v>
      </c>
      <c r="O1000" t="s">
        <v>7879</v>
      </c>
      <c r="P1000" t="s">
        <v>7981</v>
      </c>
      <c r="Q1000" t="s">
        <v>46</v>
      </c>
      <c r="R1000" t="s">
        <v>33</v>
      </c>
      <c r="S1000" t="s">
        <v>34</v>
      </c>
      <c r="T1000" s="1">
        <v>195000</v>
      </c>
      <c r="U1000">
        <v>0</v>
      </c>
      <c r="V1000">
        <v>0</v>
      </c>
      <c r="W1000" t="s">
        <v>6653</v>
      </c>
    </row>
    <row r="1001" spans="1:23" x14ac:dyDescent="0.25">
      <c r="A1001">
        <v>24570</v>
      </c>
      <c r="B1001" t="s">
        <v>23</v>
      </c>
      <c r="D1001">
        <v>1021</v>
      </c>
      <c r="E1001" t="s">
        <v>6654</v>
      </c>
      <c r="F1001" t="s">
        <v>6655</v>
      </c>
      <c r="G1001" t="s">
        <v>234</v>
      </c>
      <c r="H1001" t="s">
        <v>6656</v>
      </c>
      <c r="I1001" t="s">
        <v>6657</v>
      </c>
      <c r="J1001" t="s">
        <v>28</v>
      </c>
      <c r="K1001" t="s">
        <v>6658</v>
      </c>
      <c r="L1001" t="s">
        <v>43</v>
      </c>
      <c r="M1001" s="2" t="s">
        <v>6659</v>
      </c>
      <c r="N1001" t="s">
        <v>31</v>
      </c>
      <c r="O1001" t="s">
        <v>7879</v>
      </c>
      <c r="P1001" t="s">
        <v>8028</v>
      </c>
      <c r="Q1001" t="s">
        <v>46</v>
      </c>
      <c r="R1001" t="s">
        <v>33</v>
      </c>
      <c r="S1001" t="s">
        <v>34</v>
      </c>
      <c r="T1001" s="1">
        <v>195000</v>
      </c>
      <c r="U1001">
        <v>0</v>
      </c>
      <c r="V1001">
        <v>0</v>
      </c>
      <c r="W1001" t="s">
        <v>6660</v>
      </c>
    </row>
    <row r="1002" spans="1:23" x14ac:dyDescent="0.25">
      <c r="A1002">
        <v>23578</v>
      </c>
      <c r="B1002" t="s">
        <v>23</v>
      </c>
      <c r="D1002">
        <v>1022</v>
      </c>
      <c r="E1002" t="s">
        <v>6661</v>
      </c>
      <c r="F1002" t="s">
        <v>6662</v>
      </c>
      <c r="G1002" t="s">
        <v>6663</v>
      </c>
      <c r="H1002" t="s">
        <v>6664</v>
      </c>
      <c r="I1002" t="s">
        <v>6665</v>
      </c>
      <c r="J1002" t="s">
        <v>28</v>
      </c>
      <c r="K1002" t="s">
        <v>6666</v>
      </c>
      <c r="L1002" t="s">
        <v>453</v>
      </c>
      <c r="M1002" s="2" t="s">
        <v>6667</v>
      </c>
      <c r="N1002" t="s">
        <v>31</v>
      </c>
      <c r="O1002" t="s">
        <v>7879</v>
      </c>
      <c r="P1002" t="s">
        <v>7981</v>
      </c>
      <c r="Q1002" t="s">
        <v>455</v>
      </c>
      <c r="R1002" t="s">
        <v>130</v>
      </c>
      <c r="S1002" t="s">
        <v>131</v>
      </c>
      <c r="T1002">
        <v>150</v>
      </c>
      <c r="U1002">
        <v>0</v>
      </c>
      <c r="V1002">
        <v>0</v>
      </c>
      <c r="W1002" t="s">
        <v>6668</v>
      </c>
    </row>
    <row r="1003" spans="1:23" x14ac:dyDescent="0.25">
      <c r="A1003">
        <v>2896</v>
      </c>
      <c r="B1003" t="s">
        <v>23</v>
      </c>
      <c r="D1003">
        <v>1023</v>
      </c>
      <c r="E1003" t="s">
        <v>6669</v>
      </c>
      <c r="F1003" t="s">
        <v>6670</v>
      </c>
      <c r="G1003" t="s">
        <v>6671</v>
      </c>
      <c r="H1003" t="s">
        <v>6672</v>
      </c>
      <c r="I1003" t="s">
        <v>6673</v>
      </c>
      <c r="J1003" t="s">
        <v>53</v>
      </c>
      <c r="K1003" t="s">
        <v>6674</v>
      </c>
      <c r="L1003" t="s">
        <v>43</v>
      </c>
      <c r="M1003" s="2" t="s">
        <v>6675</v>
      </c>
      <c r="N1003" t="s">
        <v>45</v>
      </c>
      <c r="O1003" t="s">
        <v>7886</v>
      </c>
      <c r="P1003" t="s">
        <v>7919</v>
      </c>
      <c r="Q1003" t="s">
        <v>46</v>
      </c>
      <c r="R1003" t="s">
        <v>33</v>
      </c>
      <c r="S1003" t="s">
        <v>34</v>
      </c>
      <c r="T1003" s="1">
        <v>812500</v>
      </c>
      <c r="U1003">
        <v>0</v>
      </c>
      <c r="V1003" s="1">
        <v>162500</v>
      </c>
      <c r="W1003" t="s">
        <v>6676</v>
      </c>
    </row>
    <row r="1004" spans="1:23" x14ac:dyDescent="0.25">
      <c r="A1004">
        <v>24587</v>
      </c>
      <c r="B1004" t="s">
        <v>23</v>
      </c>
      <c r="D1004">
        <v>1024</v>
      </c>
      <c r="E1004" t="s">
        <v>6677</v>
      </c>
      <c r="F1004" t="s">
        <v>6678</v>
      </c>
      <c r="G1004" t="s">
        <v>6679</v>
      </c>
      <c r="H1004" t="s">
        <v>6680</v>
      </c>
      <c r="I1004" t="s">
        <v>6681</v>
      </c>
      <c r="J1004" t="s">
        <v>53</v>
      </c>
      <c r="K1004" t="s">
        <v>6682</v>
      </c>
      <c r="L1004" t="s">
        <v>43</v>
      </c>
      <c r="M1004" s="2" t="s">
        <v>6683</v>
      </c>
      <c r="N1004" t="s">
        <v>31</v>
      </c>
      <c r="O1004" t="s">
        <v>7879</v>
      </c>
      <c r="P1004" t="s">
        <v>7940</v>
      </c>
      <c r="Q1004" t="s">
        <v>87</v>
      </c>
      <c r="R1004" t="s">
        <v>33</v>
      </c>
      <c r="S1004" t="s">
        <v>34</v>
      </c>
      <c r="T1004" s="1">
        <v>195000</v>
      </c>
      <c r="U1004">
        <v>0</v>
      </c>
      <c r="V1004">
        <v>0</v>
      </c>
      <c r="W1004" t="s">
        <v>6684</v>
      </c>
    </row>
    <row r="1005" spans="1:23" x14ac:dyDescent="0.25">
      <c r="A1005">
        <v>9149</v>
      </c>
      <c r="B1005" t="s">
        <v>23</v>
      </c>
      <c r="D1005">
        <v>1025</v>
      </c>
      <c r="E1005" s="11" t="s">
        <v>6685</v>
      </c>
      <c r="F1005" t="s">
        <v>6686</v>
      </c>
      <c r="G1005" t="s">
        <v>6687</v>
      </c>
      <c r="H1005" t="s">
        <v>1463</v>
      </c>
      <c r="I1005" t="s">
        <v>6688</v>
      </c>
      <c r="J1005" t="s">
        <v>53</v>
      </c>
      <c r="K1005" t="s">
        <v>6688</v>
      </c>
      <c r="L1005" t="s">
        <v>43</v>
      </c>
      <c r="M1005">
        <v>2348057184630</v>
      </c>
      <c r="N1005" t="s">
        <v>31</v>
      </c>
      <c r="O1005" t="s">
        <v>7886</v>
      </c>
      <c r="P1005" t="s">
        <v>7901</v>
      </c>
      <c r="Q1005" t="s">
        <v>63</v>
      </c>
      <c r="R1005" t="s">
        <v>33</v>
      </c>
      <c r="S1005" t="s">
        <v>34</v>
      </c>
      <c r="T1005" s="1">
        <v>812500</v>
      </c>
      <c r="U1005">
        <v>0</v>
      </c>
      <c r="V1005" s="1">
        <v>162500</v>
      </c>
      <c r="W1005" t="s">
        <v>6689</v>
      </c>
    </row>
    <row r="1006" spans="1:23" x14ac:dyDescent="0.25">
      <c r="A1006">
        <v>2848</v>
      </c>
      <c r="B1006" t="s">
        <v>23</v>
      </c>
      <c r="D1006">
        <v>1026</v>
      </c>
      <c r="E1006" t="s">
        <v>6690</v>
      </c>
      <c r="F1006" t="s">
        <v>6691</v>
      </c>
      <c r="G1006" t="s">
        <v>6692</v>
      </c>
      <c r="H1006" t="s">
        <v>6693</v>
      </c>
      <c r="I1006" t="s">
        <v>6694</v>
      </c>
      <c r="J1006" t="s">
        <v>53</v>
      </c>
      <c r="K1006" t="s">
        <v>8025</v>
      </c>
      <c r="L1006" t="s">
        <v>43</v>
      </c>
      <c r="M1006" s="2" t="s">
        <v>6695</v>
      </c>
      <c r="N1006" t="s">
        <v>45</v>
      </c>
      <c r="O1006" t="s">
        <v>7881</v>
      </c>
      <c r="P1006" t="s">
        <v>7981</v>
      </c>
      <c r="Q1006" t="s">
        <v>46</v>
      </c>
      <c r="R1006" t="s">
        <v>33</v>
      </c>
      <c r="S1006" t="s">
        <v>34</v>
      </c>
      <c r="T1006" s="1">
        <v>552500</v>
      </c>
      <c r="U1006">
        <v>0</v>
      </c>
      <c r="V1006">
        <v>0</v>
      </c>
      <c r="W1006" t="s">
        <v>6696</v>
      </c>
    </row>
    <row r="1007" spans="1:23" x14ac:dyDescent="0.25">
      <c r="A1007">
        <v>21301</v>
      </c>
      <c r="B1007" t="s">
        <v>23</v>
      </c>
      <c r="D1007">
        <v>1027</v>
      </c>
      <c r="E1007" t="s">
        <v>6697</v>
      </c>
      <c r="F1007" t="s">
        <v>6698</v>
      </c>
      <c r="G1007" t="s">
        <v>6699</v>
      </c>
      <c r="H1007" t="s">
        <v>6700</v>
      </c>
      <c r="I1007" t="s">
        <v>6701</v>
      </c>
      <c r="J1007" t="s">
        <v>53</v>
      </c>
      <c r="K1007" t="s">
        <v>6701</v>
      </c>
      <c r="L1007" t="s">
        <v>43</v>
      </c>
      <c r="M1007">
        <v>2348105379084</v>
      </c>
      <c r="N1007" t="s">
        <v>31</v>
      </c>
      <c r="O1007" t="s">
        <v>7881</v>
      </c>
      <c r="P1007" t="s">
        <v>7893</v>
      </c>
      <c r="Q1007" t="s">
        <v>46</v>
      </c>
      <c r="R1007" t="s">
        <v>33</v>
      </c>
      <c r="S1007" t="s">
        <v>34</v>
      </c>
      <c r="T1007" s="1">
        <v>552500</v>
      </c>
      <c r="U1007">
        <v>0</v>
      </c>
      <c r="V1007">
        <v>0</v>
      </c>
      <c r="W1007" t="s">
        <v>6702</v>
      </c>
    </row>
    <row r="1008" spans="1:23" x14ac:dyDescent="0.25">
      <c r="A1008">
        <v>19596</v>
      </c>
      <c r="B1008" t="s">
        <v>23</v>
      </c>
      <c r="D1008">
        <v>1028</v>
      </c>
      <c r="E1008" t="s">
        <v>6703</v>
      </c>
      <c r="F1008" t="s">
        <v>1978</v>
      </c>
      <c r="G1008" t="s">
        <v>6704</v>
      </c>
      <c r="H1008" t="s">
        <v>3161</v>
      </c>
      <c r="I1008" t="s">
        <v>6705</v>
      </c>
      <c r="J1008" t="s">
        <v>53</v>
      </c>
      <c r="K1008" t="s">
        <v>6706</v>
      </c>
      <c r="L1008" t="s">
        <v>43</v>
      </c>
      <c r="M1008" s="2" t="s">
        <v>6707</v>
      </c>
      <c r="N1008" t="s">
        <v>31</v>
      </c>
      <c r="O1008" t="s">
        <v>7886</v>
      </c>
      <c r="P1008" t="s">
        <v>7940</v>
      </c>
      <c r="Q1008" t="s">
        <v>63</v>
      </c>
      <c r="R1008" t="s">
        <v>33</v>
      </c>
      <c r="S1008" t="s">
        <v>34</v>
      </c>
      <c r="T1008" s="1">
        <v>812500</v>
      </c>
      <c r="U1008">
        <v>0</v>
      </c>
      <c r="V1008" s="1">
        <v>162500</v>
      </c>
      <c r="W1008" t="s">
        <v>6708</v>
      </c>
    </row>
    <row r="1009" spans="1:23" x14ac:dyDescent="0.25">
      <c r="A1009">
        <v>4019</v>
      </c>
      <c r="B1009" t="s">
        <v>23</v>
      </c>
      <c r="D1009">
        <v>1029</v>
      </c>
      <c r="E1009" t="s">
        <v>6709</v>
      </c>
      <c r="F1009" t="s">
        <v>6710</v>
      </c>
      <c r="G1009" t="s">
        <v>1692</v>
      </c>
      <c r="H1009" t="s">
        <v>783</v>
      </c>
      <c r="I1009" t="s">
        <v>6711</v>
      </c>
      <c r="J1009" t="s">
        <v>28</v>
      </c>
      <c r="K1009" t="s">
        <v>3456</v>
      </c>
      <c r="L1009" t="s">
        <v>43</v>
      </c>
      <c r="M1009">
        <v>8033125679</v>
      </c>
      <c r="N1009" t="s">
        <v>31</v>
      </c>
      <c r="O1009" t="s">
        <v>7886</v>
      </c>
      <c r="P1009" t="s">
        <v>7940</v>
      </c>
      <c r="Q1009" t="s">
        <v>63</v>
      </c>
      <c r="R1009" t="s">
        <v>33</v>
      </c>
      <c r="S1009" t="s">
        <v>34</v>
      </c>
      <c r="T1009" s="1">
        <v>812500</v>
      </c>
      <c r="U1009">
        <v>0</v>
      </c>
      <c r="V1009" s="1">
        <v>162500</v>
      </c>
      <c r="W1009" t="s">
        <v>6712</v>
      </c>
    </row>
    <row r="1010" spans="1:23" x14ac:dyDescent="0.25">
      <c r="A1010">
        <v>1870</v>
      </c>
      <c r="B1010" t="s">
        <v>23</v>
      </c>
      <c r="D1010">
        <v>1030</v>
      </c>
      <c r="E1010" t="s">
        <v>6713</v>
      </c>
      <c r="F1010" t="s">
        <v>6714</v>
      </c>
      <c r="G1010" t="s">
        <v>6715</v>
      </c>
      <c r="H1010" t="s">
        <v>6716</v>
      </c>
      <c r="I1010" t="s">
        <v>6717</v>
      </c>
      <c r="J1010" t="s">
        <v>28</v>
      </c>
      <c r="K1010" t="s">
        <v>6718</v>
      </c>
      <c r="L1010" t="s">
        <v>43</v>
      </c>
      <c r="M1010" t="s">
        <v>6719</v>
      </c>
      <c r="N1010" t="s">
        <v>31</v>
      </c>
      <c r="O1010" t="s">
        <v>7886</v>
      </c>
      <c r="P1010" t="s">
        <v>7940</v>
      </c>
      <c r="Q1010" t="s">
        <v>63</v>
      </c>
      <c r="R1010" t="s">
        <v>33</v>
      </c>
      <c r="S1010" t="s">
        <v>34</v>
      </c>
      <c r="T1010" s="1">
        <v>812500</v>
      </c>
      <c r="U1010">
        <v>0</v>
      </c>
      <c r="V1010" s="1">
        <v>162500</v>
      </c>
      <c r="W1010" t="s">
        <v>6720</v>
      </c>
    </row>
    <row r="1011" spans="1:23" x14ac:dyDescent="0.25">
      <c r="A1011">
        <v>23908</v>
      </c>
      <c r="B1011" t="s">
        <v>23</v>
      </c>
      <c r="D1011">
        <v>1031</v>
      </c>
      <c r="E1011" t="s">
        <v>6721</v>
      </c>
      <c r="F1011" t="s">
        <v>2028</v>
      </c>
      <c r="G1011" t="s">
        <v>1440</v>
      </c>
      <c r="I1011" t="s">
        <v>6722</v>
      </c>
      <c r="J1011" t="s">
        <v>28</v>
      </c>
      <c r="K1011" t="s">
        <v>2878</v>
      </c>
      <c r="L1011" t="s">
        <v>43</v>
      </c>
      <c r="M1011" s="2" t="s">
        <v>6723</v>
      </c>
      <c r="N1011" t="s">
        <v>31</v>
      </c>
      <c r="O1011" t="s">
        <v>7879</v>
      </c>
      <c r="P1011" t="s">
        <v>7940</v>
      </c>
      <c r="Q1011" t="s">
        <v>46</v>
      </c>
      <c r="R1011" t="s">
        <v>33</v>
      </c>
      <c r="S1011" t="s">
        <v>34</v>
      </c>
      <c r="T1011" s="1">
        <v>195000</v>
      </c>
      <c r="U1011">
        <v>0</v>
      </c>
      <c r="V1011">
        <v>0</v>
      </c>
      <c r="W1011" t="s">
        <v>6724</v>
      </c>
    </row>
    <row r="1012" spans="1:23" x14ac:dyDescent="0.25">
      <c r="A1012">
        <v>19341</v>
      </c>
      <c r="B1012" t="s">
        <v>23</v>
      </c>
      <c r="D1012">
        <v>1032</v>
      </c>
      <c r="E1012" t="s">
        <v>6725</v>
      </c>
      <c r="F1012" t="s">
        <v>2230</v>
      </c>
      <c r="G1012" t="s">
        <v>6726</v>
      </c>
      <c r="H1012" t="s">
        <v>6727</v>
      </c>
      <c r="I1012" t="s">
        <v>6728</v>
      </c>
      <c r="J1012" t="s">
        <v>53</v>
      </c>
      <c r="K1012" t="s">
        <v>6729</v>
      </c>
      <c r="L1012" t="s">
        <v>43</v>
      </c>
      <c r="M1012">
        <v>2348102805799</v>
      </c>
      <c r="N1012" t="s">
        <v>31</v>
      </c>
      <c r="O1012" t="s">
        <v>7879</v>
      </c>
      <c r="P1012" t="s">
        <v>7888</v>
      </c>
      <c r="Q1012" t="s">
        <v>46</v>
      </c>
      <c r="R1012" t="s">
        <v>33</v>
      </c>
      <c r="S1012" t="s">
        <v>34</v>
      </c>
      <c r="T1012" s="1">
        <v>195000</v>
      </c>
      <c r="U1012">
        <v>0</v>
      </c>
      <c r="V1012">
        <v>0</v>
      </c>
      <c r="W1012" t="s">
        <v>6730</v>
      </c>
    </row>
    <row r="1013" spans="1:23" x14ac:dyDescent="0.25">
      <c r="A1013">
        <v>9203</v>
      </c>
      <c r="B1013" t="s">
        <v>23</v>
      </c>
      <c r="D1013">
        <v>1033</v>
      </c>
      <c r="E1013" t="s">
        <v>6731</v>
      </c>
      <c r="F1013" t="s">
        <v>6732</v>
      </c>
      <c r="G1013" t="s">
        <v>6733</v>
      </c>
      <c r="H1013" t="s">
        <v>6734</v>
      </c>
      <c r="I1013" t="s">
        <v>6735</v>
      </c>
      <c r="J1013" t="s">
        <v>28</v>
      </c>
      <c r="K1013" t="s">
        <v>6736</v>
      </c>
      <c r="L1013" t="s">
        <v>43</v>
      </c>
      <c r="M1013">
        <v>8063007723</v>
      </c>
      <c r="N1013" t="s">
        <v>31</v>
      </c>
      <c r="O1013" t="s">
        <v>7886</v>
      </c>
      <c r="P1013" t="s">
        <v>7940</v>
      </c>
      <c r="Q1013" t="s">
        <v>63</v>
      </c>
      <c r="R1013" t="s">
        <v>33</v>
      </c>
      <c r="S1013" t="s">
        <v>34</v>
      </c>
      <c r="T1013" s="1">
        <v>812500</v>
      </c>
      <c r="U1013">
        <v>0</v>
      </c>
      <c r="V1013" s="1">
        <v>162500</v>
      </c>
      <c r="W1013" t="s">
        <v>6737</v>
      </c>
    </row>
    <row r="1014" spans="1:23" x14ac:dyDescent="0.25">
      <c r="A1014">
        <v>10890</v>
      </c>
      <c r="B1014" t="s">
        <v>23</v>
      </c>
      <c r="D1014">
        <v>1034</v>
      </c>
      <c r="E1014" t="s">
        <v>6738</v>
      </c>
      <c r="F1014" t="s">
        <v>6739</v>
      </c>
      <c r="G1014" t="s">
        <v>6740</v>
      </c>
      <c r="H1014" t="s">
        <v>346</v>
      </c>
      <c r="I1014" t="s">
        <v>6741</v>
      </c>
      <c r="J1014" t="s">
        <v>28</v>
      </c>
      <c r="K1014" t="s">
        <v>6742</v>
      </c>
      <c r="L1014" t="s">
        <v>43</v>
      </c>
      <c r="M1014">
        <v>8035600614</v>
      </c>
      <c r="N1014" t="s">
        <v>31</v>
      </c>
      <c r="O1014" t="s">
        <v>7886</v>
      </c>
      <c r="P1014" t="s">
        <v>7894</v>
      </c>
      <c r="Q1014" t="s">
        <v>63</v>
      </c>
      <c r="R1014" t="s">
        <v>33</v>
      </c>
      <c r="S1014" t="s">
        <v>34</v>
      </c>
      <c r="T1014" s="1">
        <v>812500</v>
      </c>
      <c r="U1014">
        <v>0</v>
      </c>
      <c r="V1014" s="1">
        <v>162500</v>
      </c>
      <c r="W1014" t="s">
        <v>6743</v>
      </c>
    </row>
    <row r="1015" spans="1:23" x14ac:dyDescent="0.25">
      <c r="A1015">
        <v>24605</v>
      </c>
      <c r="B1015" t="s">
        <v>23</v>
      </c>
      <c r="D1015">
        <v>1035</v>
      </c>
      <c r="E1015" t="s">
        <v>6744</v>
      </c>
      <c r="F1015" t="s">
        <v>2628</v>
      </c>
      <c r="G1015" t="s">
        <v>91</v>
      </c>
      <c r="H1015" t="s">
        <v>6745</v>
      </c>
      <c r="I1015" t="s">
        <v>6746</v>
      </c>
      <c r="J1015" t="s">
        <v>28</v>
      </c>
      <c r="K1015" t="s">
        <v>364</v>
      </c>
      <c r="L1015" t="s">
        <v>43</v>
      </c>
      <c r="M1015" t="s">
        <v>6747</v>
      </c>
      <c r="N1015" t="s">
        <v>31</v>
      </c>
      <c r="O1015" t="s">
        <v>7879</v>
      </c>
      <c r="P1015" t="s">
        <v>7888</v>
      </c>
      <c r="Q1015" t="s">
        <v>46</v>
      </c>
      <c r="R1015" t="s">
        <v>33</v>
      </c>
      <c r="S1015" t="s">
        <v>34</v>
      </c>
      <c r="T1015" s="1">
        <v>195000</v>
      </c>
      <c r="U1015">
        <v>0</v>
      </c>
      <c r="V1015">
        <v>0</v>
      </c>
      <c r="W1015" t="s">
        <v>6748</v>
      </c>
    </row>
    <row r="1016" spans="1:23" x14ac:dyDescent="0.25">
      <c r="A1016">
        <v>11176</v>
      </c>
      <c r="B1016" t="s">
        <v>23</v>
      </c>
      <c r="D1016">
        <v>1036</v>
      </c>
      <c r="E1016" t="s">
        <v>6749</v>
      </c>
      <c r="F1016" t="s">
        <v>6750</v>
      </c>
      <c r="G1016" t="s">
        <v>6751</v>
      </c>
      <c r="H1016" t="s">
        <v>6752</v>
      </c>
      <c r="I1016" t="s">
        <v>6753</v>
      </c>
      <c r="J1016" t="s">
        <v>28</v>
      </c>
      <c r="K1016" t="s">
        <v>6754</v>
      </c>
      <c r="L1016" t="s">
        <v>43</v>
      </c>
      <c r="M1016">
        <v>7037598790</v>
      </c>
      <c r="N1016" t="s">
        <v>31</v>
      </c>
      <c r="O1016" t="s">
        <v>7881</v>
      </c>
      <c r="P1016" t="s">
        <v>7893</v>
      </c>
      <c r="Q1016" t="s">
        <v>46</v>
      </c>
      <c r="R1016" t="s">
        <v>33</v>
      </c>
      <c r="S1016" t="s">
        <v>34</v>
      </c>
      <c r="T1016" s="1">
        <v>552500</v>
      </c>
      <c r="U1016">
        <v>0</v>
      </c>
      <c r="V1016">
        <v>0</v>
      </c>
      <c r="W1016" t="s">
        <v>6755</v>
      </c>
    </row>
    <row r="1017" spans="1:23" x14ac:dyDescent="0.25">
      <c r="A1017">
        <v>24509</v>
      </c>
      <c r="B1017" t="s">
        <v>23</v>
      </c>
      <c r="D1017">
        <v>1037</v>
      </c>
      <c r="E1017" t="s">
        <v>6756</v>
      </c>
      <c r="F1017" t="s">
        <v>6757</v>
      </c>
      <c r="G1017" t="s">
        <v>6758</v>
      </c>
      <c r="H1017" t="s">
        <v>6759</v>
      </c>
      <c r="I1017" t="s">
        <v>6760</v>
      </c>
      <c r="J1017" t="s">
        <v>53</v>
      </c>
      <c r="K1017" t="s">
        <v>6761</v>
      </c>
      <c r="L1017" t="s">
        <v>453</v>
      </c>
      <c r="M1017" s="2" t="s">
        <v>6762</v>
      </c>
      <c r="N1017" t="s">
        <v>31</v>
      </c>
      <c r="O1017" t="s">
        <v>7879</v>
      </c>
      <c r="P1017" t="s">
        <v>7981</v>
      </c>
      <c r="Q1017" t="s">
        <v>455</v>
      </c>
      <c r="R1017" t="s">
        <v>130</v>
      </c>
      <c r="S1017" t="s">
        <v>131</v>
      </c>
      <c r="T1017">
        <v>150</v>
      </c>
      <c r="U1017">
        <v>0</v>
      </c>
      <c r="V1017">
        <v>0</v>
      </c>
      <c r="W1017" t="s">
        <v>6763</v>
      </c>
    </row>
    <row r="1018" spans="1:23" x14ac:dyDescent="0.25">
      <c r="A1018">
        <v>24610</v>
      </c>
      <c r="B1018" t="s">
        <v>23</v>
      </c>
      <c r="D1018">
        <v>1039</v>
      </c>
      <c r="E1018" t="s">
        <v>6764</v>
      </c>
      <c r="F1018" t="s">
        <v>6765</v>
      </c>
      <c r="G1018" t="s">
        <v>6766</v>
      </c>
      <c r="H1018" t="s">
        <v>6767</v>
      </c>
      <c r="I1018" t="s">
        <v>6768</v>
      </c>
      <c r="J1018" t="s">
        <v>53</v>
      </c>
      <c r="K1018" t="s">
        <v>6769</v>
      </c>
      <c r="L1018" t="s">
        <v>453</v>
      </c>
      <c r="M1018" s="2" t="s">
        <v>6770</v>
      </c>
      <c r="N1018" t="s">
        <v>31</v>
      </c>
      <c r="O1018" t="s">
        <v>7879</v>
      </c>
      <c r="P1018" t="s">
        <v>7940</v>
      </c>
      <c r="Q1018" t="s">
        <v>455</v>
      </c>
      <c r="R1018" t="s">
        <v>130</v>
      </c>
      <c r="S1018" t="s">
        <v>131</v>
      </c>
      <c r="T1018">
        <v>150</v>
      </c>
      <c r="U1018">
        <v>0</v>
      </c>
      <c r="V1018">
        <v>0</v>
      </c>
      <c r="W1018" t="s">
        <v>6771</v>
      </c>
    </row>
    <row r="1019" spans="1:23" x14ac:dyDescent="0.25">
      <c r="A1019">
        <v>24599</v>
      </c>
      <c r="B1019" t="s">
        <v>23</v>
      </c>
      <c r="D1019">
        <v>1040</v>
      </c>
      <c r="E1019" t="s">
        <v>6772</v>
      </c>
      <c r="F1019" t="s">
        <v>6773</v>
      </c>
      <c r="G1019" t="s">
        <v>6774</v>
      </c>
      <c r="H1019" t="s">
        <v>6700</v>
      </c>
      <c r="I1019" t="s">
        <v>6775</v>
      </c>
      <c r="J1019" t="s">
        <v>53</v>
      </c>
      <c r="K1019" t="s">
        <v>6776</v>
      </c>
      <c r="L1019" t="s">
        <v>453</v>
      </c>
      <c r="M1019" t="s">
        <v>6777</v>
      </c>
      <c r="N1019" t="s">
        <v>31</v>
      </c>
      <c r="O1019" t="s">
        <v>7879</v>
      </c>
      <c r="P1019" t="s">
        <v>8028</v>
      </c>
      <c r="Q1019" t="s">
        <v>455</v>
      </c>
      <c r="R1019" t="s">
        <v>130</v>
      </c>
      <c r="S1019" t="s">
        <v>131</v>
      </c>
      <c r="T1019">
        <v>150</v>
      </c>
      <c r="U1019">
        <v>0</v>
      </c>
      <c r="V1019">
        <v>0</v>
      </c>
      <c r="W1019" t="s">
        <v>6778</v>
      </c>
    </row>
    <row r="1020" spans="1:23" x14ac:dyDescent="0.25">
      <c r="A1020">
        <v>24348</v>
      </c>
      <c r="B1020" t="s">
        <v>23</v>
      </c>
      <c r="D1020">
        <v>1041</v>
      </c>
      <c r="E1020" t="s">
        <v>6779</v>
      </c>
      <c r="F1020" t="s">
        <v>1935</v>
      </c>
      <c r="G1020" t="s">
        <v>6780</v>
      </c>
      <c r="I1020" t="s">
        <v>6781</v>
      </c>
      <c r="J1020" t="s">
        <v>28</v>
      </c>
      <c r="K1020" t="s">
        <v>6782</v>
      </c>
      <c r="L1020" t="s">
        <v>453</v>
      </c>
      <c r="M1020">
        <v>233244835801</v>
      </c>
      <c r="N1020" t="s">
        <v>31</v>
      </c>
      <c r="O1020" t="s">
        <v>7879</v>
      </c>
      <c r="P1020" t="s">
        <v>7940</v>
      </c>
      <c r="Q1020" t="s">
        <v>455</v>
      </c>
      <c r="R1020" t="s">
        <v>130</v>
      </c>
      <c r="S1020" t="s">
        <v>131</v>
      </c>
      <c r="T1020">
        <v>150</v>
      </c>
      <c r="U1020">
        <v>0</v>
      </c>
      <c r="V1020">
        <v>0</v>
      </c>
      <c r="W1020" t="s">
        <v>6783</v>
      </c>
    </row>
    <row r="1021" spans="1:23" x14ac:dyDescent="0.25">
      <c r="A1021">
        <v>22957</v>
      </c>
      <c r="B1021" t="s">
        <v>23</v>
      </c>
      <c r="D1021">
        <v>1042</v>
      </c>
      <c r="E1021" t="s">
        <v>6784</v>
      </c>
      <c r="F1021" t="s">
        <v>6785</v>
      </c>
      <c r="G1021" t="s">
        <v>672</v>
      </c>
      <c r="H1021" t="s">
        <v>6786</v>
      </c>
      <c r="I1021" t="s">
        <v>6787</v>
      </c>
      <c r="J1021" t="s">
        <v>53</v>
      </c>
      <c r="K1021" t="s">
        <v>6788</v>
      </c>
      <c r="L1021" t="s">
        <v>6789</v>
      </c>
      <c r="M1021">
        <v>231886965551</v>
      </c>
      <c r="N1021" t="s">
        <v>31</v>
      </c>
      <c r="O1021" t="s">
        <v>7881</v>
      </c>
      <c r="P1021" t="s">
        <v>8028</v>
      </c>
      <c r="Q1021" t="s">
        <v>6790</v>
      </c>
      <c r="R1021" t="s">
        <v>130</v>
      </c>
      <c r="S1021" t="s">
        <v>131</v>
      </c>
      <c r="T1021">
        <v>425</v>
      </c>
      <c r="U1021">
        <v>0</v>
      </c>
      <c r="V1021">
        <v>0</v>
      </c>
      <c r="W1021" t="s">
        <v>6791</v>
      </c>
    </row>
    <row r="1022" spans="1:23" x14ac:dyDescent="0.25">
      <c r="A1022">
        <v>21658</v>
      </c>
      <c r="B1022" t="s">
        <v>23</v>
      </c>
      <c r="D1022">
        <v>1043</v>
      </c>
      <c r="E1022" t="s">
        <v>6792</v>
      </c>
      <c r="F1022" t="s">
        <v>6793</v>
      </c>
      <c r="G1022" t="s">
        <v>6794</v>
      </c>
      <c r="H1022" t="s">
        <v>6795</v>
      </c>
      <c r="I1022" t="s">
        <v>6796</v>
      </c>
      <c r="J1022" t="s">
        <v>53</v>
      </c>
      <c r="K1022" t="s">
        <v>6797</v>
      </c>
      <c r="L1022" t="s">
        <v>6789</v>
      </c>
      <c r="M1022">
        <v>231886930670</v>
      </c>
      <c r="N1022" t="s">
        <v>31</v>
      </c>
      <c r="O1022" t="s">
        <v>7881</v>
      </c>
      <c r="P1022" t="s">
        <v>8028</v>
      </c>
      <c r="Q1022" t="s">
        <v>6790</v>
      </c>
      <c r="R1022" t="s">
        <v>130</v>
      </c>
      <c r="S1022" t="s">
        <v>131</v>
      </c>
      <c r="T1022">
        <v>425</v>
      </c>
      <c r="U1022">
        <v>0</v>
      </c>
      <c r="V1022">
        <v>0</v>
      </c>
      <c r="W1022" t="s">
        <v>6798</v>
      </c>
    </row>
    <row r="1023" spans="1:23" x14ac:dyDescent="0.25">
      <c r="A1023">
        <v>18316</v>
      </c>
      <c r="B1023" t="s">
        <v>23</v>
      </c>
      <c r="D1023">
        <v>1044</v>
      </c>
      <c r="E1023" t="s">
        <v>6799</v>
      </c>
      <c r="F1023" t="s">
        <v>6800</v>
      </c>
      <c r="G1023" t="s">
        <v>3313</v>
      </c>
      <c r="I1023" t="s">
        <v>6801</v>
      </c>
      <c r="J1023" t="s">
        <v>53</v>
      </c>
      <c r="K1023" t="s">
        <v>6802</v>
      </c>
      <c r="L1023" t="s">
        <v>6789</v>
      </c>
      <c r="M1023">
        <v>231886737325</v>
      </c>
      <c r="N1023" t="s">
        <v>31</v>
      </c>
      <c r="O1023" t="s">
        <v>7881</v>
      </c>
      <c r="P1023" t="s">
        <v>8028</v>
      </c>
      <c r="Q1023" t="s">
        <v>6790</v>
      </c>
      <c r="R1023" t="s">
        <v>130</v>
      </c>
      <c r="S1023" t="s">
        <v>131</v>
      </c>
      <c r="T1023">
        <v>425</v>
      </c>
      <c r="U1023">
        <v>0</v>
      </c>
      <c r="V1023">
        <v>0</v>
      </c>
      <c r="W1023" t="s">
        <v>6803</v>
      </c>
    </row>
    <row r="1024" spans="1:23" x14ac:dyDescent="0.25">
      <c r="A1024">
        <v>21779</v>
      </c>
      <c r="B1024" t="s">
        <v>23</v>
      </c>
      <c r="D1024">
        <v>1045</v>
      </c>
      <c r="E1024" t="s">
        <v>6804</v>
      </c>
      <c r="F1024" t="s">
        <v>6805</v>
      </c>
      <c r="G1024" t="s">
        <v>6806</v>
      </c>
      <c r="H1024" t="s">
        <v>6807</v>
      </c>
      <c r="I1024" t="s">
        <v>6808</v>
      </c>
      <c r="J1024" t="s">
        <v>28</v>
      </c>
      <c r="K1024" t="s">
        <v>6809</v>
      </c>
      <c r="L1024" t="s">
        <v>6789</v>
      </c>
      <c r="M1024">
        <v>231886741103</v>
      </c>
      <c r="N1024" t="s">
        <v>31</v>
      </c>
      <c r="O1024" t="s">
        <v>7881</v>
      </c>
      <c r="P1024" t="s">
        <v>8028</v>
      </c>
      <c r="Q1024" t="s">
        <v>6790</v>
      </c>
      <c r="R1024" t="s">
        <v>130</v>
      </c>
      <c r="S1024" t="s">
        <v>131</v>
      </c>
      <c r="T1024">
        <v>425</v>
      </c>
      <c r="U1024">
        <v>0</v>
      </c>
      <c r="V1024">
        <v>0</v>
      </c>
      <c r="W1024" t="s">
        <v>6810</v>
      </c>
    </row>
  </sheetData>
  <autoFilter ref="A1:W1024" xr:uid="{4D966CC7-D91C-41C2-834C-11CEE9259AC9}"/>
  <hyperlinks>
    <hyperlink ref="E804" r:id="rId1" xr:uid="{75651828-B189-4C41-9584-5DAEE3D9617F}"/>
    <hyperlink ref="E527" r:id="rId2" xr:uid="{489D4015-1832-4336-A652-1F41031C612E}"/>
    <hyperlink ref="E1005" r:id="rId3" xr:uid="{023294C9-2FB5-4B51-959E-0FD3AA2B8867}"/>
    <hyperlink ref="E647" r:id="rId4" xr:uid="{09B35E44-205F-439E-B021-916A9274FBA1}"/>
    <hyperlink ref="E766" r:id="rId5" xr:uid="{D559BC89-3B7A-49BF-A1FE-71C08439EBB8}"/>
    <hyperlink ref="E552" r:id="rId6" xr:uid="{90C9CFAF-DA83-4111-AA33-70C5CC4549CE}"/>
    <hyperlink ref="E484" r:id="rId7" xr:uid="{692A27EC-CFE7-4D73-90F0-85E1847DC711}"/>
    <hyperlink ref="E483" r:id="rId8" xr:uid="{ADB9B63C-6E4D-491E-80B8-355907B25EA7}"/>
    <hyperlink ref="E767" r:id="rId9" xr:uid="{7B0D35C7-8164-4E7A-A7EB-80B4F2302917}"/>
    <hyperlink ref="E675" r:id="rId10" xr:uid="{F62A4908-F8AB-49F0-B9DA-F15DA9825ACD}"/>
    <hyperlink ref="E553" r:id="rId11" xr:uid="{A0BDFB10-0EB5-405B-BC9F-7C7963BFFC09}"/>
    <hyperlink ref="E505" r:id="rId12" xr:uid="{EF00EDF1-BE71-44C7-8AE6-D378205B2420}"/>
    <hyperlink ref="E551" r:id="rId13" xr:uid="{259E9BD7-EBBF-4C0D-A091-5F526FDA6B58}"/>
    <hyperlink ref="E537" r:id="rId14" xr:uid="{AD8AC7E7-08FA-476B-B6E5-FD28FB6D8D11}"/>
    <hyperlink ref="E548" r:id="rId15" xr:uid="{83E1C69D-A6B4-4E39-9DD7-1DA8879831A0}"/>
    <hyperlink ref="E535" r:id="rId16" xr:uid="{01F41C26-454E-447D-8D05-7261AB4EFDA1}"/>
    <hyperlink ref="E534" r:id="rId17" xr:uid="{E8879542-BE94-4973-AAC5-DDAD07C9078B}"/>
    <hyperlink ref="E547" r:id="rId18" xr:uid="{26354256-878A-4B34-A5E0-81C9BA0437DD}"/>
    <hyperlink ref="E545" r:id="rId19" xr:uid="{22D46723-EB74-4E93-A7CA-24FA4274FDA4}"/>
    <hyperlink ref="E544" r:id="rId20" xr:uid="{64FA6381-4550-42A1-B4CC-2B5558FEBBFC}"/>
    <hyperlink ref="E541" r:id="rId21" xr:uid="{43F67C38-A300-41E0-BCAE-C9F5BA83E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FECCC-315C-4476-8277-A4FA31C926A2}">
  <dimension ref="A1:U1045"/>
  <sheetViews>
    <sheetView workbookViewId="0">
      <selection activeCell="K12" sqref="K12"/>
    </sheetView>
  </sheetViews>
  <sheetFormatPr defaultRowHeight="15" x14ac:dyDescent="0.25"/>
  <cols>
    <col min="1" max="1" width="9.5703125" customWidth="1"/>
    <col min="2" max="2" width="9.28515625" bestFit="1" customWidth="1"/>
    <col min="3" max="3" width="29.5703125" customWidth="1"/>
    <col min="4" max="4" width="34" customWidth="1"/>
    <col min="5" max="5" width="20.140625" customWidth="1"/>
    <col min="6" max="6" width="9.85546875" customWidth="1"/>
    <col min="7" max="7" width="22.140625" customWidth="1"/>
    <col min="8" max="8" width="13.28515625" customWidth="1"/>
    <col min="9" max="9" width="16" style="12" customWidth="1"/>
    <col min="10" max="10" width="12" customWidth="1"/>
    <col min="11" max="11" width="15.28515625" customWidth="1"/>
    <col min="12" max="12" width="27.5703125" customWidth="1"/>
    <col min="13" max="13" width="14.7109375" customWidth="1"/>
    <col min="14" max="14" width="11.42578125" customWidth="1"/>
    <col min="15" max="15" width="18.42578125" style="17" customWidth="1"/>
    <col min="16" max="16" width="11.5703125" style="17" customWidth="1"/>
    <col min="17" max="17" width="13" style="22" customWidth="1"/>
    <col min="18" max="18" width="11.42578125" style="22" customWidth="1"/>
    <col min="19" max="19" width="16.28515625" style="24" customWidth="1"/>
    <col min="20" max="20" width="14.5703125" style="24" customWidth="1"/>
    <col min="21" max="21" width="28.7109375" customWidth="1"/>
  </cols>
  <sheetData>
    <row r="1" spans="1:21" ht="38.25" customHeight="1" x14ac:dyDescent="0.25">
      <c r="A1" s="18" t="s">
        <v>7840</v>
      </c>
      <c r="B1" s="18" t="s">
        <v>0</v>
      </c>
      <c r="C1" s="18" t="s">
        <v>7839</v>
      </c>
      <c r="D1" s="18" t="s">
        <v>7838</v>
      </c>
      <c r="E1" s="18" t="s">
        <v>7841</v>
      </c>
      <c r="F1" s="18" t="s">
        <v>7842</v>
      </c>
      <c r="G1" s="18" t="s">
        <v>7843</v>
      </c>
      <c r="H1" s="18" t="s">
        <v>7844</v>
      </c>
      <c r="I1" s="19" t="s">
        <v>7845</v>
      </c>
      <c r="J1" s="18" t="s">
        <v>7846</v>
      </c>
      <c r="K1" s="18" t="s">
        <v>7847</v>
      </c>
      <c r="L1" s="18" t="s">
        <v>7848</v>
      </c>
      <c r="M1" s="18" t="s">
        <v>7849</v>
      </c>
      <c r="N1" s="18" t="s">
        <v>7850</v>
      </c>
      <c r="O1" s="20" t="s">
        <v>7852</v>
      </c>
      <c r="P1" s="20" t="s">
        <v>7853</v>
      </c>
      <c r="Q1" s="21" t="s">
        <v>7855</v>
      </c>
      <c r="R1" s="21" t="s">
        <v>7856</v>
      </c>
      <c r="S1" s="23" t="s">
        <v>7857</v>
      </c>
      <c r="T1" s="23" t="s">
        <v>7858</v>
      </c>
      <c r="U1" s="18" t="s">
        <v>7851</v>
      </c>
    </row>
    <row r="2" spans="1:21" x14ac:dyDescent="0.25">
      <c r="A2">
        <v>1</v>
      </c>
      <c r="B2">
        <v>19234</v>
      </c>
      <c r="C2" t="s">
        <v>24</v>
      </c>
      <c r="D2" t="s">
        <v>6816</v>
      </c>
      <c r="E2" t="s">
        <v>27</v>
      </c>
      <c r="F2" t="s">
        <v>28</v>
      </c>
      <c r="G2" t="s">
        <v>29</v>
      </c>
      <c r="H2" t="s">
        <v>30</v>
      </c>
      <c r="I2" s="12">
        <v>2202141199</v>
      </c>
      <c r="J2" t="s">
        <v>31</v>
      </c>
      <c r="K2" t="s">
        <v>7881</v>
      </c>
      <c r="L2" t="s">
        <v>7940</v>
      </c>
      <c r="M2" t="s">
        <v>32</v>
      </c>
      <c r="N2" t="s">
        <v>33</v>
      </c>
      <c r="O2" s="17">
        <v>552500</v>
      </c>
      <c r="P2" s="17" t="s">
        <v>7854</v>
      </c>
      <c r="Q2" s="22">
        <v>110500</v>
      </c>
      <c r="R2" s="22" t="s">
        <v>7854</v>
      </c>
      <c r="S2" s="24">
        <v>0</v>
      </c>
      <c r="T2" s="24" t="s">
        <v>7854</v>
      </c>
      <c r="U2" t="s">
        <v>36</v>
      </c>
    </row>
    <row r="3" spans="1:21" x14ac:dyDescent="0.25">
      <c r="A3">
        <v>2</v>
      </c>
      <c r="B3">
        <v>22613</v>
      </c>
      <c r="C3" t="s">
        <v>37</v>
      </c>
      <c r="D3" t="s">
        <v>6817</v>
      </c>
      <c r="E3" t="s">
        <v>41</v>
      </c>
      <c r="F3" t="s">
        <v>28</v>
      </c>
      <c r="G3" t="s">
        <v>42</v>
      </c>
      <c r="H3" t="s">
        <v>43</v>
      </c>
      <c r="I3" s="13" t="s">
        <v>44</v>
      </c>
      <c r="J3" t="s">
        <v>45</v>
      </c>
      <c r="K3" t="s">
        <v>7879</v>
      </c>
      <c r="L3" t="s">
        <v>7981</v>
      </c>
      <c r="M3" t="s">
        <v>46</v>
      </c>
      <c r="N3" t="s">
        <v>33</v>
      </c>
      <c r="O3" s="17">
        <v>195000</v>
      </c>
      <c r="P3" s="17" t="s">
        <v>7854</v>
      </c>
      <c r="Q3" s="22">
        <v>0</v>
      </c>
      <c r="R3" s="22" t="s">
        <v>7854</v>
      </c>
      <c r="S3" s="24">
        <v>0</v>
      </c>
      <c r="T3" s="24" t="s">
        <v>7854</v>
      </c>
      <c r="U3" t="s">
        <v>47</v>
      </c>
    </row>
    <row r="4" spans="1:21" x14ac:dyDescent="0.25">
      <c r="A4">
        <v>3</v>
      </c>
      <c r="B4">
        <v>23966</v>
      </c>
      <c r="C4" t="s">
        <v>48</v>
      </c>
      <c r="D4" t="s">
        <v>6818</v>
      </c>
      <c r="E4" t="s">
        <v>52</v>
      </c>
      <c r="F4" t="s">
        <v>53</v>
      </c>
      <c r="G4" t="s">
        <v>54</v>
      </c>
      <c r="H4" t="s">
        <v>43</v>
      </c>
      <c r="I4" s="12">
        <v>2348071267724</v>
      </c>
      <c r="J4" t="s">
        <v>31</v>
      </c>
      <c r="K4" t="s">
        <v>7879</v>
      </c>
      <c r="L4" t="s">
        <v>7888</v>
      </c>
      <c r="M4" t="s">
        <v>46</v>
      </c>
      <c r="N4" t="s">
        <v>33</v>
      </c>
      <c r="O4" s="17">
        <v>195000</v>
      </c>
      <c r="P4" s="17" t="s">
        <v>7854</v>
      </c>
      <c r="Q4" s="22">
        <v>0</v>
      </c>
      <c r="R4" s="22" t="s">
        <v>7854</v>
      </c>
      <c r="S4" s="24">
        <v>0</v>
      </c>
      <c r="T4" s="24" t="s">
        <v>7854</v>
      </c>
      <c r="U4" t="s">
        <v>55</v>
      </c>
    </row>
    <row r="5" spans="1:21" x14ac:dyDescent="0.25">
      <c r="A5">
        <v>4</v>
      </c>
      <c r="B5">
        <v>23989</v>
      </c>
      <c r="C5" t="s">
        <v>56</v>
      </c>
      <c r="D5" t="s">
        <v>6819</v>
      </c>
      <c r="E5" t="s">
        <v>60</v>
      </c>
      <c r="F5" t="s">
        <v>53</v>
      </c>
      <c r="G5" t="s">
        <v>61</v>
      </c>
      <c r="H5" t="s">
        <v>43</v>
      </c>
      <c r="I5" s="13" t="s">
        <v>62</v>
      </c>
      <c r="J5" t="s">
        <v>31</v>
      </c>
      <c r="K5" t="s">
        <v>7879</v>
      </c>
      <c r="L5" t="s">
        <v>7893</v>
      </c>
      <c r="M5" t="s">
        <v>63</v>
      </c>
      <c r="N5" t="s">
        <v>33</v>
      </c>
      <c r="O5" s="17">
        <v>195000</v>
      </c>
      <c r="P5" s="17" t="s">
        <v>7854</v>
      </c>
      <c r="Q5" s="22">
        <v>0</v>
      </c>
      <c r="R5" s="22" t="s">
        <v>7854</v>
      </c>
      <c r="S5" s="24">
        <v>0</v>
      </c>
      <c r="T5" s="24" t="s">
        <v>7854</v>
      </c>
      <c r="U5" t="s">
        <v>64</v>
      </c>
    </row>
    <row r="6" spans="1:21" x14ac:dyDescent="0.25">
      <c r="A6">
        <v>5</v>
      </c>
      <c r="B6">
        <v>5042</v>
      </c>
      <c r="C6" t="s">
        <v>65</v>
      </c>
      <c r="D6" t="s">
        <v>6820</v>
      </c>
      <c r="E6" t="s">
        <v>69</v>
      </c>
      <c r="F6" t="s">
        <v>28</v>
      </c>
      <c r="G6" t="s">
        <v>70</v>
      </c>
      <c r="H6" t="s">
        <v>43</v>
      </c>
      <c r="I6" s="12">
        <v>8030989439</v>
      </c>
      <c r="J6" t="s">
        <v>71</v>
      </c>
      <c r="K6" t="s">
        <v>7886</v>
      </c>
      <c r="L6" t="s">
        <v>7893</v>
      </c>
      <c r="M6" t="s">
        <v>46</v>
      </c>
      <c r="N6" t="s">
        <v>33</v>
      </c>
      <c r="O6" s="17">
        <v>812500</v>
      </c>
      <c r="P6" s="17" t="s">
        <v>7854</v>
      </c>
      <c r="Q6" s="22">
        <v>0</v>
      </c>
      <c r="R6" s="22" t="s">
        <v>7854</v>
      </c>
      <c r="S6" s="24">
        <v>0</v>
      </c>
      <c r="T6" s="24" t="s">
        <v>7854</v>
      </c>
      <c r="U6" t="s">
        <v>72</v>
      </c>
    </row>
    <row r="7" spans="1:21" x14ac:dyDescent="0.25">
      <c r="A7">
        <v>6</v>
      </c>
      <c r="B7">
        <v>23990</v>
      </c>
      <c r="C7" t="s">
        <v>73</v>
      </c>
      <c r="D7" t="s">
        <v>6821</v>
      </c>
      <c r="E7" t="s">
        <v>77</v>
      </c>
      <c r="F7" t="s">
        <v>28</v>
      </c>
      <c r="G7" t="s">
        <v>78</v>
      </c>
      <c r="H7" t="s">
        <v>43</v>
      </c>
      <c r="I7" s="13" t="s">
        <v>79</v>
      </c>
      <c r="J7" t="s">
        <v>31</v>
      </c>
      <c r="K7" t="s">
        <v>7879</v>
      </c>
      <c r="L7" t="s">
        <v>8028</v>
      </c>
      <c r="M7" t="s">
        <v>46</v>
      </c>
      <c r="N7" t="s">
        <v>33</v>
      </c>
      <c r="O7" s="17">
        <v>195000</v>
      </c>
      <c r="P7" s="17" t="s">
        <v>7854</v>
      </c>
      <c r="Q7" s="22">
        <v>0</v>
      </c>
      <c r="R7" s="22" t="s">
        <v>7854</v>
      </c>
      <c r="S7" s="24">
        <v>0</v>
      </c>
      <c r="T7" s="24" t="s">
        <v>7854</v>
      </c>
      <c r="U7" t="s">
        <v>80</v>
      </c>
    </row>
    <row r="8" spans="1:21" x14ac:dyDescent="0.25">
      <c r="A8">
        <v>7</v>
      </c>
      <c r="B8">
        <v>23988</v>
      </c>
      <c r="C8" t="s">
        <v>81</v>
      </c>
      <c r="D8" t="s">
        <v>6822</v>
      </c>
      <c r="E8" t="s">
        <v>85</v>
      </c>
      <c r="F8" t="s">
        <v>28</v>
      </c>
      <c r="G8" t="s">
        <v>85</v>
      </c>
      <c r="H8" t="s">
        <v>43</v>
      </c>
      <c r="I8" s="13" t="s">
        <v>86</v>
      </c>
      <c r="J8" t="s">
        <v>31</v>
      </c>
      <c r="K8" t="s">
        <v>7879</v>
      </c>
      <c r="L8" t="s">
        <v>7940</v>
      </c>
      <c r="M8" t="s">
        <v>87</v>
      </c>
      <c r="N8" t="s">
        <v>33</v>
      </c>
      <c r="O8" s="17">
        <v>195000</v>
      </c>
      <c r="P8" s="17" t="s">
        <v>7854</v>
      </c>
      <c r="Q8" s="22">
        <v>0</v>
      </c>
      <c r="R8" s="22" t="s">
        <v>7854</v>
      </c>
      <c r="S8" s="24">
        <v>0</v>
      </c>
      <c r="T8" s="24" t="s">
        <v>7854</v>
      </c>
      <c r="U8" t="s">
        <v>88</v>
      </c>
    </row>
    <row r="9" spans="1:21" x14ac:dyDescent="0.25">
      <c r="A9">
        <v>8</v>
      </c>
      <c r="B9">
        <v>19326</v>
      </c>
      <c r="C9" t="s">
        <v>89</v>
      </c>
      <c r="D9" t="s">
        <v>6823</v>
      </c>
      <c r="E9" t="s">
        <v>7982</v>
      </c>
      <c r="F9" t="s">
        <v>28</v>
      </c>
      <c r="G9" t="s">
        <v>93</v>
      </c>
      <c r="H9" t="s">
        <v>43</v>
      </c>
      <c r="I9" s="13" t="s">
        <v>94</v>
      </c>
      <c r="J9" t="s">
        <v>45</v>
      </c>
      <c r="K9" t="s">
        <v>7879</v>
      </c>
      <c r="L9" t="s">
        <v>7981</v>
      </c>
      <c r="M9" t="s">
        <v>46</v>
      </c>
      <c r="N9" t="s">
        <v>33</v>
      </c>
      <c r="O9" s="17">
        <v>195000</v>
      </c>
      <c r="P9" s="17" t="s">
        <v>7854</v>
      </c>
      <c r="Q9" s="22">
        <v>0</v>
      </c>
      <c r="R9" s="22" t="s">
        <v>7854</v>
      </c>
      <c r="S9" s="24">
        <v>0</v>
      </c>
      <c r="T9" s="24" t="s">
        <v>7854</v>
      </c>
      <c r="U9" t="s">
        <v>95</v>
      </c>
    </row>
    <row r="10" spans="1:21" x14ac:dyDescent="0.25">
      <c r="A10">
        <v>9</v>
      </c>
      <c r="B10">
        <v>23825</v>
      </c>
      <c r="C10" t="s">
        <v>96</v>
      </c>
      <c r="D10" t="s">
        <v>6824</v>
      </c>
      <c r="E10" t="s">
        <v>100</v>
      </c>
      <c r="F10" t="s">
        <v>53</v>
      </c>
      <c r="G10" t="s">
        <v>101</v>
      </c>
      <c r="H10" t="s">
        <v>43</v>
      </c>
      <c r="I10" s="12">
        <v>2348120518645</v>
      </c>
      <c r="J10" t="s">
        <v>31</v>
      </c>
      <c r="K10" t="s">
        <v>7879</v>
      </c>
      <c r="L10" t="s">
        <v>7940</v>
      </c>
      <c r="M10" t="s">
        <v>63</v>
      </c>
      <c r="N10" t="s">
        <v>33</v>
      </c>
      <c r="O10" s="17">
        <v>195000</v>
      </c>
      <c r="P10" s="17" t="s">
        <v>7854</v>
      </c>
      <c r="Q10" s="22">
        <v>0</v>
      </c>
      <c r="R10" s="22" t="s">
        <v>7854</v>
      </c>
      <c r="S10" s="24">
        <v>0</v>
      </c>
      <c r="T10" s="24" t="s">
        <v>7854</v>
      </c>
      <c r="U10" t="s">
        <v>102</v>
      </c>
    </row>
    <row r="11" spans="1:21" x14ac:dyDescent="0.25">
      <c r="A11">
        <v>10</v>
      </c>
      <c r="B11">
        <v>23977</v>
      </c>
      <c r="C11" t="s">
        <v>103</v>
      </c>
      <c r="D11" t="s">
        <v>6825</v>
      </c>
      <c r="E11" t="s">
        <v>106</v>
      </c>
      <c r="F11" t="s">
        <v>53</v>
      </c>
      <c r="G11" t="s">
        <v>107</v>
      </c>
      <c r="H11" t="s">
        <v>43</v>
      </c>
      <c r="I11" s="13" t="s">
        <v>108</v>
      </c>
      <c r="J11" t="s">
        <v>31</v>
      </c>
      <c r="K11" t="s">
        <v>7879</v>
      </c>
      <c r="L11" t="s">
        <v>7893</v>
      </c>
      <c r="M11" t="s">
        <v>46</v>
      </c>
      <c r="N11" t="s">
        <v>33</v>
      </c>
      <c r="O11" s="17">
        <v>195000</v>
      </c>
      <c r="P11" s="17" t="s">
        <v>7854</v>
      </c>
      <c r="Q11" s="22">
        <v>0</v>
      </c>
      <c r="R11" s="22" t="s">
        <v>7854</v>
      </c>
      <c r="S11" s="24">
        <v>0</v>
      </c>
      <c r="T11" s="24" t="s">
        <v>7854</v>
      </c>
      <c r="U11" t="s">
        <v>109</v>
      </c>
    </row>
    <row r="12" spans="1:21" x14ac:dyDescent="0.25">
      <c r="A12">
        <v>11</v>
      </c>
      <c r="B12">
        <v>958</v>
      </c>
      <c r="C12" t="s">
        <v>110</v>
      </c>
      <c r="D12" t="s">
        <v>6826</v>
      </c>
      <c r="E12" t="s">
        <v>7895</v>
      </c>
      <c r="F12" t="s">
        <v>53</v>
      </c>
      <c r="G12" t="s">
        <v>114</v>
      </c>
      <c r="H12" t="s">
        <v>43</v>
      </c>
      <c r="I12" s="12">
        <v>8062995811</v>
      </c>
      <c r="J12" t="s">
        <v>45</v>
      </c>
      <c r="K12" t="s">
        <v>7881</v>
      </c>
      <c r="L12" t="s">
        <v>7893</v>
      </c>
      <c r="M12" t="s">
        <v>87</v>
      </c>
      <c r="N12" t="s">
        <v>33</v>
      </c>
      <c r="O12" s="17">
        <v>552500</v>
      </c>
      <c r="P12" s="17" t="s">
        <v>7854</v>
      </c>
      <c r="Q12" s="22">
        <v>0</v>
      </c>
      <c r="R12" s="22" t="s">
        <v>7854</v>
      </c>
      <c r="S12" s="24">
        <v>0</v>
      </c>
      <c r="T12" s="24" t="s">
        <v>7854</v>
      </c>
      <c r="U12" t="s">
        <v>115</v>
      </c>
    </row>
    <row r="13" spans="1:21" x14ac:dyDescent="0.25">
      <c r="A13">
        <v>12</v>
      </c>
      <c r="B13">
        <v>23359</v>
      </c>
      <c r="C13" t="s">
        <v>116</v>
      </c>
      <c r="D13" t="s">
        <v>6827</v>
      </c>
      <c r="E13" t="s">
        <v>119</v>
      </c>
      <c r="F13" t="s">
        <v>28</v>
      </c>
      <c r="G13" t="s">
        <v>120</v>
      </c>
      <c r="H13" t="s">
        <v>43</v>
      </c>
      <c r="I13" s="13" t="s">
        <v>121</v>
      </c>
      <c r="J13" t="s">
        <v>45</v>
      </c>
      <c r="K13" t="s">
        <v>7879</v>
      </c>
      <c r="L13" t="s">
        <v>7893</v>
      </c>
      <c r="M13" t="s">
        <v>87</v>
      </c>
      <c r="N13" t="s">
        <v>33</v>
      </c>
      <c r="O13" s="17">
        <v>195000</v>
      </c>
      <c r="P13" s="17" t="s">
        <v>7854</v>
      </c>
      <c r="Q13" s="22">
        <v>0</v>
      </c>
      <c r="R13" s="22" t="s">
        <v>7854</v>
      </c>
      <c r="S13" s="24">
        <v>0</v>
      </c>
      <c r="T13" s="24" t="s">
        <v>7854</v>
      </c>
      <c r="U13" t="s">
        <v>122</v>
      </c>
    </row>
    <row r="14" spans="1:21" x14ac:dyDescent="0.25">
      <c r="A14">
        <v>13</v>
      </c>
      <c r="B14">
        <v>23978</v>
      </c>
      <c r="C14" t="s">
        <v>123</v>
      </c>
      <c r="D14" t="s">
        <v>6828</v>
      </c>
      <c r="E14" t="s">
        <v>127</v>
      </c>
      <c r="F14" t="s">
        <v>28</v>
      </c>
      <c r="G14" t="s">
        <v>128</v>
      </c>
      <c r="H14" t="s">
        <v>43</v>
      </c>
      <c r="I14" s="13" t="s">
        <v>129</v>
      </c>
      <c r="J14" t="s">
        <v>31</v>
      </c>
      <c r="K14" t="s">
        <v>7879</v>
      </c>
      <c r="L14" t="s">
        <v>7940</v>
      </c>
      <c r="M14" t="s">
        <v>46</v>
      </c>
      <c r="N14" t="s">
        <v>130</v>
      </c>
      <c r="O14" s="17" t="s">
        <v>7854</v>
      </c>
      <c r="P14" s="17">
        <v>150</v>
      </c>
      <c r="Q14" s="22" t="s">
        <v>7854</v>
      </c>
      <c r="R14" s="22">
        <v>0</v>
      </c>
      <c r="S14" s="24" t="s">
        <v>7854</v>
      </c>
      <c r="T14" s="24">
        <v>0</v>
      </c>
      <c r="U14" t="s">
        <v>132</v>
      </c>
    </row>
    <row r="15" spans="1:21" x14ac:dyDescent="0.25">
      <c r="A15">
        <v>14</v>
      </c>
      <c r="B15">
        <v>488</v>
      </c>
      <c r="C15" t="s">
        <v>133</v>
      </c>
      <c r="D15" t="s">
        <v>6829</v>
      </c>
      <c r="E15" t="s">
        <v>137</v>
      </c>
      <c r="F15" t="s">
        <v>53</v>
      </c>
      <c r="G15" t="s">
        <v>138</v>
      </c>
      <c r="H15" t="s">
        <v>43</v>
      </c>
      <c r="I15" s="13" t="s">
        <v>139</v>
      </c>
      <c r="J15" t="s">
        <v>45</v>
      </c>
      <c r="K15" t="s">
        <v>7881</v>
      </c>
      <c r="L15" t="s">
        <v>7940</v>
      </c>
      <c r="M15" t="s">
        <v>63</v>
      </c>
      <c r="N15" t="s">
        <v>33</v>
      </c>
      <c r="O15" s="17">
        <v>552500</v>
      </c>
      <c r="P15" s="17" t="s">
        <v>7854</v>
      </c>
      <c r="Q15" s="22">
        <v>0</v>
      </c>
      <c r="R15" s="22" t="s">
        <v>7854</v>
      </c>
      <c r="S15" s="24">
        <v>0</v>
      </c>
      <c r="T15" s="24" t="s">
        <v>7854</v>
      </c>
      <c r="U15" t="s">
        <v>140</v>
      </c>
    </row>
    <row r="16" spans="1:21" x14ac:dyDescent="0.25">
      <c r="A16">
        <v>15</v>
      </c>
      <c r="B16">
        <v>19036</v>
      </c>
      <c r="C16" t="s">
        <v>141</v>
      </c>
      <c r="D16" t="s">
        <v>6830</v>
      </c>
      <c r="E16" t="s">
        <v>145</v>
      </c>
      <c r="F16" t="s">
        <v>53</v>
      </c>
      <c r="G16" t="s">
        <v>146</v>
      </c>
      <c r="H16" t="s">
        <v>43</v>
      </c>
      <c r="I16" s="13" t="s">
        <v>147</v>
      </c>
      <c r="J16" t="s">
        <v>31</v>
      </c>
      <c r="K16" t="s">
        <v>7879</v>
      </c>
      <c r="L16" t="s">
        <v>8028</v>
      </c>
      <c r="M16" t="s">
        <v>63</v>
      </c>
      <c r="N16" t="s">
        <v>33</v>
      </c>
      <c r="O16" s="17">
        <v>195000</v>
      </c>
      <c r="P16" s="17" t="s">
        <v>7854</v>
      </c>
      <c r="Q16" s="22">
        <v>0</v>
      </c>
      <c r="R16" s="22" t="s">
        <v>7854</v>
      </c>
      <c r="S16" s="24">
        <v>0</v>
      </c>
      <c r="T16" s="24" t="s">
        <v>7854</v>
      </c>
      <c r="U16" t="s">
        <v>148</v>
      </c>
    </row>
    <row r="17" spans="1:21" x14ac:dyDescent="0.25">
      <c r="A17">
        <v>16</v>
      </c>
      <c r="B17">
        <v>24036</v>
      </c>
      <c r="C17" t="s">
        <v>149</v>
      </c>
      <c r="D17" t="s">
        <v>6831</v>
      </c>
      <c r="E17" t="s">
        <v>153</v>
      </c>
      <c r="F17" t="s">
        <v>53</v>
      </c>
      <c r="G17" t="s">
        <v>154</v>
      </c>
      <c r="H17" t="s">
        <v>43</v>
      </c>
      <c r="I17" s="13" t="s">
        <v>155</v>
      </c>
      <c r="J17" t="s">
        <v>31</v>
      </c>
      <c r="K17" t="s">
        <v>7879</v>
      </c>
      <c r="L17" t="s">
        <v>7940</v>
      </c>
      <c r="M17" t="s">
        <v>63</v>
      </c>
      <c r="N17" t="s">
        <v>33</v>
      </c>
      <c r="O17" s="17">
        <v>195000</v>
      </c>
      <c r="P17" s="17" t="s">
        <v>7854</v>
      </c>
      <c r="Q17" s="22">
        <v>0</v>
      </c>
      <c r="R17" s="22" t="s">
        <v>7854</v>
      </c>
      <c r="S17" s="24">
        <v>0</v>
      </c>
      <c r="T17" s="24" t="s">
        <v>7854</v>
      </c>
      <c r="U17" t="s">
        <v>156</v>
      </c>
    </row>
    <row r="18" spans="1:21" x14ac:dyDescent="0.25">
      <c r="A18">
        <v>17</v>
      </c>
      <c r="B18">
        <v>9413</v>
      </c>
      <c r="C18" t="s">
        <v>157</v>
      </c>
      <c r="D18" t="s">
        <v>6832</v>
      </c>
      <c r="E18" t="s">
        <v>161</v>
      </c>
      <c r="F18" t="s">
        <v>28</v>
      </c>
      <c r="G18" t="s">
        <v>162</v>
      </c>
      <c r="H18" t="s">
        <v>43</v>
      </c>
      <c r="I18" s="13" t="s">
        <v>163</v>
      </c>
      <c r="J18" t="s">
        <v>45</v>
      </c>
      <c r="K18" t="s">
        <v>7879</v>
      </c>
      <c r="L18" t="s">
        <v>7981</v>
      </c>
      <c r="M18" t="s">
        <v>63</v>
      </c>
      <c r="N18" t="s">
        <v>33</v>
      </c>
      <c r="O18" s="17">
        <v>195000</v>
      </c>
      <c r="P18" s="17" t="s">
        <v>7854</v>
      </c>
      <c r="Q18" s="22">
        <v>0</v>
      </c>
      <c r="R18" s="22" t="s">
        <v>7854</v>
      </c>
      <c r="S18" s="24">
        <v>0</v>
      </c>
      <c r="T18" s="24" t="s">
        <v>7854</v>
      </c>
      <c r="U18" t="s">
        <v>164</v>
      </c>
    </row>
    <row r="19" spans="1:21" x14ac:dyDescent="0.25">
      <c r="A19">
        <v>18</v>
      </c>
      <c r="B19">
        <v>2369</v>
      </c>
      <c r="C19" t="s">
        <v>165</v>
      </c>
      <c r="D19" t="s">
        <v>6833</v>
      </c>
      <c r="E19" t="s">
        <v>168</v>
      </c>
      <c r="F19" t="s">
        <v>53</v>
      </c>
      <c r="G19" t="s">
        <v>169</v>
      </c>
      <c r="H19" t="s">
        <v>43</v>
      </c>
      <c r="I19" s="13" t="s">
        <v>170</v>
      </c>
      <c r="J19" t="s">
        <v>31</v>
      </c>
      <c r="K19" t="s">
        <v>7881</v>
      </c>
      <c r="L19" t="s">
        <v>8028</v>
      </c>
      <c r="M19" t="s">
        <v>46</v>
      </c>
      <c r="N19" t="s">
        <v>33</v>
      </c>
      <c r="O19" s="17">
        <v>552500</v>
      </c>
      <c r="P19" s="17" t="s">
        <v>7854</v>
      </c>
      <c r="Q19" s="22">
        <v>0</v>
      </c>
      <c r="R19" s="22" t="s">
        <v>7854</v>
      </c>
      <c r="S19" s="24">
        <v>0</v>
      </c>
      <c r="T19" s="24" t="s">
        <v>7854</v>
      </c>
      <c r="U19" t="s">
        <v>171</v>
      </c>
    </row>
    <row r="20" spans="1:21" x14ac:dyDescent="0.25">
      <c r="A20">
        <v>19</v>
      </c>
      <c r="B20">
        <v>7343</v>
      </c>
      <c r="C20" t="s">
        <v>172</v>
      </c>
      <c r="D20" t="s">
        <v>6834</v>
      </c>
      <c r="E20" t="s">
        <v>176</v>
      </c>
      <c r="F20" t="s">
        <v>53</v>
      </c>
      <c r="G20" t="s">
        <v>176</v>
      </c>
      <c r="H20" t="s">
        <v>43</v>
      </c>
      <c r="I20" s="13" t="s">
        <v>177</v>
      </c>
      <c r="J20" t="s">
        <v>31</v>
      </c>
      <c r="K20" t="s">
        <v>7886</v>
      </c>
      <c r="L20" t="s">
        <v>8028</v>
      </c>
      <c r="M20" t="s">
        <v>63</v>
      </c>
      <c r="N20" t="s">
        <v>33</v>
      </c>
      <c r="O20" s="17">
        <v>812500</v>
      </c>
      <c r="P20" s="17" t="s">
        <v>7854</v>
      </c>
      <c r="Q20" s="22">
        <v>0</v>
      </c>
      <c r="R20" s="22" t="s">
        <v>7854</v>
      </c>
      <c r="S20" s="24">
        <v>162500</v>
      </c>
      <c r="T20" s="24" t="s">
        <v>7854</v>
      </c>
      <c r="U20" t="s">
        <v>178</v>
      </c>
    </row>
    <row r="21" spans="1:21" x14ac:dyDescent="0.25">
      <c r="A21">
        <v>20</v>
      </c>
      <c r="B21">
        <v>23981</v>
      </c>
      <c r="C21" t="s">
        <v>179</v>
      </c>
      <c r="D21" t="s">
        <v>6835</v>
      </c>
      <c r="E21" t="s">
        <v>183</v>
      </c>
      <c r="F21" t="s">
        <v>53</v>
      </c>
      <c r="G21" t="s">
        <v>184</v>
      </c>
      <c r="H21" t="s">
        <v>43</v>
      </c>
      <c r="I21" s="13" t="s">
        <v>185</v>
      </c>
      <c r="J21" t="s">
        <v>31</v>
      </c>
      <c r="K21" t="s">
        <v>7879</v>
      </c>
      <c r="L21" t="s">
        <v>7893</v>
      </c>
      <c r="M21" t="s">
        <v>46</v>
      </c>
      <c r="N21" t="s">
        <v>33</v>
      </c>
      <c r="O21" s="17">
        <v>195000</v>
      </c>
      <c r="P21" s="17" t="s">
        <v>7854</v>
      </c>
      <c r="Q21" s="22">
        <v>0</v>
      </c>
      <c r="R21" s="22" t="s">
        <v>7854</v>
      </c>
      <c r="S21" s="24">
        <v>0</v>
      </c>
      <c r="T21" s="24" t="s">
        <v>7854</v>
      </c>
      <c r="U21" t="s">
        <v>186</v>
      </c>
    </row>
    <row r="22" spans="1:21" x14ac:dyDescent="0.25">
      <c r="A22">
        <v>21</v>
      </c>
      <c r="B22">
        <v>18872</v>
      </c>
      <c r="C22" t="s">
        <v>187</v>
      </c>
      <c r="D22" t="s">
        <v>6836</v>
      </c>
      <c r="E22" t="s">
        <v>8029</v>
      </c>
      <c r="F22" t="s">
        <v>53</v>
      </c>
      <c r="G22" t="s">
        <v>191</v>
      </c>
      <c r="H22" t="s">
        <v>43</v>
      </c>
      <c r="I22" s="12">
        <v>23409077945775</v>
      </c>
      <c r="J22" t="s">
        <v>31</v>
      </c>
      <c r="K22" t="s">
        <v>7881</v>
      </c>
      <c r="L22" t="s">
        <v>8028</v>
      </c>
      <c r="M22" t="s">
        <v>63</v>
      </c>
      <c r="N22" t="s">
        <v>33</v>
      </c>
      <c r="O22" s="17">
        <v>552500</v>
      </c>
      <c r="P22" s="17" t="s">
        <v>7854</v>
      </c>
      <c r="Q22" s="22">
        <v>0</v>
      </c>
      <c r="R22" s="22" t="s">
        <v>7854</v>
      </c>
      <c r="S22" s="24">
        <v>0</v>
      </c>
      <c r="T22" s="24" t="s">
        <v>7854</v>
      </c>
      <c r="U22" t="s">
        <v>192</v>
      </c>
    </row>
    <row r="23" spans="1:21" x14ac:dyDescent="0.25">
      <c r="A23">
        <v>22</v>
      </c>
      <c r="B23">
        <v>3709</v>
      </c>
      <c r="C23" t="s">
        <v>193</v>
      </c>
      <c r="D23" t="s">
        <v>7861</v>
      </c>
      <c r="E23" t="s">
        <v>7983</v>
      </c>
      <c r="F23" t="s">
        <v>53</v>
      </c>
      <c r="G23" t="s">
        <v>197</v>
      </c>
      <c r="H23" t="s">
        <v>43</v>
      </c>
      <c r="I23" s="13" t="s">
        <v>198</v>
      </c>
      <c r="J23" t="s">
        <v>45</v>
      </c>
      <c r="K23" t="s">
        <v>7886</v>
      </c>
      <c r="L23" t="s">
        <v>7981</v>
      </c>
      <c r="M23" t="s">
        <v>46</v>
      </c>
      <c r="N23" t="s">
        <v>33</v>
      </c>
      <c r="O23" s="17">
        <v>812500</v>
      </c>
      <c r="P23" s="17" t="s">
        <v>7854</v>
      </c>
      <c r="Q23" s="22">
        <v>0</v>
      </c>
      <c r="R23" s="22" t="s">
        <v>7854</v>
      </c>
      <c r="S23" s="24">
        <v>162500</v>
      </c>
      <c r="T23" s="24" t="s">
        <v>7854</v>
      </c>
      <c r="U23" t="s">
        <v>199</v>
      </c>
    </row>
    <row r="24" spans="1:21" x14ac:dyDescent="0.25">
      <c r="A24">
        <v>23</v>
      </c>
      <c r="B24">
        <v>24045</v>
      </c>
      <c r="C24" t="s">
        <v>200</v>
      </c>
      <c r="D24" t="s">
        <v>6837</v>
      </c>
      <c r="E24" t="s">
        <v>204</v>
      </c>
      <c r="F24" t="s">
        <v>28</v>
      </c>
      <c r="G24" t="s">
        <v>205</v>
      </c>
      <c r="H24" t="s">
        <v>43</v>
      </c>
      <c r="I24" s="13" t="s">
        <v>206</v>
      </c>
      <c r="J24" t="s">
        <v>31</v>
      </c>
      <c r="K24" t="s">
        <v>7879</v>
      </c>
      <c r="L24" t="s">
        <v>7981</v>
      </c>
      <c r="M24" t="s">
        <v>87</v>
      </c>
      <c r="N24" t="s">
        <v>33</v>
      </c>
      <c r="O24" s="17">
        <v>195000</v>
      </c>
      <c r="P24" s="17" t="s">
        <v>7854</v>
      </c>
      <c r="Q24" s="22">
        <v>0</v>
      </c>
      <c r="R24" s="22" t="s">
        <v>7854</v>
      </c>
      <c r="S24" s="24">
        <v>0</v>
      </c>
      <c r="T24" s="24" t="s">
        <v>7854</v>
      </c>
      <c r="U24" t="s">
        <v>207</v>
      </c>
    </row>
    <row r="25" spans="1:21" x14ac:dyDescent="0.25">
      <c r="A25">
        <v>24</v>
      </c>
      <c r="B25">
        <v>24008</v>
      </c>
      <c r="C25" t="s">
        <v>208</v>
      </c>
      <c r="D25" t="s">
        <v>6838</v>
      </c>
      <c r="E25" t="s">
        <v>212</v>
      </c>
      <c r="F25" t="s">
        <v>53</v>
      </c>
      <c r="G25" t="s">
        <v>213</v>
      </c>
      <c r="H25" t="s">
        <v>43</v>
      </c>
      <c r="I25" s="13" t="s">
        <v>214</v>
      </c>
      <c r="J25" t="s">
        <v>31</v>
      </c>
      <c r="K25" t="s">
        <v>7879</v>
      </c>
      <c r="L25" t="s">
        <v>7940</v>
      </c>
      <c r="M25" t="s">
        <v>46</v>
      </c>
      <c r="N25" t="s">
        <v>33</v>
      </c>
      <c r="O25" s="17">
        <v>195000</v>
      </c>
      <c r="P25" s="17" t="s">
        <v>7854</v>
      </c>
      <c r="Q25" s="22">
        <v>0</v>
      </c>
      <c r="R25" s="22" t="s">
        <v>7854</v>
      </c>
      <c r="S25" s="24">
        <v>0</v>
      </c>
      <c r="T25" s="24" t="s">
        <v>7854</v>
      </c>
      <c r="U25" t="s">
        <v>215</v>
      </c>
    </row>
    <row r="26" spans="1:21" x14ac:dyDescent="0.25">
      <c r="A26">
        <v>25</v>
      </c>
      <c r="B26">
        <v>20784</v>
      </c>
      <c r="C26" t="s">
        <v>216</v>
      </c>
      <c r="D26" t="s">
        <v>6839</v>
      </c>
      <c r="E26" t="s">
        <v>220</v>
      </c>
      <c r="F26" t="s">
        <v>53</v>
      </c>
      <c r="G26" t="s">
        <v>221</v>
      </c>
      <c r="H26" t="s">
        <v>43</v>
      </c>
      <c r="I26" s="13" t="s">
        <v>222</v>
      </c>
      <c r="J26" t="s">
        <v>31</v>
      </c>
      <c r="K26" t="s">
        <v>7881</v>
      </c>
      <c r="L26" t="s">
        <v>7981</v>
      </c>
      <c r="M26" t="s">
        <v>46</v>
      </c>
      <c r="N26" t="s">
        <v>33</v>
      </c>
      <c r="O26" s="17">
        <v>552500</v>
      </c>
      <c r="P26" s="17" t="s">
        <v>7854</v>
      </c>
      <c r="Q26" s="22">
        <v>0</v>
      </c>
      <c r="R26" s="22" t="s">
        <v>7854</v>
      </c>
      <c r="S26" s="24">
        <v>0</v>
      </c>
      <c r="T26" s="24" t="s">
        <v>7854</v>
      </c>
      <c r="U26" t="s">
        <v>223</v>
      </c>
    </row>
    <row r="27" spans="1:21" x14ac:dyDescent="0.25">
      <c r="A27">
        <v>26</v>
      </c>
      <c r="B27">
        <v>24072</v>
      </c>
      <c r="C27" t="s">
        <v>224</v>
      </c>
      <c r="D27" t="s">
        <v>6840</v>
      </c>
      <c r="E27" t="s">
        <v>228</v>
      </c>
      <c r="F27" t="s">
        <v>53</v>
      </c>
      <c r="G27" t="s">
        <v>229</v>
      </c>
      <c r="H27" t="s">
        <v>43</v>
      </c>
      <c r="I27" s="13" t="s">
        <v>230</v>
      </c>
      <c r="J27" t="s">
        <v>31</v>
      </c>
      <c r="K27" t="s">
        <v>7879</v>
      </c>
      <c r="L27" t="s">
        <v>7893</v>
      </c>
      <c r="M27" t="s">
        <v>87</v>
      </c>
      <c r="N27" t="s">
        <v>33</v>
      </c>
      <c r="O27" s="17">
        <v>195000</v>
      </c>
      <c r="P27" s="17" t="s">
        <v>7854</v>
      </c>
      <c r="Q27" s="22">
        <v>0</v>
      </c>
      <c r="R27" s="22" t="s">
        <v>7854</v>
      </c>
      <c r="S27" s="24">
        <v>0</v>
      </c>
      <c r="T27" s="24" t="s">
        <v>7854</v>
      </c>
      <c r="U27" t="s">
        <v>231</v>
      </c>
    </row>
    <row r="28" spans="1:21" x14ac:dyDescent="0.25">
      <c r="A28">
        <v>27</v>
      </c>
      <c r="B28">
        <v>23957</v>
      </c>
      <c r="C28" t="s">
        <v>232</v>
      </c>
      <c r="D28" t="s">
        <v>6841</v>
      </c>
      <c r="E28" t="s">
        <v>235</v>
      </c>
      <c r="F28" t="s">
        <v>28</v>
      </c>
      <c r="G28" t="s">
        <v>236</v>
      </c>
      <c r="H28" t="s">
        <v>43</v>
      </c>
      <c r="I28" s="12">
        <v>2347085014434</v>
      </c>
      <c r="J28" t="s">
        <v>31</v>
      </c>
      <c r="K28" t="s">
        <v>7879</v>
      </c>
      <c r="L28" t="s">
        <v>8028</v>
      </c>
      <c r="M28" t="s">
        <v>46</v>
      </c>
      <c r="N28" t="s">
        <v>33</v>
      </c>
      <c r="O28" s="17">
        <v>195000</v>
      </c>
      <c r="P28" s="17" t="s">
        <v>7854</v>
      </c>
      <c r="Q28" s="22">
        <v>0</v>
      </c>
      <c r="R28" s="22" t="s">
        <v>7854</v>
      </c>
      <c r="S28" s="24">
        <v>0</v>
      </c>
      <c r="T28" s="24" t="s">
        <v>7854</v>
      </c>
      <c r="U28" t="s">
        <v>237</v>
      </c>
    </row>
    <row r="29" spans="1:21" x14ac:dyDescent="0.25">
      <c r="A29">
        <v>28</v>
      </c>
      <c r="B29">
        <v>6263</v>
      </c>
      <c r="C29" t="s">
        <v>238</v>
      </c>
      <c r="D29" t="s">
        <v>6842</v>
      </c>
      <c r="E29" t="s">
        <v>7896</v>
      </c>
      <c r="F29" t="s">
        <v>28</v>
      </c>
      <c r="G29" t="s">
        <v>242</v>
      </c>
      <c r="H29" t="s">
        <v>43</v>
      </c>
      <c r="I29" s="13" t="s">
        <v>243</v>
      </c>
      <c r="J29" t="s">
        <v>244</v>
      </c>
      <c r="K29" t="s">
        <v>7886</v>
      </c>
      <c r="L29" t="s">
        <v>7893</v>
      </c>
      <c r="M29" t="s">
        <v>63</v>
      </c>
      <c r="N29" t="s">
        <v>33</v>
      </c>
      <c r="O29" s="17">
        <v>812500</v>
      </c>
      <c r="P29" s="17" t="s">
        <v>7854</v>
      </c>
      <c r="Q29" s="22">
        <v>0</v>
      </c>
      <c r="R29" s="22" t="s">
        <v>7854</v>
      </c>
      <c r="S29" s="24">
        <v>0</v>
      </c>
      <c r="T29" s="24" t="s">
        <v>7854</v>
      </c>
      <c r="U29" t="s">
        <v>245</v>
      </c>
    </row>
    <row r="30" spans="1:21" x14ac:dyDescent="0.25">
      <c r="A30">
        <v>29</v>
      </c>
      <c r="B30">
        <v>22620</v>
      </c>
      <c r="C30" t="s">
        <v>246</v>
      </c>
      <c r="D30" t="s">
        <v>6843</v>
      </c>
      <c r="E30" t="s">
        <v>250</v>
      </c>
      <c r="F30" t="s">
        <v>53</v>
      </c>
      <c r="G30" t="s">
        <v>251</v>
      </c>
      <c r="H30" t="s">
        <v>43</v>
      </c>
      <c r="I30" s="13" t="s">
        <v>252</v>
      </c>
      <c r="J30" t="s">
        <v>31</v>
      </c>
      <c r="K30" t="s">
        <v>7879</v>
      </c>
      <c r="L30" t="s">
        <v>7888</v>
      </c>
      <c r="M30" t="s">
        <v>63</v>
      </c>
      <c r="N30" t="s">
        <v>33</v>
      </c>
      <c r="O30" s="17">
        <v>195000</v>
      </c>
      <c r="P30" s="17" t="s">
        <v>7854</v>
      </c>
      <c r="Q30" s="22">
        <v>0</v>
      </c>
      <c r="R30" s="22" t="s">
        <v>7854</v>
      </c>
      <c r="S30" s="24">
        <v>0</v>
      </c>
      <c r="T30" s="24" t="s">
        <v>7854</v>
      </c>
      <c r="U30" t="s">
        <v>253</v>
      </c>
    </row>
    <row r="31" spans="1:21" x14ac:dyDescent="0.25">
      <c r="A31">
        <v>30</v>
      </c>
      <c r="B31">
        <v>24007</v>
      </c>
      <c r="C31" t="s">
        <v>254</v>
      </c>
      <c r="D31" t="s">
        <v>6844</v>
      </c>
      <c r="E31" t="s">
        <v>257</v>
      </c>
      <c r="F31" t="s">
        <v>28</v>
      </c>
      <c r="G31" t="s">
        <v>258</v>
      </c>
      <c r="H31" t="s">
        <v>43</v>
      </c>
      <c r="I31" s="13" t="s">
        <v>259</v>
      </c>
      <c r="J31" t="s">
        <v>31</v>
      </c>
      <c r="K31" t="s">
        <v>7879</v>
      </c>
      <c r="L31" t="s">
        <v>7981</v>
      </c>
      <c r="M31" t="s">
        <v>46</v>
      </c>
      <c r="N31" t="s">
        <v>33</v>
      </c>
      <c r="O31" s="17">
        <v>195000</v>
      </c>
      <c r="P31" s="17" t="s">
        <v>7854</v>
      </c>
      <c r="Q31" s="22">
        <v>0</v>
      </c>
      <c r="R31" s="22" t="s">
        <v>7854</v>
      </c>
      <c r="S31" s="24">
        <v>0</v>
      </c>
      <c r="T31" s="24" t="s">
        <v>7854</v>
      </c>
      <c r="U31" t="s">
        <v>260</v>
      </c>
    </row>
    <row r="32" spans="1:21" x14ac:dyDescent="0.25">
      <c r="A32">
        <v>31</v>
      </c>
      <c r="B32">
        <v>24049</v>
      </c>
      <c r="C32" t="s">
        <v>261</v>
      </c>
      <c r="D32" t="s">
        <v>6845</v>
      </c>
      <c r="E32" t="s">
        <v>265</v>
      </c>
      <c r="F32" t="s">
        <v>53</v>
      </c>
      <c r="G32" t="s">
        <v>266</v>
      </c>
      <c r="H32" t="s">
        <v>43</v>
      </c>
      <c r="I32" s="13" t="s">
        <v>267</v>
      </c>
      <c r="J32" t="s">
        <v>31</v>
      </c>
      <c r="K32" t="s">
        <v>7879</v>
      </c>
      <c r="L32" t="s">
        <v>7940</v>
      </c>
      <c r="M32" t="s">
        <v>63</v>
      </c>
      <c r="N32" t="s">
        <v>33</v>
      </c>
      <c r="O32" s="17">
        <v>195000</v>
      </c>
      <c r="P32" s="17" t="s">
        <v>7854</v>
      </c>
      <c r="Q32" s="22">
        <v>0</v>
      </c>
      <c r="R32" s="22" t="s">
        <v>7854</v>
      </c>
      <c r="S32" s="24">
        <v>0</v>
      </c>
      <c r="T32" s="24" t="s">
        <v>7854</v>
      </c>
      <c r="U32" t="s">
        <v>268</v>
      </c>
    </row>
    <row r="33" spans="1:21" x14ac:dyDescent="0.25">
      <c r="A33">
        <v>32</v>
      </c>
      <c r="B33">
        <v>24006</v>
      </c>
      <c r="C33" t="s">
        <v>269</v>
      </c>
      <c r="D33" t="s">
        <v>6846</v>
      </c>
      <c r="E33" t="s">
        <v>273</v>
      </c>
      <c r="F33" t="s">
        <v>28</v>
      </c>
      <c r="G33" t="s">
        <v>274</v>
      </c>
      <c r="H33" t="s">
        <v>43</v>
      </c>
      <c r="I33" s="13" t="s">
        <v>275</v>
      </c>
      <c r="J33" t="s">
        <v>31</v>
      </c>
      <c r="K33" t="s">
        <v>7879</v>
      </c>
      <c r="L33" t="s">
        <v>8028</v>
      </c>
      <c r="M33" t="s">
        <v>63</v>
      </c>
      <c r="N33" t="s">
        <v>33</v>
      </c>
      <c r="O33" s="17">
        <v>195000</v>
      </c>
      <c r="P33" s="17" t="s">
        <v>7854</v>
      </c>
      <c r="Q33" s="22">
        <v>0</v>
      </c>
      <c r="R33" s="22" t="s">
        <v>7854</v>
      </c>
      <c r="S33" s="24">
        <v>0</v>
      </c>
      <c r="T33" s="24" t="s">
        <v>7854</v>
      </c>
      <c r="U33" t="s">
        <v>276</v>
      </c>
    </row>
    <row r="34" spans="1:21" x14ac:dyDescent="0.25">
      <c r="A34">
        <v>33</v>
      </c>
      <c r="B34">
        <v>24074</v>
      </c>
      <c r="C34" t="s">
        <v>277</v>
      </c>
      <c r="D34" t="s">
        <v>6847</v>
      </c>
      <c r="E34" t="s">
        <v>280</v>
      </c>
      <c r="F34" t="s">
        <v>28</v>
      </c>
      <c r="G34" t="s">
        <v>281</v>
      </c>
      <c r="H34" t="s">
        <v>43</v>
      </c>
      <c r="I34" s="13" t="s">
        <v>282</v>
      </c>
      <c r="J34" t="s">
        <v>31</v>
      </c>
      <c r="K34" t="s">
        <v>7879</v>
      </c>
      <c r="L34" t="s">
        <v>7888</v>
      </c>
      <c r="M34" t="s">
        <v>63</v>
      </c>
      <c r="N34" t="s">
        <v>33</v>
      </c>
      <c r="O34" s="17">
        <v>195000</v>
      </c>
      <c r="P34" s="17" t="s">
        <v>7854</v>
      </c>
      <c r="Q34" s="22">
        <v>0</v>
      </c>
      <c r="R34" s="22" t="s">
        <v>7854</v>
      </c>
      <c r="S34" s="24">
        <v>0</v>
      </c>
      <c r="T34" s="24" t="s">
        <v>7854</v>
      </c>
      <c r="U34" t="s">
        <v>283</v>
      </c>
    </row>
    <row r="35" spans="1:21" x14ac:dyDescent="0.25">
      <c r="A35">
        <v>34</v>
      </c>
      <c r="B35">
        <v>23979</v>
      </c>
      <c r="C35" t="s">
        <v>284</v>
      </c>
      <c r="D35" t="s">
        <v>6848</v>
      </c>
      <c r="E35" t="s">
        <v>288</v>
      </c>
      <c r="F35" t="s">
        <v>28</v>
      </c>
      <c r="G35" t="s">
        <v>289</v>
      </c>
      <c r="H35" t="s">
        <v>43</v>
      </c>
      <c r="I35" s="13" t="s">
        <v>290</v>
      </c>
      <c r="J35" t="s">
        <v>31</v>
      </c>
      <c r="K35" t="s">
        <v>7879</v>
      </c>
      <c r="L35" t="s">
        <v>7893</v>
      </c>
      <c r="M35" t="s">
        <v>63</v>
      </c>
      <c r="N35" t="s">
        <v>33</v>
      </c>
      <c r="O35" s="17">
        <v>195000</v>
      </c>
      <c r="P35" s="17" t="s">
        <v>7854</v>
      </c>
      <c r="Q35" s="22">
        <v>0</v>
      </c>
      <c r="R35" s="22" t="s">
        <v>7854</v>
      </c>
      <c r="S35" s="24">
        <v>0</v>
      </c>
      <c r="T35" s="24" t="s">
        <v>7854</v>
      </c>
      <c r="U35" t="s">
        <v>291</v>
      </c>
    </row>
    <row r="36" spans="1:21" x14ac:dyDescent="0.25">
      <c r="A36">
        <v>35</v>
      </c>
      <c r="B36">
        <v>6616</v>
      </c>
      <c r="C36" t="s">
        <v>292</v>
      </c>
      <c r="D36" t="s">
        <v>6849</v>
      </c>
      <c r="E36" t="s">
        <v>7897</v>
      </c>
      <c r="F36" t="s">
        <v>53</v>
      </c>
      <c r="G36" t="s">
        <v>296</v>
      </c>
      <c r="H36" t="s">
        <v>43</v>
      </c>
      <c r="I36" s="12">
        <v>8034274871</v>
      </c>
      <c r="J36" t="s">
        <v>244</v>
      </c>
      <c r="K36" t="s">
        <v>7886</v>
      </c>
      <c r="L36" t="s">
        <v>7893</v>
      </c>
      <c r="M36" t="s">
        <v>63</v>
      </c>
      <c r="N36" t="s">
        <v>33</v>
      </c>
      <c r="O36" s="17">
        <v>812500</v>
      </c>
      <c r="P36" s="17" t="s">
        <v>7854</v>
      </c>
      <c r="Q36" s="22">
        <v>0</v>
      </c>
      <c r="R36" s="22" t="s">
        <v>7854</v>
      </c>
      <c r="S36" s="24">
        <v>0</v>
      </c>
      <c r="T36" s="24" t="s">
        <v>7854</v>
      </c>
      <c r="U36" t="s">
        <v>297</v>
      </c>
    </row>
    <row r="37" spans="1:21" x14ac:dyDescent="0.25">
      <c r="A37">
        <v>37</v>
      </c>
      <c r="B37">
        <v>23974</v>
      </c>
      <c r="C37" t="s">
        <v>299</v>
      </c>
      <c r="D37" t="s">
        <v>6850</v>
      </c>
      <c r="E37" t="s">
        <v>303</v>
      </c>
      <c r="F37" t="s">
        <v>53</v>
      </c>
      <c r="G37" t="s">
        <v>304</v>
      </c>
      <c r="H37" t="s">
        <v>43</v>
      </c>
      <c r="I37" s="13" t="s">
        <v>305</v>
      </c>
      <c r="J37" t="s">
        <v>31</v>
      </c>
      <c r="K37" t="s">
        <v>7879</v>
      </c>
      <c r="L37" t="s">
        <v>7940</v>
      </c>
      <c r="M37" t="s">
        <v>63</v>
      </c>
      <c r="N37" t="s">
        <v>33</v>
      </c>
      <c r="O37" s="17">
        <v>195000</v>
      </c>
      <c r="P37" s="17" t="s">
        <v>7854</v>
      </c>
      <c r="Q37" s="22">
        <v>0</v>
      </c>
      <c r="R37" s="22" t="s">
        <v>7854</v>
      </c>
      <c r="S37" s="24">
        <v>0</v>
      </c>
      <c r="T37" s="24" t="s">
        <v>7854</v>
      </c>
      <c r="U37" t="s">
        <v>306</v>
      </c>
    </row>
    <row r="38" spans="1:21" x14ac:dyDescent="0.25">
      <c r="A38">
        <v>39</v>
      </c>
      <c r="B38">
        <v>1785</v>
      </c>
      <c r="C38" t="s">
        <v>308</v>
      </c>
      <c r="D38" t="s">
        <v>6851</v>
      </c>
      <c r="E38" t="s">
        <v>311</v>
      </c>
      <c r="F38" t="s">
        <v>53</v>
      </c>
      <c r="G38" t="s">
        <v>312</v>
      </c>
      <c r="H38" t="s">
        <v>43</v>
      </c>
      <c r="I38" s="12">
        <v>7030319335</v>
      </c>
      <c r="J38" t="s">
        <v>21</v>
      </c>
      <c r="K38" t="s">
        <v>7886</v>
      </c>
      <c r="L38" t="s">
        <v>7940</v>
      </c>
      <c r="M38" t="s">
        <v>63</v>
      </c>
      <c r="N38" t="s">
        <v>33</v>
      </c>
      <c r="O38" s="17">
        <v>812500</v>
      </c>
      <c r="P38" s="17" t="s">
        <v>7854</v>
      </c>
      <c r="Q38" s="22">
        <v>0</v>
      </c>
      <c r="R38" s="22" t="s">
        <v>7854</v>
      </c>
      <c r="S38" s="24">
        <v>162500</v>
      </c>
      <c r="T38" s="24" t="s">
        <v>7854</v>
      </c>
      <c r="U38" t="s">
        <v>313</v>
      </c>
    </row>
    <row r="39" spans="1:21" x14ac:dyDescent="0.25">
      <c r="A39">
        <v>40</v>
      </c>
      <c r="B39">
        <v>19228</v>
      </c>
      <c r="C39" t="s">
        <v>314</v>
      </c>
      <c r="D39" t="s">
        <v>6852</v>
      </c>
      <c r="E39" t="s">
        <v>318</v>
      </c>
      <c r="F39" t="s">
        <v>53</v>
      </c>
      <c r="G39" t="s">
        <v>319</v>
      </c>
      <c r="H39" t="s">
        <v>43</v>
      </c>
      <c r="I39" s="13" t="s">
        <v>320</v>
      </c>
      <c r="J39" t="s">
        <v>31</v>
      </c>
      <c r="K39" t="s">
        <v>7881</v>
      </c>
      <c r="L39" t="s">
        <v>7893</v>
      </c>
      <c r="M39" t="s">
        <v>87</v>
      </c>
      <c r="N39" t="s">
        <v>33</v>
      </c>
      <c r="O39" s="17">
        <v>552500</v>
      </c>
      <c r="P39" s="17" t="s">
        <v>7854</v>
      </c>
      <c r="Q39" s="22">
        <v>0</v>
      </c>
      <c r="R39" s="22" t="s">
        <v>7854</v>
      </c>
      <c r="S39" s="24">
        <v>0</v>
      </c>
      <c r="T39" s="24" t="s">
        <v>7854</v>
      </c>
      <c r="U39" t="s">
        <v>321</v>
      </c>
    </row>
    <row r="40" spans="1:21" x14ac:dyDescent="0.25">
      <c r="A40">
        <v>41</v>
      </c>
      <c r="B40">
        <v>24030</v>
      </c>
      <c r="C40" t="s">
        <v>322</v>
      </c>
      <c r="D40" t="s">
        <v>6853</v>
      </c>
      <c r="E40" t="s">
        <v>326</v>
      </c>
      <c r="F40" t="s">
        <v>28</v>
      </c>
      <c r="G40" t="s">
        <v>327</v>
      </c>
      <c r="H40" t="s">
        <v>30</v>
      </c>
      <c r="I40" s="12">
        <v>3187877</v>
      </c>
      <c r="J40" t="s">
        <v>31</v>
      </c>
      <c r="K40" t="s">
        <v>7879</v>
      </c>
      <c r="L40" t="s">
        <v>7940</v>
      </c>
      <c r="M40" t="s">
        <v>32</v>
      </c>
      <c r="N40" t="s">
        <v>33</v>
      </c>
      <c r="O40" s="17">
        <v>195000</v>
      </c>
      <c r="P40" s="17" t="s">
        <v>7854</v>
      </c>
      <c r="Q40" s="22">
        <v>0</v>
      </c>
      <c r="R40" s="22" t="s">
        <v>7854</v>
      </c>
      <c r="S40" s="24">
        <v>0</v>
      </c>
      <c r="T40" s="24" t="s">
        <v>7854</v>
      </c>
      <c r="U40" t="s">
        <v>328</v>
      </c>
    </row>
    <row r="41" spans="1:21" x14ac:dyDescent="0.25">
      <c r="A41">
        <v>42</v>
      </c>
      <c r="B41">
        <v>22577</v>
      </c>
      <c r="C41" t="s">
        <v>329</v>
      </c>
      <c r="D41" t="s">
        <v>6854</v>
      </c>
      <c r="E41" t="s">
        <v>333</v>
      </c>
      <c r="F41" t="s">
        <v>28</v>
      </c>
      <c r="G41" t="s">
        <v>334</v>
      </c>
      <c r="H41" t="s">
        <v>43</v>
      </c>
      <c r="I41" s="13" t="s">
        <v>335</v>
      </c>
      <c r="J41" t="s">
        <v>45</v>
      </c>
      <c r="K41" t="s">
        <v>7879</v>
      </c>
      <c r="L41" t="s">
        <v>8028</v>
      </c>
      <c r="M41" t="s">
        <v>46</v>
      </c>
      <c r="N41" t="s">
        <v>33</v>
      </c>
      <c r="O41" s="17">
        <v>195000</v>
      </c>
      <c r="P41" s="17" t="s">
        <v>7854</v>
      </c>
      <c r="Q41" s="22">
        <v>0</v>
      </c>
      <c r="R41" s="22" t="s">
        <v>7854</v>
      </c>
      <c r="S41" s="24">
        <v>0</v>
      </c>
      <c r="T41" s="24" t="s">
        <v>7854</v>
      </c>
      <c r="U41" t="s">
        <v>336</v>
      </c>
    </row>
    <row r="42" spans="1:21" x14ac:dyDescent="0.25">
      <c r="A42">
        <v>43</v>
      </c>
      <c r="B42">
        <v>4163</v>
      </c>
      <c r="C42" t="s">
        <v>337</v>
      </c>
      <c r="D42" t="s">
        <v>6855</v>
      </c>
      <c r="E42" t="s">
        <v>341</v>
      </c>
      <c r="F42" t="s">
        <v>53</v>
      </c>
      <c r="G42" t="s">
        <v>342</v>
      </c>
      <c r="H42" t="s">
        <v>43</v>
      </c>
      <c r="I42" s="12">
        <v>8038662941</v>
      </c>
      <c r="J42" t="s">
        <v>31</v>
      </c>
      <c r="K42" t="s">
        <v>7881</v>
      </c>
      <c r="L42" t="s">
        <v>7893</v>
      </c>
      <c r="M42" t="s">
        <v>46</v>
      </c>
      <c r="N42" t="s">
        <v>33</v>
      </c>
      <c r="O42" s="17">
        <v>552500</v>
      </c>
      <c r="P42" s="17" t="s">
        <v>7854</v>
      </c>
      <c r="Q42" s="22">
        <v>0</v>
      </c>
      <c r="R42" s="22" t="s">
        <v>7854</v>
      </c>
      <c r="S42" s="24">
        <v>0</v>
      </c>
      <c r="T42" s="24" t="s">
        <v>7854</v>
      </c>
      <c r="U42" t="s">
        <v>343</v>
      </c>
    </row>
    <row r="43" spans="1:21" x14ac:dyDescent="0.25">
      <c r="A43">
        <v>44</v>
      </c>
      <c r="B43">
        <v>24105</v>
      </c>
      <c r="C43" t="s">
        <v>344</v>
      </c>
      <c r="D43" t="s">
        <v>6856</v>
      </c>
      <c r="E43" t="s">
        <v>348</v>
      </c>
      <c r="F43" t="s">
        <v>28</v>
      </c>
      <c r="G43" t="s">
        <v>349</v>
      </c>
      <c r="H43" t="s">
        <v>43</v>
      </c>
      <c r="I43" s="13" t="s">
        <v>350</v>
      </c>
      <c r="J43" t="s">
        <v>31</v>
      </c>
      <c r="K43" t="s">
        <v>7879</v>
      </c>
      <c r="L43" t="s">
        <v>7981</v>
      </c>
      <c r="M43" t="s">
        <v>46</v>
      </c>
      <c r="N43" t="s">
        <v>33</v>
      </c>
      <c r="O43" s="17">
        <v>195000</v>
      </c>
      <c r="P43" s="17" t="s">
        <v>7854</v>
      </c>
      <c r="Q43" s="22">
        <v>0</v>
      </c>
      <c r="R43" s="22" t="s">
        <v>7854</v>
      </c>
      <c r="S43" s="24">
        <v>0</v>
      </c>
      <c r="T43" s="24" t="s">
        <v>7854</v>
      </c>
      <c r="U43" t="s">
        <v>351</v>
      </c>
    </row>
    <row r="44" spans="1:21" x14ac:dyDescent="0.25">
      <c r="A44">
        <v>45</v>
      </c>
      <c r="B44">
        <v>24078</v>
      </c>
      <c r="C44" t="s">
        <v>352</v>
      </c>
      <c r="D44" t="s">
        <v>6857</v>
      </c>
      <c r="E44" t="s">
        <v>356</v>
      </c>
      <c r="F44" t="s">
        <v>53</v>
      </c>
      <c r="G44" t="s">
        <v>356</v>
      </c>
      <c r="H44" t="s">
        <v>43</v>
      </c>
      <c r="I44" s="13" t="s">
        <v>357</v>
      </c>
      <c r="J44" t="s">
        <v>31</v>
      </c>
      <c r="K44" t="s">
        <v>7879</v>
      </c>
      <c r="L44" t="s">
        <v>7940</v>
      </c>
      <c r="M44" t="s">
        <v>63</v>
      </c>
      <c r="N44" t="s">
        <v>33</v>
      </c>
      <c r="O44" s="17">
        <v>195000</v>
      </c>
      <c r="P44" s="17" t="s">
        <v>7854</v>
      </c>
      <c r="Q44" s="22">
        <v>0</v>
      </c>
      <c r="R44" s="22" t="s">
        <v>7854</v>
      </c>
      <c r="S44" s="24">
        <v>0</v>
      </c>
      <c r="T44" s="24" t="s">
        <v>7854</v>
      </c>
      <c r="U44" t="s">
        <v>358</v>
      </c>
    </row>
    <row r="45" spans="1:21" x14ac:dyDescent="0.25">
      <c r="A45">
        <v>46</v>
      </c>
      <c r="B45">
        <v>24098</v>
      </c>
      <c r="C45" t="s">
        <v>359</v>
      </c>
      <c r="D45" t="s">
        <v>6858</v>
      </c>
      <c r="E45" t="s">
        <v>363</v>
      </c>
      <c r="F45" t="s">
        <v>53</v>
      </c>
      <c r="G45" t="s">
        <v>364</v>
      </c>
      <c r="H45" t="s">
        <v>43</v>
      </c>
      <c r="I45" s="13" t="s">
        <v>365</v>
      </c>
      <c r="J45" t="s">
        <v>31</v>
      </c>
      <c r="K45" t="s">
        <v>7879</v>
      </c>
      <c r="L45" t="s">
        <v>7940</v>
      </c>
      <c r="M45" t="s">
        <v>46</v>
      </c>
      <c r="N45" t="s">
        <v>33</v>
      </c>
      <c r="O45" s="17">
        <v>195000</v>
      </c>
      <c r="P45" s="17" t="s">
        <v>7854</v>
      </c>
      <c r="Q45" s="22">
        <v>0</v>
      </c>
      <c r="R45" s="22" t="s">
        <v>7854</v>
      </c>
      <c r="S45" s="24">
        <v>0</v>
      </c>
      <c r="T45" s="24" t="s">
        <v>7854</v>
      </c>
      <c r="U45" t="s">
        <v>366</v>
      </c>
    </row>
    <row r="46" spans="1:21" x14ac:dyDescent="0.25">
      <c r="A46">
        <v>47</v>
      </c>
      <c r="B46">
        <v>24080</v>
      </c>
      <c r="C46" t="s">
        <v>367</v>
      </c>
      <c r="D46" t="s">
        <v>6859</v>
      </c>
      <c r="E46" t="s">
        <v>370</v>
      </c>
      <c r="F46" t="s">
        <v>28</v>
      </c>
      <c r="G46" t="s">
        <v>371</v>
      </c>
      <c r="H46" t="s">
        <v>43</v>
      </c>
      <c r="I46" s="12">
        <v>2349036808868</v>
      </c>
      <c r="J46" t="s">
        <v>31</v>
      </c>
      <c r="K46" t="s">
        <v>7879</v>
      </c>
      <c r="L46" t="s">
        <v>7893</v>
      </c>
      <c r="M46" t="s">
        <v>46</v>
      </c>
      <c r="N46" t="s">
        <v>33</v>
      </c>
      <c r="O46" s="17">
        <v>195000</v>
      </c>
      <c r="P46" s="17" t="s">
        <v>7854</v>
      </c>
      <c r="Q46" s="22">
        <v>0</v>
      </c>
      <c r="R46" s="22" t="s">
        <v>7854</v>
      </c>
      <c r="S46" s="24">
        <v>0</v>
      </c>
      <c r="T46" s="24" t="s">
        <v>7854</v>
      </c>
      <c r="U46" t="s">
        <v>372</v>
      </c>
    </row>
    <row r="47" spans="1:21" x14ac:dyDescent="0.25">
      <c r="A47">
        <v>48</v>
      </c>
      <c r="B47">
        <v>23906</v>
      </c>
      <c r="C47" t="s">
        <v>373</v>
      </c>
      <c r="D47" t="s">
        <v>6860</v>
      </c>
      <c r="E47" t="s">
        <v>377</v>
      </c>
      <c r="F47" t="s">
        <v>28</v>
      </c>
      <c r="G47" t="s">
        <v>378</v>
      </c>
      <c r="H47" t="s">
        <v>43</v>
      </c>
      <c r="I47" s="13" t="s">
        <v>379</v>
      </c>
      <c r="J47" t="s">
        <v>31</v>
      </c>
      <c r="K47" t="s">
        <v>7879</v>
      </c>
      <c r="L47" t="s">
        <v>7940</v>
      </c>
      <c r="M47" t="s">
        <v>87</v>
      </c>
      <c r="N47" t="s">
        <v>33</v>
      </c>
      <c r="O47" s="17">
        <v>195000</v>
      </c>
      <c r="P47" s="17" t="s">
        <v>7854</v>
      </c>
      <c r="Q47" s="22">
        <v>0</v>
      </c>
      <c r="R47" s="22" t="s">
        <v>7854</v>
      </c>
      <c r="S47" s="24">
        <v>0</v>
      </c>
      <c r="T47" s="24" t="s">
        <v>7854</v>
      </c>
      <c r="U47" t="s">
        <v>380</v>
      </c>
    </row>
    <row r="48" spans="1:21" x14ac:dyDescent="0.25">
      <c r="A48">
        <v>49</v>
      </c>
      <c r="B48">
        <v>24119</v>
      </c>
      <c r="C48" t="s">
        <v>381</v>
      </c>
      <c r="D48" t="s">
        <v>6861</v>
      </c>
      <c r="E48" t="s">
        <v>385</v>
      </c>
      <c r="F48" t="s">
        <v>53</v>
      </c>
      <c r="G48" t="s">
        <v>386</v>
      </c>
      <c r="H48" t="s">
        <v>43</v>
      </c>
      <c r="I48" s="12">
        <v>2347068017522</v>
      </c>
      <c r="J48" t="s">
        <v>31</v>
      </c>
      <c r="K48" t="s">
        <v>7879</v>
      </c>
      <c r="L48" t="s">
        <v>7888</v>
      </c>
      <c r="M48" t="s">
        <v>46</v>
      </c>
      <c r="N48" t="s">
        <v>33</v>
      </c>
      <c r="O48" s="17">
        <v>195000</v>
      </c>
      <c r="P48" s="17" t="s">
        <v>7854</v>
      </c>
      <c r="Q48" s="22">
        <v>0</v>
      </c>
      <c r="R48" s="22" t="s">
        <v>7854</v>
      </c>
      <c r="S48" s="24">
        <v>0</v>
      </c>
      <c r="T48" s="24" t="s">
        <v>7854</v>
      </c>
      <c r="U48" t="s">
        <v>387</v>
      </c>
    </row>
    <row r="49" spans="1:21" x14ac:dyDescent="0.25">
      <c r="A49">
        <v>50</v>
      </c>
      <c r="B49">
        <v>24123</v>
      </c>
      <c r="C49" t="s">
        <v>388</v>
      </c>
      <c r="D49" t="s">
        <v>6862</v>
      </c>
      <c r="E49" t="s">
        <v>392</v>
      </c>
      <c r="F49" t="s">
        <v>28</v>
      </c>
      <c r="G49" t="s">
        <v>393</v>
      </c>
      <c r="H49" t="s">
        <v>43</v>
      </c>
      <c r="I49" s="13" t="s">
        <v>394</v>
      </c>
      <c r="J49" t="s">
        <v>31</v>
      </c>
      <c r="K49" t="s">
        <v>7879</v>
      </c>
      <c r="L49" t="s">
        <v>7981</v>
      </c>
      <c r="M49" t="s">
        <v>87</v>
      </c>
      <c r="N49" t="s">
        <v>33</v>
      </c>
      <c r="O49" s="17">
        <v>195000</v>
      </c>
      <c r="P49" s="17" t="s">
        <v>7854</v>
      </c>
      <c r="Q49" s="22">
        <v>0</v>
      </c>
      <c r="R49" s="22" t="s">
        <v>7854</v>
      </c>
      <c r="S49" s="24">
        <v>0</v>
      </c>
      <c r="T49" s="24" t="s">
        <v>7854</v>
      </c>
      <c r="U49" t="s">
        <v>395</v>
      </c>
    </row>
    <row r="50" spans="1:21" x14ac:dyDescent="0.25">
      <c r="A50">
        <v>51</v>
      </c>
      <c r="B50">
        <v>24102</v>
      </c>
      <c r="C50" t="s">
        <v>396</v>
      </c>
      <c r="D50" t="s">
        <v>6863</v>
      </c>
      <c r="E50" t="s">
        <v>400</v>
      </c>
      <c r="F50" t="s">
        <v>28</v>
      </c>
      <c r="G50" t="s">
        <v>401</v>
      </c>
      <c r="H50" t="s">
        <v>43</v>
      </c>
      <c r="I50" s="13" t="s">
        <v>402</v>
      </c>
      <c r="J50" t="s">
        <v>31</v>
      </c>
      <c r="K50" t="s">
        <v>7879</v>
      </c>
      <c r="L50" t="s">
        <v>7940</v>
      </c>
      <c r="M50" t="s">
        <v>63</v>
      </c>
      <c r="N50" t="s">
        <v>33</v>
      </c>
      <c r="O50" s="17">
        <v>195000</v>
      </c>
      <c r="P50" s="17" t="s">
        <v>7854</v>
      </c>
      <c r="Q50" s="22">
        <v>0</v>
      </c>
      <c r="R50" s="22" t="s">
        <v>7854</v>
      </c>
      <c r="S50" s="24">
        <v>0</v>
      </c>
      <c r="T50" s="24" t="s">
        <v>7854</v>
      </c>
      <c r="U50" t="s">
        <v>403</v>
      </c>
    </row>
    <row r="51" spans="1:21" x14ac:dyDescent="0.25">
      <c r="A51">
        <v>52</v>
      </c>
      <c r="B51">
        <v>24121</v>
      </c>
      <c r="C51" t="s">
        <v>404</v>
      </c>
      <c r="D51" t="s">
        <v>6864</v>
      </c>
      <c r="E51" t="s">
        <v>407</v>
      </c>
      <c r="F51" t="s">
        <v>53</v>
      </c>
      <c r="G51" t="s">
        <v>408</v>
      </c>
      <c r="H51" t="s">
        <v>43</v>
      </c>
      <c r="I51" s="13" t="s">
        <v>409</v>
      </c>
      <c r="J51" t="s">
        <v>31</v>
      </c>
      <c r="K51" t="s">
        <v>7879</v>
      </c>
      <c r="L51" t="s">
        <v>7940</v>
      </c>
      <c r="M51" t="s">
        <v>63</v>
      </c>
      <c r="N51" t="s">
        <v>33</v>
      </c>
      <c r="O51" s="17">
        <v>195000</v>
      </c>
      <c r="P51" s="17" t="s">
        <v>7854</v>
      </c>
      <c r="Q51" s="22">
        <v>0</v>
      </c>
      <c r="R51" s="22" t="s">
        <v>7854</v>
      </c>
      <c r="S51" s="24">
        <v>0</v>
      </c>
      <c r="T51" s="24" t="s">
        <v>7854</v>
      </c>
      <c r="U51" t="s">
        <v>410</v>
      </c>
    </row>
    <row r="52" spans="1:21" x14ac:dyDescent="0.25">
      <c r="A52">
        <v>53</v>
      </c>
      <c r="B52">
        <v>5174</v>
      </c>
      <c r="C52" t="s">
        <v>411</v>
      </c>
      <c r="D52" t="s">
        <v>6865</v>
      </c>
      <c r="E52" t="s">
        <v>413</v>
      </c>
      <c r="F52" t="s">
        <v>28</v>
      </c>
      <c r="G52" t="s">
        <v>414</v>
      </c>
      <c r="H52" t="s">
        <v>43</v>
      </c>
      <c r="I52" s="12">
        <v>8156028527</v>
      </c>
      <c r="J52" t="s">
        <v>45</v>
      </c>
      <c r="K52" t="s">
        <v>7881</v>
      </c>
      <c r="L52" t="s">
        <v>7893</v>
      </c>
      <c r="M52" t="s">
        <v>63</v>
      </c>
      <c r="N52" t="s">
        <v>33</v>
      </c>
      <c r="O52" s="17">
        <v>552500</v>
      </c>
      <c r="P52" s="17" t="s">
        <v>7854</v>
      </c>
      <c r="Q52" s="22">
        <v>0</v>
      </c>
      <c r="R52" s="22" t="s">
        <v>7854</v>
      </c>
      <c r="S52" s="24">
        <v>0</v>
      </c>
      <c r="T52" s="24" t="s">
        <v>7854</v>
      </c>
      <c r="U52" t="s">
        <v>415</v>
      </c>
    </row>
    <row r="53" spans="1:21" x14ac:dyDescent="0.25">
      <c r="A53">
        <v>54</v>
      </c>
      <c r="B53">
        <v>19459</v>
      </c>
      <c r="C53" t="s">
        <v>416</v>
      </c>
      <c r="D53" t="s">
        <v>6866</v>
      </c>
      <c r="E53" t="s">
        <v>420</v>
      </c>
      <c r="F53" t="s">
        <v>28</v>
      </c>
      <c r="G53" t="s">
        <v>421</v>
      </c>
      <c r="H53" t="s">
        <v>43</v>
      </c>
      <c r="I53" s="13" t="s">
        <v>422</v>
      </c>
      <c r="J53" t="s">
        <v>31</v>
      </c>
      <c r="K53" t="s">
        <v>7879</v>
      </c>
      <c r="L53" t="s">
        <v>7940</v>
      </c>
      <c r="M53" t="s">
        <v>63</v>
      </c>
      <c r="N53" t="s">
        <v>33</v>
      </c>
      <c r="O53" s="17">
        <v>195000</v>
      </c>
      <c r="P53" s="17" t="s">
        <v>7854</v>
      </c>
      <c r="Q53" s="22">
        <v>0</v>
      </c>
      <c r="R53" s="22" t="s">
        <v>7854</v>
      </c>
      <c r="S53" s="24">
        <v>0</v>
      </c>
      <c r="T53" s="24" t="s">
        <v>7854</v>
      </c>
      <c r="U53" t="s">
        <v>423</v>
      </c>
    </row>
    <row r="54" spans="1:21" x14ac:dyDescent="0.25">
      <c r="A54">
        <v>55</v>
      </c>
      <c r="B54">
        <v>1878</v>
      </c>
      <c r="C54" t="s">
        <v>424</v>
      </c>
      <c r="D54" t="s">
        <v>6867</v>
      </c>
      <c r="E54" t="s">
        <v>428</v>
      </c>
      <c r="F54" t="s">
        <v>53</v>
      </c>
      <c r="G54" t="s">
        <v>429</v>
      </c>
      <c r="H54" t="s">
        <v>43</v>
      </c>
      <c r="I54" s="13" t="s">
        <v>430</v>
      </c>
      <c r="J54" t="s">
        <v>45</v>
      </c>
      <c r="K54" t="s">
        <v>7886</v>
      </c>
      <c r="L54" t="s">
        <v>7893</v>
      </c>
      <c r="M54" t="s">
        <v>46</v>
      </c>
      <c r="N54" t="s">
        <v>33</v>
      </c>
      <c r="O54" s="17">
        <v>812500</v>
      </c>
      <c r="P54" s="17" t="s">
        <v>7854</v>
      </c>
      <c r="Q54" s="22">
        <v>0</v>
      </c>
      <c r="R54" s="22" t="s">
        <v>7854</v>
      </c>
      <c r="S54" s="24">
        <v>162500</v>
      </c>
      <c r="T54" s="24" t="s">
        <v>7854</v>
      </c>
      <c r="U54" t="s">
        <v>431</v>
      </c>
    </row>
    <row r="55" spans="1:21" x14ac:dyDescent="0.25">
      <c r="A55">
        <v>56</v>
      </c>
      <c r="B55">
        <v>7556</v>
      </c>
      <c r="C55" t="s">
        <v>432</v>
      </c>
      <c r="D55" t="s">
        <v>6868</v>
      </c>
      <c r="E55" t="s">
        <v>436</v>
      </c>
      <c r="F55" t="s">
        <v>28</v>
      </c>
      <c r="G55" t="s">
        <v>437</v>
      </c>
      <c r="H55" t="s">
        <v>43</v>
      </c>
      <c r="I55" s="12">
        <v>8034057470</v>
      </c>
      <c r="J55" t="s">
        <v>31</v>
      </c>
      <c r="K55" t="s">
        <v>7886</v>
      </c>
      <c r="L55" t="s">
        <v>7981</v>
      </c>
      <c r="M55" t="s">
        <v>46</v>
      </c>
      <c r="N55" t="s">
        <v>33</v>
      </c>
      <c r="O55" s="17">
        <v>812500</v>
      </c>
      <c r="P55" s="17" t="s">
        <v>7854</v>
      </c>
      <c r="Q55" s="22">
        <v>0</v>
      </c>
      <c r="R55" s="22" t="s">
        <v>7854</v>
      </c>
      <c r="S55" s="24">
        <v>162500</v>
      </c>
      <c r="T55" s="24" t="s">
        <v>7854</v>
      </c>
      <c r="U55" t="s">
        <v>438</v>
      </c>
    </row>
    <row r="56" spans="1:21" x14ac:dyDescent="0.25">
      <c r="A56">
        <v>57</v>
      </c>
      <c r="B56">
        <v>24114</v>
      </c>
      <c r="C56" t="s">
        <v>439</v>
      </c>
      <c r="D56" t="s">
        <v>6869</v>
      </c>
      <c r="E56" t="s">
        <v>443</v>
      </c>
      <c r="F56" t="s">
        <v>28</v>
      </c>
      <c r="G56" t="s">
        <v>444</v>
      </c>
      <c r="H56" t="s">
        <v>43</v>
      </c>
      <c r="I56" s="13" t="s">
        <v>445</v>
      </c>
      <c r="J56" t="s">
        <v>31</v>
      </c>
      <c r="K56" t="s">
        <v>7879</v>
      </c>
      <c r="L56" t="s">
        <v>7981</v>
      </c>
      <c r="M56" t="s">
        <v>63</v>
      </c>
      <c r="N56" t="s">
        <v>33</v>
      </c>
      <c r="O56" s="17">
        <v>195000</v>
      </c>
      <c r="P56" s="17" t="s">
        <v>7854</v>
      </c>
      <c r="Q56" s="22">
        <v>0</v>
      </c>
      <c r="R56" s="22" t="s">
        <v>7854</v>
      </c>
      <c r="S56" s="24">
        <v>0</v>
      </c>
      <c r="T56" s="24" t="s">
        <v>7854</v>
      </c>
      <c r="U56" t="s">
        <v>446</v>
      </c>
    </row>
    <row r="57" spans="1:21" x14ac:dyDescent="0.25">
      <c r="A57">
        <v>58</v>
      </c>
      <c r="B57">
        <v>24117</v>
      </c>
      <c r="C57" t="s">
        <v>447</v>
      </c>
      <c r="D57" t="s">
        <v>6870</v>
      </c>
      <c r="E57" t="s">
        <v>451</v>
      </c>
      <c r="F57" t="s">
        <v>53</v>
      </c>
      <c r="G57" t="s">
        <v>452</v>
      </c>
      <c r="H57" t="s">
        <v>453</v>
      </c>
      <c r="I57" s="13" t="s">
        <v>454</v>
      </c>
      <c r="J57" t="s">
        <v>31</v>
      </c>
      <c r="K57" t="s">
        <v>7879</v>
      </c>
      <c r="L57" t="s">
        <v>7940</v>
      </c>
      <c r="M57" t="s">
        <v>455</v>
      </c>
      <c r="N57" t="s">
        <v>130</v>
      </c>
      <c r="O57" s="17" t="s">
        <v>7854</v>
      </c>
      <c r="P57" s="17">
        <v>150</v>
      </c>
      <c r="Q57" s="22" t="s">
        <v>7854</v>
      </c>
      <c r="R57" s="22">
        <v>0</v>
      </c>
      <c r="S57" s="24" t="s">
        <v>7854</v>
      </c>
      <c r="T57" s="24">
        <v>0</v>
      </c>
      <c r="U57" t="s">
        <v>456</v>
      </c>
    </row>
    <row r="58" spans="1:21" x14ac:dyDescent="0.25">
      <c r="A58">
        <v>59</v>
      </c>
      <c r="B58">
        <v>3930</v>
      </c>
      <c r="C58" t="s">
        <v>457</v>
      </c>
      <c r="D58" t="s">
        <v>6871</v>
      </c>
      <c r="E58" t="s">
        <v>460</v>
      </c>
      <c r="F58" t="s">
        <v>53</v>
      </c>
      <c r="G58" t="s">
        <v>461</v>
      </c>
      <c r="H58" t="s">
        <v>43</v>
      </c>
      <c r="I58" s="12">
        <v>7036646178</v>
      </c>
      <c r="J58" t="s">
        <v>71</v>
      </c>
      <c r="K58" t="s">
        <v>7886</v>
      </c>
      <c r="L58" t="s">
        <v>7893</v>
      </c>
      <c r="M58" t="s">
        <v>63</v>
      </c>
      <c r="N58" t="s">
        <v>33</v>
      </c>
      <c r="O58" s="17">
        <v>812500</v>
      </c>
      <c r="P58" s="17" t="s">
        <v>7854</v>
      </c>
      <c r="Q58" s="22">
        <v>0</v>
      </c>
      <c r="R58" s="22" t="s">
        <v>7854</v>
      </c>
      <c r="S58" s="24">
        <v>0</v>
      </c>
      <c r="T58" s="24" t="s">
        <v>7854</v>
      </c>
      <c r="U58" t="s">
        <v>462</v>
      </c>
    </row>
    <row r="59" spans="1:21" x14ac:dyDescent="0.25">
      <c r="A59">
        <v>60</v>
      </c>
      <c r="B59">
        <v>6463</v>
      </c>
      <c r="C59" t="s">
        <v>463</v>
      </c>
      <c r="D59" t="s">
        <v>6872</v>
      </c>
      <c r="E59" t="s">
        <v>467</v>
      </c>
      <c r="F59" t="s">
        <v>53</v>
      </c>
      <c r="G59" t="s">
        <v>468</v>
      </c>
      <c r="H59" t="s">
        <v>43</v>
      </c>
      <c r="I59" s="12">
        <v>8038015322</v>
      </c>
      <c r="J59" t="s">
        <v>45</v>
      </c>
      <c r="K59" t="s">
        <v>7879</v>
      </c>
      <c r="L59" t="s">
        <v>7888</v>
      </c>
      <c r="M59" t="s">
        <v>46</v>
      </c>
      <c r="N59" t="s">
        <v>33</v>
      </c>
      <c r="O59" s="17">
        <v>195000</v>
      </c>
      <c r="P59" s="17" t="s">
        <v>7854</v>
      </c>
      <c r="Q59" s="22">
        <v>0</v>
      </c>
      <c r="R59" s="22" t="s">
        <v>7854</v>
      </c>
      <c r="S59" s="24">
        <v>0</v>
      </c>
      <c r="T59" s="24" t="s">
        <v>7854</v>
      </c>
      <c r="U59" t="s">
        <v>469</v>
      </c>
    </row>
    <row r="60" spans="1:21" x14ac:dyDescent="0.25">
      <c r="A60">
        <v>61</v>
      </c>
      <c r="B60">
        <v>24058</v>
      </c>
      <c r="C60" t="s">
        <v>470</v>
      </c>
      <c r="D60" t="s">
        <v>6873</v>
      </c>
      <c r="E60" t="s">
        <v>474</v>
      </c>
      <c r="F60" t="s">
        <v>53</v>
      </c>
      <c r="G60" t="s">
        <v>474</v>
      </c>
      <c r="H60" t="s">
        <v>453</v>
      </c>
      <c r="I60" s="12">
        <v>233540902071</v>
      </c>
      <c r="J60" t="s">
        <v>31</v>
      </c>
      <c r="K60" t="s">
        <v>7879</v>
      </c>
      <c r="L60" t="s">
        <v>7893</v>
      </c>
      <c r="M60" t="s">
        <v>455</v>
      </c>
      <c r="N60" t="s">
        <v>130</v>
      </c>
      <c r="O60" s="17" t="s">
        <v>7854</v>
      </c>
      <c r="P60" s="17">
        <v>150</v>
      </c>
      <c r="Q60" s="22" t="s">
        <v>7854</v>
      </c>
      <c r="R60" s="22">
        <v>0</v>
      </c>
      <c r="S60" s="24" t="s">
        <v>7854</v>
      </c>
      <c r="T60" s="24">
        <v>0</v>
      </c>
      <c r="U60" t="s">
        <v>475</v>
      </c>
    </row>
    <row r="61" spans="1:21" x14ac:dyDescent="0.25">
      <c r="A61">
        <v>62</v>
      </c>
      <c r="B61">
        <v>10685</v>
      </c>
      <c r="C61" t="s">
        <v>476</v>
      </c>
      <c r="D61" t="s">
        <v>6874</v>
      </c>
      <c r="E61" t="s">
        <v>7984</v>
      </c>
      <c r="F61" t="s">
        <v>28</v>
      </c>
      <c r="G61" t="s">
        <v>480</v>
      </c>
      <c r="H61" t="s">
        <v>453</v>
      </c>
      <c r="I61" s="13" t="s">
        <v>481</v>
      </c>
      <c r="J61" t="s">
        <v>45</v>
      </c>
      <c r="K61" t="s">
        <v>7881</v>
      </c>
      <c r="L61" t="s">
        <v>7981</v>
      </c>
      <c r="M61" t="s">
        <v>455</v>
      </c>
      <c r="N61" t="s">
        <v>130</v>
      </c>
      <c r="O61" s="17" t="s">
        <v>7854</v>
      </c>
      <c r="P61" s="17">
        <v>425</v>
      </c>
      <c r="Q61" s="22" t="s">
        <v>7854</v>
      </c>
      <c r="R61" s="22">
        <v>0</v>
      </c>
      <c r="S61" s="24" t="s">
        <v>7854</v>
      </c>
      <c r="T61" s="24">
        <v>0</v>
      </c>
      <c r="U61" t="s">
        <v>482</v>
      </c>
    </row>
    <row r="62" spans="1:21" x14ac:dyDescent="0.25">
      <c r="A62">
        <v>63</v>
      </c>
      <c r="B62">
        <v>23980</v>
      </c>
      <c r="C62" t="s">
        <v>483</v>
      </c>
      <c r="D62" t="s">
        <v>6875</v>
      </c>
      <c r="E62" t="s">
        <v>487</v>
      </c>
      <c r="F62" t="s">
        <v>28</v>
      </c>
      <c r="G62" t="s">
        <v>488</v>
      </c>
      <c r="H62" t="s">
        <v>43</v>
      </c>
      <c r="I62" s="13" t="s">
        <v>489</v>
      </c>
      <c r="J62" t="s">
        <v>31</v>
      </c>
      <c r="K62" t="s">
        <v>7879</v>
      </c>
      <c r="L62" t="s">
        <v>8028</v>
      </c>
      <c r="M62" t="s">
        <v>46</v>
      </c>
      <c r="N62" t="s">
        <v>33</v>
      </c>
      <c r="O62" s="17">
        <v>195000</v>
      </c>
      <c r="P62" s="17" t="s">
        <v>7854</v>
      </c>
      <c r="Q62" s="22">
        <v>0</v>
      </c>
      <c r="R62" s="22" t="s">
        <v>7854</v>
      </c>
      <c r="S62" s="24">
        <v>0</v>
      </c>
      <c r="T62" s="24" t="s">
        <v>7854</v>
      </c>
      <c r="U62" t="s">
        <v>490</v>
      </c>
    </row>
    <row r="63" spans="1:21" x14ac:dyDescent="0.25">
      <c r="A63">
        <v>64</v>
      </c>
      <c r="B63">
        <v>24051</v>
      </c>
      <c r="C63" t="s">
        <v>491</v>
      </c>
      <c r="D63" t="s">
        <v>6876</v>
      </c>
      <c r="E63" t="s">
        <v>495</v>
      </c>
      <c r="F63" t="s">
        <v>28</v>
      </c>
      <c r="G63" t="s">
        <v>496</v>
      </c>
      <c r="H63" t="s">
        <v>43</v>
      </c>
      <c r="I63" s="13" t="s">
        <v>497</v>
      </c>
      <c r="J63" t="s">
        <v>31</v>
      </c>
      <c r="K63" t="s">
        <v>7879</v>
      </c>
      <c r="L63" t="s">
        <v>7893</v>
      </c>
      <c r="M63" t="s">
        <v>63</v>
      </c>
      <c r="N63" t="s">
        <v>33</v>
      </c>
      <c r="O63" s="17">
        <v>195000</v>
      </c>
      <c r="P63" s="17" t="s">
        <v>7854</v>
      </c>
      <c r="Q63" s="22">
        <v>0</v>
      </c>
      <c r="R63" s="22" t="s">
        <v>7854</v>
      </c>
      <c r="S63" s="24">
        <v>0</v>
      </c>
      <c r="T63" s="24" t="s">
        <v>7854</v>
      </c>
      <c r="U63" t="s">
        <v>498</v>
      </c>
    </row>
    <row r="64" spans="1:21" x14ac:dyDescent="0.25">
      <c r="A64">
        <v>65</v>
      </c>
      <c r="B64">
        <v>22289</v>
      </c>
      <c r="C64" t="s">
        <v>499</v>
      </c>
      <c r="D64" t="s">
        <v>6877</v>
      </c>
      <c r="E64" t="s">
        <v>501</v>
      </c>
      <c r="F64" t="s">
        <v>53</v>
      </c>
      <c r="G64" t="s">
        <v>502</v>
      </c>
      <c r="H64" t="s">
        <v>453</v>
      </c>
      <c r="I64" s="13" t="s">
        <v>503</v>
      </c>
      <c r="J64" t="s">
        <v>31</v>
      </c>
      <c r="K64" t="s">
        <v>7879</v>
      </c>
      <c r="L64" t="s">
        <v>7940</v>
      </c>
      <c r="M64" t="s">
        <v>455</v>
      </c>
      <c r="N64" t="s">
        <v>130</v>
      </c>
      <c r="O64" s="17" t="s">
        <v>7854</v>
      </c>
      <c r="P64" s="17">
        <v>150</v>
      </c>
      <c r="Q64" s="22" t="s">
        <v>7854</v>
      </c>
      <c r="R64" s="22">
        <v>0</v>
      </c>
      <c r="S64" s="24" t="s">
        <v>7854</v>
      </c>
      <c r="T64" s="24">
        <v>0</v>
      </c>
      <c r="U64" t="s">
        <v>504</v>
      </c>
    </row>
    <row r="65" spans="1:21" x14ac:dyDescent="0.25">
      <c r="A65">
        <v>66</v>
      </c>
      <c r="B65">
        <v>23786</v>
      </c>
      <c r="C65" t="s">
        <v>505</v>
      </c>
      <c r="D65" t="s">
        <v>6878</v>
      </c>
      <c r="E65" t="s">
        <v>508</v>
      </c>
      <c r="F65" t="s">
        <v>28</v>
      </c>
      <c r="G65" t="s">
        <v>509</v>
      </c>
      <c r="H65" t="s">
        <v>43</v>
      </c>
      <c r="I65" s="13" t="s">
        <v>510</v>
      </c>
      <c r="J65" t="s">
        <v>31</v>
      </c>
      <c r="K65" t="s">
        <v>7879</v>
      </c>
      <c r="L65" t="s">
        <v>7940</v>
      </c>
      <c r="M65" t="s">
        <v>46</v>
      </c>
      <c r="N65" t="s">
        <v>33</v>
      </c>
      <c r="O65" s="17">
        <v>195000</v>
      </c>
      <c r="P65" s="17" t="s">
        <v>7854</v>
      </c>
      <c r="Q65" s="22">
        <v>0</v>
      </c>
      <c r="R65" s="22" t="s">
        <v>7854</v>
      </c>
      <c r="S65" s="24">
        <v>0</v>
      </c>
      <c r="T65" s="24" t="s">
        <v>7854</v>
      </c>
      <c r="U65" t="s">
        <v>511</v>
      </c>
    </row>
    <row r="66" spans="1:21" x14ac:dyDescent="0.25">
      <c r="A66">
        <v>67</v>
      </c>
      <c r="B66">
        <v>24154</v>
      </c>
      <c r="C66" t="s">
        <v>512</v>
      </c>
      <c r="D66" t="s">
        <v>6879</v>
      </c>
      <c r="E66" t="s">
        <v>516</v>
      </c>
      <c r="F66" t="s">
        <v>28</v>
      </c>
      <c r="G66" t="s">
        <v>517</v>
      </c>
      <c r="H66" t="s">
        <v>43</v>
      </c>
      <c r="I66" s="13" t="s">
        <v>518</v>
      </c>
      <c r="J66" t="s">
        <v>31</v>
      </c>
      <c r="K66" t="s">
        <v>7879</v>
      </c>
      <c r="L66" t="s">
        <v>7888</v>
      </c>
      <c r="M66" t="s">
        <v>87</v>
      </c>
      <c r="N66" t="s">
        <v>33</v>
      </c>
      <c r="O66" s="17">
        <v>195000</v>
      </c>
      <c r="P66" s="17" t="s">
        <v>7854</v>
      </c>
      <c r="Q66" s="22">
        <v>0</v>
      </c>
      <c r="R66" s="22" t="s">
        <v>7854</v>
      </c>
      <c r="S66" s="24">
        <v>0</v>
      </c>
      <c r="T66" s="24" t="s">
        <v>7854</v>
      </c>
      <c r="U66" t="s">
        <v>519</v>
      </c>
    </row>
    <row r="67" spans="1:21" x14ac:dyDescent="0.25">
      <c r="A67">
        <v>68</v>
      </c>
      <c r="B67">
        <v>24152</v>
      </c>
      <c r="C67" t="s">
        <v>520</v>
      </c>
      <c r="D67" t="s">
        <v>6880</v>
      </c>
      <c r="E67" t="s">
        <v>523</v>
      </c>
      <c r="F67" t="s">
        <v>28</v>
      </c>
      <c r="G67" t="s">
        <v>524</v>
      </c>
      <c r="H67" t="s">
        <v>43</v>
      </c>
      <c r="I67" s="12">
        <v>2347070738644</v>
      </c>
      <c r="J67" t="s">
        <v>31</v>
      </c>
      <c r="K67" t="s">
        <v>7879</v>
      </c>
      <c r="L67" t="s">
        <v>7940</v>
      </c>
      <c r="M67" t="s">
        <v>46</v>
      </c>
      <c r="N67" t="s">
        <v>33</v>
      </c>
      <c r="O67" s="17">
        <v>195000</v>
      </c>
      <c r="P67" s="17" t="s">
        <v>7854</v>
      </c>
      <c r="Q67" s="22">
        <v>0</v>
      </c>
      <c r="R67" s="22" t="s">
        <v>7854</v>
      </c>
      <c r="S67" s="24">
        <v>0</v>
      </c>
      <c r="T67" s="24" t="s">
        <v>7854</v>
      </c>
      <c r="U67" t="s">
        <v>525</v>
      </c>
    </row>
    <row r="68" spans="1:21" x14ac:dyDescent="0.25">
      <c r="A68">
        <v>69</v>
      </c>
      <c r="B68">
        <v>24156</v>
      </c>
      <c r="C68" t="s">
        <v>526</v>
      </c>
      <c r="D68" t="s">
        <v>6881</v>
      </c>
      <c r="E68" t="s">
        <v>530</v>
      </c>
      <c r="F68" t="s">
        <v>53</v>
      </c>
      <c r="G68" t="s">
        <v>531</v>
      </c>
      <c r="H68" t="s">
        <v>43</v>
      </c>
      <c r="I68" s="13" t="s">
        <v>532</v>
      </c>
      <c r="J68" t="s">
        <v>31</v>
      </c>
      <c r="K68" t="s">
        <v>7879</v>
      </c>
      <c r="L68" t="s">
        <v>7981</v>
      </c>
      <c r="M68" t="s">
        <v>63</v>
      </c>
      <c r="N68" t="s">
        <v>33</v>
      </c>
      <c r="O68" s="17">
        <v>195000</v>
      </c>
      <c r="P68" s="17" t="s">
        <v>7854</v>
      </c>
      <c r="Q68" s="22">
        <v>0</v>
      </c>
      <c r="R68" s="22" t="s">
        <v>7854</v>
      </c>
      <c r="S68" s="24">
        <v>0</v>
      </c>
      <c r="T68" s="24" t="s">
        <v>7854</v>
      </c>
      <c r="U68" t="s">
        <v>533</v>
      </c>
    </row>
    <row r="69" spans="1:21" x14ac:dyDescent="0.25">
      <c r="A69">
        <v>70</v>
      </c>
      <c r="B69">
        <v>6428</v>
      </c>
      <c r="C69" t="s">
        <v>534</v>
      </c>
      <c r="D69" t="s">
        <v>6882</v>
      </c>
      <c r="E69" t="s">
        <v>538</v>
      </c>
      <c r="F69" t="s">
        <v>28</v>
      </c>
      <c r="G69" t="s">
        <v>539</v>
      </c>
      <c r="H69" t="s">
        <v>43</v>
      </c>
      <c r="I69" s="13" t="s">
        <v>540</v>
      </c>
      <c r="J69" t="s">
        <v>45</v>
      </c>
      <c r="K69" t="s">
        <v>7881</v>
      </c>
      <c r="L69" t="s">
        <v>7981</v>
      </c>
      <c r="M69" t="s">
        <v>46</v>
      </c>
      <c r="N69" t="s">
        <v>33</v>
      </c>
      <c r="O69" s="17">
        <v>552500</v>
      </c>
      <c r="P69" s="17" t="s">
        <v>7854</v>
      </c>
      <c r="Q69" s="22">
        <v>0</v>
      </c>
      <c r="R69" s="22" t="s">
        <v>7854</v>
      </c>
      <c r="S69" s="24">
        <v>0</v>
      </c>
      <c r="T69" s="24" t="s">
        <v>7854</v>
      </c>
      <c r="U69" t="s">
        <v>541</v>
      </c>
    </row>
    <row r="70" spans="1:21" x14ac:dyDescent="0.25">
      <c r="A70">
        <v>71</v>
      </c>
      <c r="B70">
        <v>20451</v>
      </c>
      <c r="C70" t="s">
        <v>542</v>
      </c>
      <c r="D70" t="s">
        <v>6883</v>
      </c>
      <c r="E70" t="s">
        <v>545</v>
      </c>
      <c r="F70" t="s">
        <v>28</v>
      </c>
      <c r="G70" t="s">
        <v>480</v>
      </c>
      <c r="H70" t="s">
        <v>453</v>
      </c>
      <c r="I70" s="13" t="s">
        <v>546</v>
      </c>
      <c r="J70" t="s">
        <v>45</v>
      </c>
      <c r="K70" t="s">
        <v>7881</v>
      </c>
      <c r="L70" t="s">
        <v>7893</v>
      </c>
      <c r="M70" t="s">
        <v>455</v>
      </c>
      <c r="N70" t="s">
        <v>130</v>
      </c>
      <c r="O70" s="17" t="s">
        <v>7854</v>
      </c>
      <c r="P70" s="17">
        <v>425</v>
      </c>
      <c r="Q70" s="22" t="s">
        <v>7854</v>
      </c>
      <c r="R70" s="22">
        <v>0</v>
      </c>
      <c r="S70" s="24" t="s">
        <v>7854</v>
      </c>
      <c r="T70" s="24">
        <v>0</v>
      </c>
      <c r="U70" t="s">
        <v>547</v>
      </c>
    </row>
    <row r="71" spans="1:21" x14ac:dyDescent="0.25">
      <c r="A71">
        <v>72</v>
      </c>
      <c r="B71">
        <v>23961</v>
      </c>
      <c r="C71" t="s">
        <v>548</v>
      </c>
      <c r="D71" t="s">
        <v>6884</v>
      </c>
      <c r="E71" t="s">
        <v>552</v>
      </c>
      <c r="F71" t="s">
        <v>28</v>
      </c>
      <c r="G71" t="s">
        <v>553</v>
      </c>
      <c r="H71" t="s">
        <v>43</v>
      </c>
      <c r="I71" s="12">
        <v>2347089899395</v>
      </c>
      <c r="J71" t="s">
        <v>31</v>
      </c>
      <c r="K71" t="s">
        <v>7879</v>
      </c>
      <c r="L71" t="s">
        <v>7981</v>
      </c>
      <c r="M71" t="s">
        <v>63</v>
      </c>
      <c r="N71" t="s">
        <v>33</v>
      </c>
      <c r="O71" s="17">
        <v>195000</v>
      </c>
      <c r="P71" s="17" t="s">
        <v>7854</v>
      </c>
      <c r="Q71" s="22">
        <v>0</v>
      </c>
      <c r="R71" s="22" t="s">
        <v>7854</v>
      </c>
      <c r="S71" s="24">
        <v>0</v>
      </c>
      <c r="T71" s="24" t="s">
        <v>7854</v>
      </c>
      <c r="U71" t="s">
        <v>554</v>
      </c>
    </row>
    <row r="72" spans="1:21" x14ac:dyDescent="0.25">
      <c r="A72">
        <v>73</v>
      </c>
      <c r="B72">
        <v>21864</v>
      </c>
      <c r="C72" t="s">
        <v>555</v>
      </c>
      <c r="D72" t="s">
        <v>6885</v>
      </c>
      <c r="E72" t="s">
        <v>558</v>
      </c>
      <c r="F72" t="s">
        <v>28</v>
      </c>
      <c r="G72" t="s">
        <v>559</v>
      </c>
      <c r="H72" t="s">
        <v>453</v>
      </c>
      <c r="I72" s="13" t="s">
        <v>560</v>
      </c>
      <c r="J72" t="s">
        <v>31</v>
      </c>
      <c r="K72" t="s">
        <v>7879</v>
      </c>
      <c r="L72" t="s">
        <v>7888</v>
      </c>
      <c r="M72" t="s">
        <v>455</v>
      </c>
      <c r="N72" t="s">
        <v>130</v>
      </c>
      <c r="O72" s="17" t="s">
        <v>7854</v>
      </c>
      <c r="P72" s="17">
        <v>150</v>
      </c>
      <c r="Q72" s="22" t="s">
        <v>7854</v>
      </c>
      <c r="R72" s="22">
        <v>0</v>
      </c>
      <c r="S72" s="24" t="s">
        <v>7854</v>
      </c>
      <c r="T72" s="24">
        <v>0</v>
      </c>
      <c r="U72" t="s">
        <v>561</v>
      </c>
    </row>
    <row r="73" spans="1:21" x14ac:dyDescent="0.25">
      <c r="A73">
        <v>74</v>
      </c>
      <c r="B73">
        <v>23933</v>
      </c>
      <c r="C73" t="s">
        <v>562</v>
      </c>
      <c r="D73" t="s">
        <v>6886</v>
      </c>
      <c r="E73" t="s">
        <v>565</v>
      </c>
      <c r="F73" t="s">
        <v>53</v>
      </c>
      <c r="G73" t="s">
        <v>566</v>
      </c>
      <c r="H73" t="s">
        <v>43</v>
      </c>
      <c r="I73" s="13" t="s">
        <v>567</v>
      </c>
      <c r="J73" t="s">
        <v>31</v>
      </c>
      <c r="K73" t="s">
        <v>7879</v>
      </c>
      <c r="L73" t="s">
        <v>8028</v>
      </c>
      <c r="M73" t="s">
        <v>63</v>
      </c>
      <c r="N73" t="s">
        <v>33</v>
      </c>
      <c r="O73" s="17">
        <v>195000</v>
      </c>
      <c r="P73" s="17" t="s">
        <v>7854</v>
      </c>
      <c r="Q73" s="22">
        <v>0</v>
      </c>
      <c r="R73" s="22" t="s">
        <v>7854</v>
      </c>
      <c r="S73" s="24">
        <v>0</v>
      </c>
      <c r="T73" s="24" t="s">
        <v>7854</v>
      </c>
      <c r="U73" t="s">
        <v>568</v>
      </c>
    </row>
    <row r="74" spans="1:21" x14ac:dyDescent="0.25">
      <c r="A74">
        <v>75</v>
      </c>
      <c r="B74">
        <v>23953</v>
      </c>
      <c r="C74" t="s">
        <v>569</v>
      </c>
      <c r="D74" t="s">
        <v>6887</v>
      </c>
      <c r="E74" t="s">
        <v>573</v>
      </c>
      <c r="F74" t="s">
        <v>53</v>
      </c>
      <c r="G74" t="s">
        <v>574</v>
      </c>
      <c r="H74" t="s">
        <v>43</v>
      </c>
      <c r="I74" s="13" t="s">
        <v>575</v>
      </c>
      <c r="J74" t="s">
        <v>31</v>
      </c>
      <c r="K74" t="s">
        <v>7879</v>
      </c>
      <c r="L74" t="s">
        <v>7940</v>
      </c>
      <c r="M74" t="s">
        <v>46</v>
      </c>
      <c r="N74" t="s">
        <v>33</v>
      </c>
      <c r="O74" s="17">
        <v>195000</v>
      </c>
      <c r="P74" s="17" t="s">
        <v>7854</v>
      </c>
      <c r="Q74" s="22">
        <v>0</v>
      </c>
      <c r="R74" s="22" t="s">
        <v>7854</v>
      </c>
      <c r="S74" s="24">
        <v>0</v>
      </c>
      <c r="T74" s="24" t="s">
        <v>7854</v>
      </c>
      <c r="U74" t="s">
        <v>576</v>
      </c>
    </row>
    <row r="75" spans="1:21" x14ac:dyDescent="0.25">
      <c r="A75">
        <v>76</v>
      </c>
      <c r="B75">
        <v>8361</v>
      </c>
      <c r="C75" t="s">
        <v>577</v>
      </c>
      <c r="D75" t="s">
        <v>6888</v>
      </c>
      <c r="E75" t="s">
        <v>581</v>
      </c>
      <c r="F75" t="s">
        <v>28</v>
      </c>
      <c r="G75" t="s">
        <v>582</v>
      </c>
      <c r="H75" t="s">
        <v>43</v>
      </c>
      <c r="I75" s="12">
        <v>8036728058</v>
      </c>
      <c r="J75" t="s">
        <v>21</v>
      </c>
      <c r="K75" t="s">
        <v>7886</v>
      </c>
      <c r="L75" t="s">
        <v>7940</v>
      </c>
      <c r="M75" t="s">
        <v>46</v>
      </c>
      <c r="N75" t="s">
        <v>33</v>
      </c>
      <c r="O75" s="17">
        <v>812500</v>
      </c>
      <c r="P75" s="17" t="s">
        <v>7854</v>
      </c>
      <c r="Q75" s="22">
        <v>0</v>
      </c>
      <c r="R75" s="22" t="s">
        <v>7854</v>
      </c>
      <c r="S75" s="24">
        <v>162500</v>
      </c>
      <c r="T75" s="24" t="s">
        <v>7854</v>
      </c>
      <c r="U75" t="s">
        <v>583</v>
      </c>
    </row>
    <row r="76" spans="1:21" x14ac:dyDescent="0.25">
      <c r="A76">
        <v>77</v>
      </c>
      <c r="B76">
        <v>23098</v>
      </c>
      <c r="C76" t="s">
        <v>584</v>
      </c>
      <c r="D76" t="s">
        <v>6889</v>
      </c>
      <c r="E76" t="s">
        <v>7880</v>
      </c>
      <c r="F76" t="s">
        <v>53</v>
      </c>
      <c r="G76" t="s">
        <v>587</v>
      </c>
      <c r="H76" t="s">
        <v>43</v>
      </c>
      <c r="I76" s="13" t="s">
        <v>588</v>
      </c>
      <c r="J76" t="s">
        <v>31</v>
      </c>
      <c r="K76" t="s">
        <v>7879</v>
      </c>
      <c r="L76" t="s">
        <v>7981</v>
      </c>
      <c r="M76" t="s">
        <v>46</v>
      </c>
      <c r="N76" t="s">
        <v>33</v>
      </c>
      <c r="O76" s="17">
        <v>195000</v>
      </c>
      <c r="P76" s="17" t="s">
        <v>7854</v>
      </c>
      <c r="Q76" s="22">
        <v>0</v>
      </c>
      <c r="R76" s="22" t="s">
        <v>7854</v>
      </c>
      <c r="S76" s="24">
        <v>0</v>
      </c>
      <c r="T76" s="24" t="s">
        <v>7854</v>
      </c>
      <c r="U76" t="s">
        <v>589</v>
      </c>
    </row>
    <row r="77" spans="1:21" x14ac:dyDescent="0.25">
      <c r="A77">
        <v>78</v>
      </c>
      <c r="B77">
        <v>22989</v>
      </c>
      <c r="C77" t="s">
        <v>590</v>
      </c>
      <c r="D77" t="s">
        <v>6890</v>
      </c>
      <c r="E77" t="s">
        <v>594</v>
      </c>
      <c r="F77" t="s">
        <v>28</v>
      </c>
      <c r="G77" t="s">
        <v>93</v>
      </c>
      <c r="H77" t="s">
        <v>43</v>
      </c>
      <c r="I77" s="13" t="s">
        <v>595</v>
      </c>
      <c r="J77" t="s">
        <v>45</v>
      </c>
      <c r="K77" t="s">
        <v>7879</v>
      </c>
      <c r="L77" t="s">
        <v>7888</v>
      </c>
      <c r="M77" t="s">
        <v>46</v>
      </c>
      <c r="N77" t="s">
        <v>33</v>
      </c>
      <c r="O77" s="17">
        <v>195000</v>
      </c>
      <c r="P77" s="17" t="s">
        <v>7854</v>
      </c>
      <c r="Q77" s="22">
        <v>0</v>
      </c>
      <c r="R77" s="22" t="s">
        <v>7854</v>
      </c>
      <c r="S77" s="24">
        <v>0</v>
      </c>
      <c r="T77" s="24" t="s">
        <v>7854</v>
      </c>
      <c r="U77" t="s">
        <v>596</v>
      </c>
    </row>
    <row r="78" spans="1:21" x14ac:dyDescent="0.25">
      <c r="A78">
        <v>79</v>
      </c>
      <c r="B78">
        <v>23994</v>
      </c>
      <c r="C78" t="s">
        <v>597</v>
      </c>
      <c r="D78" t="s">
        <v>6891</v>
      </c>
      <c r="E78" t="s">
        <v>601</v>
      </c>
      <c r="F78" t="s">
        <v>28</v>
      </c>
      <c r="G78" t="s">
        <v>602</v>
      </c>
      <c r="H78" t="s">
        <v>43</v>
      </c>
      <c r="I78" s="13" t="s">
        <v>603</v>
      </c>
      <c r="J78" t="s">
        <v>31</v>
      </c>
      <c r="K78" t="s">
        <v>7879</v>
      </c>
      <c r="L78" t="s">
        <v>7888</v>
      </c>
      <c r="M78" t="s">
        <v>46</v>
      </c>
      <c r="N78" t="s">
        <v>33</v>
      </c>
      <c r="O78" s="17">
        <v>195000</v>
      </c>
      <c r="P78" s="17" t="s">
        <v>7854</v>
      </c>
      <c r="Q78" s="22">
        <v>0</v>
      </c>
      <c r="R78" s="22" t="s">
        <v>7854</v>
      </c>
      <c r="S78" s="24">
        <v>0</v>
      </c>
      <c r="T78" s="24" t="s">
        <v>7854</v>
      </c>
      <c r="U78" t="s">
        <v>604</v>
      </c>
    </row>
    <row r="79" spans="1:21" x14ac:dyDescent="0.25">
      <c r="A79">
        <v>80</v>
      </c>
      <c r="B79">
        <v>22519</v>
      </c>
      <c r="C79" t="s">
        <v>605</v>
      </c>
      <c r="D79" t="s">
        <v>6892</v>
      </c>
      <c r="E79" t="s">
        <v>609</v>
      </c>
      <c r="F79" t="s">
        <v>28</v>
      </c>
      <c r="G79" t="s">
        <v>610</v>
      </c>
      <c r="H79" t="s">
        <v>43</v>
      </c>
      <c r="I79" s="13" t="s">
        <v>611</v>
      </c>
      <c r="J79" t="s">
        <v>45</v>
      </c>
      <c r="K79" t="s">
        <v>7881</v>
      </c>
      <c r="L79" t="s">
        <v>7893</v>
      </c>
      <c r="M79" t="s">
        <v>46</v>
      </c>
      <c r="N79" t="s">
        <v>33</v>
      </c>
      <c r="O79" s="17">
        <v>552500</v>
      </c>
      <c r="P79" s="17" t="s">
        <v>7854</v>
      </c>
      <c r="Q79" s="22">
        <v>0</v>
      </c>
      <c r="R79" s="22" t="s">
        <v>7854</v>
      </c>
      <c r="S79" s="24">
        <v>0</v>
      </c>
      <c r="T79" s="24" t="s">
        <v>7854</v>
      </c>
      <c r="U79" t="s">
        <v>612</v>
      </c>
    </row>
    <row r="80" spans="1:21" x14ac:dyDescent="0.25">
      <c r="A80">
        <v>81</v>
      </c>
      <c r="B80">
        <v>24172</v>
      </c>
      <c r="C80" t="s">
        <v>613</v>
      </c>
      <c r="D80" t="s">
        <v>6893</v>
      </c>
      <c r="E80" t="s">
        <v>617</v>
      </c>
      <c r="F80" t="s">
        <v>28</v>
      </c>
      <c r="G80" t="s">
        <v>618</v>
      </c>
      <c r="H80" t="s">
        <v>43</v>
      </c>
      <c r="I80" s="13" t="s">
        <v>619</v>
      </c>
      <c r="J80" t="s">
        <v>31</v>
      </c>
      <c r="K80" t="s">
        <v>7879</v>
      </c>
      <c r="L80" t="s">
        <v>7893</v>
      </c>
      <c r="M80" t="s">
        <v>46</v>
      </c>
      <c r="N80" t="s">
        <v>33</v>
      </c>
      <c r="O80" s="17">
        <v>195000</v>
      </c>
      <c r="P80" s="17" t="s">
        <v>7854</v>
      </c>
      <c r="Q80" s="22">
        <v>0</v>
      </c>
      <c r="R80" s="22" t="s">
        <v>7854</v>
      </c>
      <c r="S80" s="24">
        <v>0</v>
      </c>
      <c r="T80" s="24" t="s">
        <v>7854</v>
      </c>
      <c r="U80" t="s">
        <v>620</v>
      </c>
    </row>
    <row r="81" spans="1:21" x14ac:dyDescent="0.25">
      <c r="A81">
        <v>82</v>
      </c>
      <c r="B81">
        <v>24173</v>
      </c>
      <c r="C81" t="s">
        <v>621</v>
      </c>
      <c r="D81" t="s">
        <v>6894</v>
      </c>
      <c r="E81" t="s">
        <v>625</v>
      </c>
      <c r="F81" t="s">
        <v>53</v>
      </c>
      <c r="G81" t="s">
        <v>626</v>
      </c>
      <c r="H81" t="s">
        <v>43</v>
      </c>
      <c r="I81" s="13" t="s">
        <v>627</v>
      </c>
      <c r="J81" t="s">
        <v>31</v>
      </c>
      <c r="K81" t="s">
        <v>7879</v>
      </c>
      <c r="L81" t="s">
        <v>7981</v>
      </c>
      <c r="M81" t="s">
        <v>46</v>
      </c>
      <c r="N81" t="s">
        <v>33</v>
      </c>
      <c r="O81" s="17">
        <v>195000</v>
      </c>
      <c r="P81" s="17" t="s">
        <v>7854</v>
      </c>
      <c r="Q81" s="22">
        <v>0</v>
      </c>
      <c r="R81" s="22" t="s">
        <v>7854</v>
      </c>
      <c r="S81" s="24">
        <v>0</v>
      </c>
      <c r="T81" s="24" t="s">
        <v>7854</v>
      </c>
      <c r="U81" t="s">
        <v>628</v>
      </c>
    </row>
    <row r="82" spans="1:21" x14ac:dyDescent="0.25">
      <c r="A82">
        <v>83</v>
      </c>
      <c r="B82">
        <v>24127</v>
      </c>
      <c r="C82" t="s">
        <v>629</v>
      </c>
      <c r="D82" t="s">
        <v>6895</v>
      </c>
      <c r="E82" t="s">
        <v>632</v>
      </c>
      <c r="F82" t="s">
        <v>53</v>
      </c>
      <c r="G82" t="s">
        <v>633</v>
      </c>
      <c r="H82" t="s">
        <v>43</v>
      </c>
      <c r="I82" s="12">
        <v>2348032560279</v>
      </c>
      <c r="J82" t="s">
        <v>31</v>
      </c>
      <c r="K82" t="s">
        <v>7879</v>
      </c>
      <c r="L82" t="s">
        <v>8028</v>
      </c>
      <c r="M82" t="s">
        <v>63</v>
      </c>
      <c r="N82" t="s">
        <v>33</v>
      </c>
      <c r="O82" s="17">
        <v>195000</v>
      </c>
      <c r="P82" s="17" t="s">
        <v>7854</v>
      </c>
      <c r="Q82" s="22">
        <v>0</v>
      </c>
      <c r="R82" s="22" t="s">
        <v>7854</v>
      </c>
      <c r="S82" s="24">
        <v>0</v>
      </c>
      <c r="T82" s="24" t="s">
        <v>7854</v>
      </c>
      <c r="U82" t="s">
        <v>634</v>
      </c>
    </row>
    <row r="83" spans="1:21" x14ac:dyDescent="0.25">
      <c r="A83">
        <v>84</v>
      </c>
      <c r="B83">
        <v>24151</v>
      </c>
      <c r="C83" t="s">
        <v>635</v>
      </c>
      <c r="D83" t="s">
        <v>6896</v>
      </c>
      <c r="E83" t="s">
        <v>638</v>
      </c>
      <c r="F83" t="s">
        <v>53</v>
      </c>
      <c r="G83" t="s">
        <v>639</v>
      </c>
      <c r="H83" t="s">
        <v>43</v>
      </c>
      <c r="I83" s="13" t="s">
        <v>640</v>
      </c>
      <c r="J83" t="s">
        <v>45</v>
      </c>
      <c r="K83" t="s">
        <v>7879</v>
      </c>
      <c r="L83" t="s">
        <v>7893</v>
      </c>
      <c r="M83" t="s">
        <v>46</v>
      </c>
      <c r="N83" t="s">
        <v>33</v>
      </c>
      <c r="O83" s="17">
        <v>195000</v>
      </c>
      <c r="P83" s="17" t="s">
        <v>7854</v>
      </c>
      <c r="Q83" s="22">
        <v>0</v>
      </c>
      <c r="R83" s="22" t="s">
        <v>7854</v>
      </c>
      <c r="S83" s="24">
        <v>0</v>
      </c>
      <c r="T83" s="24" t="s">
        <v>7854</v>
      </c>
      <c r="U83" t="s">
        <v>641</v>
      </c>
    </row>
    <row r="84" spans="1:21" x14ac:dyDescent="0.25">
      <c r="A84">
        <v>85</v>
      </c>
      <c r="B84">
        <v>2907</v>
      </c>
      <c r="C84" t="s">
        <v>642</v>
      </c>
      <c r="D84" t="s">
        <v>6897</v>
      </c>
      <c r="E84" t="s">
        <v>7899</v>
      </c>
      <c r="F84" t="s">
        <v>28</v>
      </c>
      <c r="G84" t="s">
        <v>645</v>
      </c>
      <c r="H84" t="s">
        <v>43</v>
      </c>
      <c r="I84" s="12">
        <v>2348167968389</v>
      </c>
      <c r="J84" t="s">
        <v>31</v>
      </c>
      <c r="K84" t="s">
        <v>7886</v>
      </c>
      <c r="L84" t="s">
        <v>7893</v>
      </c>
      <c r="M84" t="s">
        <v>63</v>
      </c>
      <c r="N84" t="s">
        <v>33</v>
      </c>
      <c r="O84" s="17">
        <v>812500</v>
      </c>
      <c r="P84" s="17" t="s">
        <v>7854</v>
      </c>
      <c r="Q84" s="22">
        <v>0</v>
      </c>
      <c r="R84" s="22" t="s">
        <v>7854</v>
      </c>
      <c r="S84" s="24">
        <v>162500</v>
      </c>
      <c r="T84" s="24" t="s">
        <v>7854</v>
      </c>
      <c r="U84" t="s">
        <v>646</v>
      </c>
    </row>
    <row r="85" spans="1:21" x14ac:dyDescent="0.25">
      <c r="A85">
        <v>86</v>
      </c>
      <c r="B85">
        <v>20793</v>
      </c>
      <c r="C85" t="s">
        <v>647</v>
      </c>
      <c r="D85" t="s">
        <v>6898</v>
      </c>
      <c r="E85" t="s">
        <v>651</v>
      </c>
      <c r="F85" t="s">
        <v>53</v>
      </c>
      <c r="G85" t="s">
        <v>652</v>
      </c>
      <c r="H85" t="s">
        <v>43</v>
      </c>
      <c r="I85" s="13" t="s">
        <v>653</v>
      </c>
      <c r="J85" t="s">
        <v>45</v>
      </c>
      <c r="K85" t="s">
        <v>7881</v>
      </c>
      <c r="L85" t="s">
        <v>7893</v>
      </c>
      <c r="M85" t="s">
        <v>46</v>
      </c>
      <c r="N85" t="s">
        <v>130</v>
      </c>
      <c r="O85" s="17" t="s">
        <v>7854</v>
      </c>
      <c r="P85" s="17">
        <v>425</v>
      </c>
      <c r="Q85" s="22" t="s">
        <v>7854</v>
      </c>
      <c r="R85" s="22">
        <v>0</v>
      </c>
      <c r="S85" s="24" t="s">
        <v>7854</v>
      </c>
      <c r="T85" s="24">
        <v>0</v>
      </c>
      <c r="U85" t="s">
        <v>654</v>
      </c>
    </row>
    <row r="86" spans="1:21" x14ac:dyDescent="0.25">
      <c r="A86">
        <v>87</v>
      </c>
      <c r="B86">
        <v>24021</v>
      </c>
      <c r="C86" t="s">
        <v>655</v>
      </c>
      <c r="D86" t="s">
        <v>6899</v>
      </c>
      <c r="E86" t="s">
        <v>659</v>
      </c>
      <c r="F86" t="s">
        <v>28</v>
      </c>
      <c r="G86" t="s">
        <v>660</v>
      </c>
      <c r="H86" t="s">
        <v>43</v>
      </c>
      <c r="I86" s="13" t="s">
        <v>661</v>
      </c>
      <c r="J86" t="s">
        <v>31</v>
      </c>
      <c r="K86" t="s">
        <v>7879</v>
      </c>
      <c r="L86" t="s">
        <v>7981</v>
      </c>
      <c r="M86" t="s">
        <v>46</v>
      </c>
      <c r="N86" t="s">
        <v>33</v>
      </c>
      <c r="O86" s="17">
        <v>195000</v>
      </c>
      <c r="P86" s="17" t="s">
        <v>7854</v>
      </c>
      <c r="Q86" s="22">
        <v>0</v>
      </c>
      <c r="R86" s="22" t="s">
        <v>7854</v>
      </c>
      <c r="S86" s="24">
        <v>0</v>
      </c>
      <c r="T86" s="24" t="s">
        <v>7854</v>
      </c>
      <c r="U86" t="s">
        <v>662</v>
      </c>
    </row>
    <row r="87" spans="1:21" x14ac:dyDescent="0.25">
      <c r="A87">
        <v>88</v>
      </c>
      <c r="B87">
        <v>24164</v>
      </c>
      <c r="C87" t="s">
        <v>663</v>
      </c>
      <c r="D87" t="s">
        <v>6900</v>
      </c>
      <c r="E87" t="s">
        <v>666</v>
      </c>
      <c r="F87" t="s">
        <v>53</v>
      </c>
      <c r="G87" t="s">
        <v>667</v>
      </c>
      <c r="H87" t="s">
        <v>43</v>
      </c>
      <c r="I87" s="12">
        <v>2348109098679</v>
      </c>
      <c r="J87" t="s">
        <v>31</v>
      </c>
      <c r="K87" t="s">
        <v>7879</v>
      </c>
      <c r="L87" t="s">
        <v>7893</v>
      </c>
      <c r="M87" t="s">
        <v>46</v>
      </c>
      <c r="N87" t="s">
        <v>33</v>
      </c>
      <c r="O87" s="17">
        <v>195000</v>
      </c>
      <c r="P87" s="17" t="s">
        <v>7854</v>
      </c>
      <c r="Q87" s="22">
        <v>0</v>
      </c>
      <c r="R87" s="22" t="s">
        <v>7854</v>
      </c>
      <c r="S87" s="24">
        <v>0</v>
      </c>
      <c r="T87" s="24" t="s">
        <v>7854</v>
      </c>
      <c r="U87" t="s">
        <v>668</v>
      </c>
    </row>
    <row r="88" spans="1:21" x14ac:dyDescent="0.25">
      <c r="A88">
        <v>89</v>
      </c>
      <c r="B88">
        <v>18493</v>
      </c>
      <c r="C88" t="s">
        <v>669</v>
      </c>
      <c r="D88" t="s">
        <v>6901</v>
      </c>
      <c r="E88" t="s">
        <v>673</v>
      </c>
      <c r="F88" t="s">
        <v>53</v>
      </c>
      <c r="G88" t="s">
        <v>674</v>
      </c>
      <c r="H88" t="s">
        <v>43</v>
      </c>
      <c r="I88" s="13" t="s">
        <v>675</v>
      </c>
      <c r="J88" t="s">
        <v>45</v>
      </c>
      <c r="K88" t="s">
        <v>7881</v>
      </c>
      <c r="L88" t="s">
        <v>7981</v>
      </c>
      <c r="M88" t="s">
        <v>46</v>
      </c>
      <c r="N88" t="s">
        <v>33</v>
      </c>
      <c r="O88" s="17">
        <v>552500</v>
      </c>
      <c r="P88" s="17" t="s">
        <v>7854</v>
      </c>
      <c r="Q88" s="22">
        <v>0</v>
      </c>
      <c r="R88" s="22" t="s">
        <v>7854</v>
      </c>
      <c r="S88" s="24">
        <v>0</v>
      </c>
      <c r="T88" s="24" t="s">
        <v>7854</v>
      </c>
      <c r="U88" t="s">
        <v>676</v>
      </c>
    </row>
    <row r="89" spans="1:21" x14ac:dyDescent="0.25">
      <c r="A89">
        <v>90</v>
      </c>
      <c r="B89">
        <v>6991</v>
      </c>
      <c r="C89" t="s">
        <v>677</v>
      </c>
      <c r="D89" t="s">
        <v>6902</v>
      </c>
      <c r="E89" t="s">
        <v>681</v>
      </c>
      <c r="F89" t="s">
        <v>53</v>
      </c>
      <c r="G89" t="s">
        <v>682</v>
      </c>
      <c r="H89" t="s">
        <v>453</v>
      </c>
      <c r="I89" s="12" t="s">
        <v>683</v>
      </c>
      <c r="J89" t="s">
        <v>31</v>
      </c>
      <c r="K89" t="s">
        <v>7886</v>
      </c>
      <c r="L89" t="s">
        <v>7893</v>
      </c>
      <c r="M89" t="s">
        <v>63</v>
      </c>
      <c r="N89" t="s">
        <v>130</v>
      </c>
      <c r="O89" s="17" t="s">
        <v>7854</v>
      </c>
      <c r="P89" s="17">
        <v>625</v>
      </c>
      <c r="Q89" s="22" t="s">
        <v>7854</v>
      </c>
      <c r="R89" s="22">
        <v>0</v>
      </c>
      <c r="S89" s="24" t="s">
        <v>7854</v>
      </c>
      <c r="T89" s="24">
        <v>125</v>
      </c>
      <c r="U89" t="s">
        <v>684</v>
      </c>
    </row>
    <row r="90" spans="1:21" x14ac:dyDescent="0.25">
      <c r="A90">
        <v>91</v>
      </c>
      <c r="B90">
        <v>24136</v>
      </c>
      <c r="C90" t="s">
        <v>685</v>
      </c>
      <c r="D90" t="s">
        <v>6903</v>
      </c>
      <c r="E90" t="s">
        <v>688</v>
      </c>
      <c r="F90" t="s">
        <v>28</v>
      </c>
      <c r="G90" t="s">
        <v>689</v>
      </c>
      <c r="H90" t="s">
        <v>43</v>
      </c>
      <c r="I90" s="13" t="s">
        <v>690</v>
      </c>
      <c r="J90" t="s">
        <v>31</v>
      </c>
      <c r="K90" t="s">
        <v>7879</v>
      </c>
      <c r="L90" t="s">
        <v>7893</v>
      </c>
      <c r="M90" t="s">
        <v>46</v>
      </c>
      <c r="N90" t="s">
        <v>33</v>
      </c>
      <c r="O90" s="17">
        <v>195000</v>
      </c>
      <c r="P90" s="17" t="s">
        <v>7854</v>
      </c>
      <c r="Q90" s="22">
        <v>0</v>
      </c>
      <c r="R90" s="22" t="s">
        <v>7854</v>
      </c>
      <c r="S90" s="24">
        <v>0</v>
      </c>
      <c r="T90" s="24" t="s">
        <v>7854</v>
      </c>
      <c r="U90" t="s">
        <v>691</v>
      </c>
    </row>
    <row r="91" spans="1:21" x14ac:dyDescent="0.25">
      <c r="A91">
        <v>92</v>
      </c>
      <c r="B91">
        <v>24095</v>
      </c>
      <c r="C91" t="s">
        <v>692</v>
      </c>
      <c r="D91" t="s">
        <v>6904</v>
      </c>
      <c r="E91" t="s">
        <v>696</v>
      </c>
      <c r="F91" t="s">
        <v>28</v>
      </c>
      <c r="G91" t="s">
        <v>697</v>
      </c>
      <c r="H91" t="s">
        <v>43</v>
      </c>
      <c r="I91" s="13" t="s">
        <v>698</v>
      </c>
      <c r="J91" t="s">
        <v>31</v>
      </c>
      <c r="K91" t="s">
        <v>7879</v>
      </c>
      <c r="L91" t="s">
        <v>7940</v>
      </c>
      <c r="M91" t="s">
        <v>63</v>
      </c>
      <c r="N91" t="s">
        <v>33</v>
      </c>
      <c r="O91" s="17">
        <v>195000</v>
      </c>
      <c r="P91" s="17" t="s">
        <v>7854</v>
      </c>
      <c r="Q91" s="22">
        <v>0</v>
      </c>
      <c r="R91" s="22" t="s">
        <v>7854</v>
      </c>
      <c r="S91" s="24">
        <v>0</v>
      </c>
      <c r="T91" s="24" t="s">
        <v>7854</v>
      </c>
      <c r="U91" t="s">
        <v>699</v>
      </c>
    </row>
    <row r="92" spans="1:21" x14ac:dyDescent="0.25">
      <c r="A92">
        <v>93</v>
      </c>
      <c r="B92">
        <v>371</v>
      </c>
      <c r="C92" t="s">
        <v>700</v>
      </c>
      <c r="D92" t="s">
        <v>6905</v>
      </c>
      <c r="E92" t="s">
        <v>7985</v>
      </c>
      <c r="F92" t="s">
        <v>53</v>
      </c>
      <c r="G92" t="s">
        <v>517</v>
      </c>
      <c r="H92" t="s">
        <v>43</v>
      </c>
      <c r="I92" s="13" t="s">
        <v>704</v>
      </c>
      <c r="J92" t="s">
        <v>244</v>
      </c>
      <c r="K92" t="s">
        <v>7886</v>
      </c>
      <c r="L92" t="s">
        <v>7981</v>
      </c>
      <c r="M92" t="s">
        <v>63</v>
      </c>
      <c r="N92" t="s">
        <v>33</v>
      </c>
      <c r="O92" s="17">
        <v>812500</v>
      </c>
      <c r="P92" s="17" t="s">
        <v>7854</v>
      </c>
      <c r="Q92" s="22">
        <v>0</v>
      </c>
      <c r="R92" s="22" t="s">
        <v>7854</v>
      </c>
      <c r="S92" s="24">
        <v>0</v>
      </c>
      <c r="T92" s="24" t="s">
        <v>7854</v>
      </c>
      <c r="U92" t="s">
        <v>705</v>
      </c>
    </row>
    <row r="93" spans="1:21" x14ac:dyDescent="0.25">
      <c r="A93">
        <v>94</v>
      </c>
      <c r="B93">
        <v>24186</v>
      </c>
      <c r="C93" t="s">
        <v>706</v>
      </c>
      <c r="D93" t="s">
        <v>6906</v>
      </c>
      <c r="E93" t="s">
        <v>710</v>
      </c>
      <c r="F93" t="s">
        <v>28</v>
      </c>
      <c r="G93" t="s">
        <v>711</v>
      </c>
      <c r="H93" t="s">
        <v>453</v>
      </c>
      <c r="I93" s="12">
        <v>233506389588</v>
      </c>
      <c r="J93" t="s">
        <v>31</v>
      </c>
      <c r="K93" t="s">
        <v>7879</v>
      </c>
      <c r="L93" t="s">
        <v>7893</v>
      </c>
      <c r="M93" t="s">
        <v>455</v>
      </c>
      <c r="N93" t="s">
        <v>130</v>
      </c>
      <c r="O93" s="17" t="s">
        <v>7854</v>
      </c>
      <c r="P93" s="17">
        <v>150</v>
      </c>
      <c r="Q93" s="22" t="s">
        <v>7854</v>
      </c>
      <c r="R93" s="22">
        <v>0</v>
      </c>
      <c r="S93" s="24" t="s">
        <v>7854</v>
      </c>
      <c r="T93" s="24">
        <v>0</v>
      </c>
      <c r="U93" t="s">
        <v>712</v>
      </c>
    </row>
    <row r="94" spans="1:21" x14ac:dyDescent="0.25">
      <c r="A94">
        <v>95</v>
      </c>
      <c r="B94">
        <v>18109</v>
      </c>
      <c r="C94" t="s">
        <v>713</v>
      </c>
      <c r="D94" t="s">
        <v>6907</v>
      </c>
      <c r="E94" t="s">
        <v>7902</v>
      </c>
      <c r="F94" t="s">
        <v>53</v>
      </c>
      <c r="G94" t="s">
        <v>717</v>
      </c>
      <c r="H94" t="s">
        <v>43</v>
      </c>
      <c r="I94" s="13" t="s">
        <v>718</v>
      </c>
      <c r="J94" t="s">
        <v>45</v>
      </c>
      <c r="K94" t="s">
        <v>7881</v>
      </c>
      <c r="L94" t="s">
        <v>7893</v>
      </c>
      <c r="M94" t="s">
        <v>46</v>
      </c>
      <c r="N94" t="s">
        <v>33</v>
      </c>
      <c r="O94" s="17">
        <v>552500</v>
      </c>
      <c r="P94" s="17" t="s">
        <v>7854</v>
      </c>
      <c r="Q94" s="22">
        <v>0</v>
      </c>
      <c r="R94" s="22" t="s">
        <v>7854</v>
      </c>
      <c r="S94" s="24">
        <v>0</v>
      </c>
      <c r="T94" s="24" t="s">
        <v>7854</v>
      </c>
      <c r="U94" t="s">
        <v>719</v>
      </c>
    </row>
    <row r="95" spans="1:21" x14ac:dyDescent="0.25">
      <c r="A95">
        <v>96</v>
      </c>
      <c r="B95">
        <v>24073</v>
      </c>
      <c r="C95" t="s">
        <v>720</v>
      </c>
      <c r="D95" t="s">
        <v>6908</v>
      </c>
      <c r="E95" t="s">
        <v>7986</v>
      </c>
      <c r="F95" t="s">
        <v>53</v>
      </c>
      <c r="G95" t="s">
        <v>724</v>
      </c>
      <c r="H95" t="s">
        <v>43</v>
      </c>
      <c r="I95" s="13" t="s">
        <v>725</v>
      </c>
      <c r="J95" t="s">
        <v>31</v>
      </c>
      <c r="K95" t="s">
        <v>7879</v>
      </c>
      <c r="L95" t="s">
        <v>7888</v>
      </c>
      <c r="M95" t="s">
        <v>46</v>
      </c>
      <c r="N95" t="s">
        <v>33</v>
      </c>
      <c r="O95" s="17">
        <v>195000</v>
      </c>
      <c r="P95" s="17" t="s">
        <v>7854</v>
      </c>
      <c r="Q95" s="22">
        <v>0</v>
      </c>
      <c r="R95" s="22" t="s">
        <v>7854</v>
      </c>
      <c r="S95" s="24">
        <v>0</v>
      </c>
      <c r="T95" s="24" t="s">
        <v>7854</v>
      </c>
      <c r="U95" t="s">
        <v>726</v>
      </c>
    </row>
    <row r="96" spans="1:21" x14ac:dyDescent="0.25">
      <c r="A96">
        <v>97</v>
      </c>
      <c r="B96">
        <v>7574</v>
      </c>
      <c r="C96" t="s">
        <v>727</v>
      </c>
      <c r="D96" t="s">
        <v>6909</v>
      </c>
      <c r="E96" t="s">
        <v>731</v>
      </c>
      <c r="F96" t="s">
        <v>53</v>
      </c>
      <c r="G96" t="s">
        <v>732</v>
      </c>
      <c r="H96" t="s">
        <v>43</v>
      </c>
      <c r="I96" s="13" t="s">
        <v>733</v>
      </c>
      <c r="J96" t="s">
        <v>31</v>
      </c>
      <c r="K96" t="s">
        <v>7886</v>
      </c>
      <c r="L96" t="s">
        <v>7893</v>
      </c>
      <c r="M96" t="s">
        <v>46</v>
      </c>
      <c r="N96" t="s">
        <v>33</v>
      </c>
      <c r="O96" s="17">
        <v>812500</v>
      </c>
      <c r="P96" s="17" t="s">
        <v>7854</v>
      </c>
      <c r="Q96" s="22">
        <v>0</v>
      </c>
      <c r="R96" s="22" t="s">
        <v>7854</v>
      </c>
      <c r="S96" s="24">
        <v>162500</v>
      </c>
      <c r="T96" s="24" t="s">
        <v>7854</v>
      </c>
      <c r="U96" t="s">
        <v>734</v>
      </c>
    </row>
    <row r="97" spans="1:21" x14ac:dyDescent="0.25">
      <c r="A97">
        <v>98</v>
      </c>
      <c r="B97">
        <v>1854</v>
      </c>
      <c r="C97" t="s">
        <v>735</v>
      </c>
      <c r="D97" t="s">
        <v>6910</v>
      </c>
      <c r="E97" t="s">
        <v>738</v>
      </c>
      <c r="F97" t="s">
        <v>28</v>
      </c>
      <c r="G97" t="s">
        <v>739</v>
      </c>
      <c r="H97" t="s">
        <v>43</v>
      </c>
      <c r="I97" s="13" t="s">
        <v>740</v>
      </c>
      <c r="J97" t="s">
        <v>45</v>
      </c>
      <c r="K97" t="s">
        <v>7881</v>
      </c>
      <c r="L97" t="s">
        <v>7893</v>
      </c>
      <c r="M97" t="s">
        <v>46</v>
      </c>
      <c r="N97" t="s">
        <v>33</v>
      </c>
      <c r="O97" s="17">
        <v>552500</v>
      </c>
      <c r="P97" s="17" t="s">
        <v>7854</v>
      </c>
      <c r="Q97" s="22">
        <v>0</v>
      </c>
      <c r="R97" s="22" t="s">
        <v>7854</v>
      </c>
      <c r="S97" s="24">
        <v>0</v>
      </c>
      <c r="T97" s="24" t="s">
        <v>7854</v>
      </c>
      <c r="U97" t="s">
        <v>741</v>
      </c>
    </row>
    <row r="98" spans="1:21" x14ac:dyDescent="0.25">
      <c r="A98">
        <v>100</v>
      </c>
      <c r="B98">
        <v>19009</v>
      </c>
      <c r="C98" t="s">
        <v>744</v>
      </c>
      <c r="D98" t="s">
        <v>6911</v>
      </c>
      <c r="E98" t="s">
        <v>747</v>
      </c>
      <c r="F98" t="s">
        <v>53</v>
      </c>
      <c r="G98" t="s">
        <v>748</v>
      </c>
      <c r="H98" t="s">
        <v>43</v>
      </c>
      <c r="I98" s="13" t="s">
        <v>749</v>
      </c>
      <c r="J98" t="s">
        <v>31</v>
      </c>
      <c r="K98" t="s">
        <v>7881</v>
      </c>
      <c r="L98" t="s">
        <v>7981</v>
      </c>
      <c r="M98" t="s">
        <v>63</v>
      </c>
      <c r="N98" t="s">
        <v>33</v>
      </c>
      <c r="O98" s="17">
        <v>552500</v>
      </c>
      <c r="P98" s="17" t="s">
        <v>7854</v>
      </c>
      <c r="Q98" s="22">
        <v>0</v>
      </c>
      <c r="R98" s="22" t="s">
        <v>7854</v>
      </c>
      <c r="S98" s="24">
        <v>0</v>
      </c>
      <c r="T98" s="24" t="s">
        <v>7854</v>
      </c>
      <c r="U98" t="s">
        <v>750</v>
      </c>
    </row>
    <row r="99" spans="1:21" x14ac:dyDescent="0.25">
      <c r="A99">
        <v>101</v>
      </c>
      <c r="B99">
        <v>24148</v>
      </c>
      <c r="C99" t="s">
        <v>751</v>
      </c>
      <c r="D99" t="s">
        <v>6912</v>
      </c>
      <c r="E99" t="s">
        <v>755</v>
      </c>
      <c r="F99" t="s">
        <v>53</v>
      </c>
      <c r="G99" t="s">
        <v>756</v>
      </c>
      <c r="H99" t="s">
        <v>43</v>
      </c>
      <c r="I99" s="13" t="s">
        <v>757</v>
      </c>
      <c r="J99" t="s">
        <v>31</v>
      </c>
      <c r="K99" t="s">
        <v>7879</v>
      </c>
      <c r="L99" t="s">
        <v>8028</v>
      </c>
      <c r="M99" t="s">
        <v>87</v>
      </c>
      <c r="N99" t="s">
        <v>33</v>
      </c>
      <c r="O99" s="17">
        <v>195000</v>
      </c>
      <c r="P99" s="17" t="s">
        <v>7854</v>
      </c>
      <c r="Q99" s="22">
        <v>0</v>
      </c>
      <c r="R99" s="22" t="s">
        <v>7854</v>
      </c>
      <c r="S99" s="24">
        <v>0</v>
      </c>
      <c r="T99" s="24" t="s">
        <v>7854</v>
      </c>
      <c r="U99" t="s">
        <v>758</v>
      </c>
    </row>
    <row r="100" spans="1:21" x14ac:dyDescent="0.25">
      <c r="A100">
        <v>102</v>
      </c>
      <c r="B100">
        <v>11657</v>
      </c>
      <c r="C100" t="s">
        <v>759</v>
      </c>
      <c r="D100" t="s">
        <v>6913</v>
      </c>
      <c r="E100" t="s">
        <v>763</v>
      </c>
      <c r="F100" t="s">
        <v>53</v>
      </c>
      <c r="G100" t="s">
        <v>764</v>
      </c>
      <c r="H100" t="s">
        <v>765</v>
      </c>
      <c r="I100" s="12">
        <v>23278340386</v>
      </c>
      <c r="J100" t="s">
        <v>45</v>
      </c>
      <c r="K100" t="s">
        <v>7881</v>
      </c>
      <c r="L100" t="s">
        <v>7893</v>
      </c>
      <c r="M100" t="s">
        <v>46</v>
      </c>
      <c r="N100" t="s">
        <v>33</v>
      </c>
      <c r="O100" s="17">
        <v>552500</v>
      </c>
      <c r="P100" s="17" t="s">
        <v>7854</v>
      </c>
      <c r="Q100" s="22">
        <v>0</v>
      </c>
      <c r="R100" s="22" t="s">
        <v>7854</v>
      </c>
      <c r="S100" s="24">
        <v>0</v>
      </c>
      <c r="T100" s="24" t="s">
        <v>7854</v>
      </c>
      <c r="U100" t="s">
        <v>766</v>
      </c>
    </row>
    <row r="101" spans="1:21" x14ac:dyDescent="0.25">
      <c r="A101">
        <v>103</v>
      </c>
      <c r="B101">
        <v>717</v>
      </c>
      <c r="C101" t="s">
        <v>767</v>
      </c>
      <c r="D101" t="s">
        <v>6914</v>
      </c>
      <c r="E101" t="s">
        <v>771</v>
      </c>
      <c r="F101" t="s">
        <v>53</v>
      </c>
      <c r="G101" t="s">
        <v>772</v>
      </c>
      <c r="H101" t="s">
        <v>43</v>
      </c>
      <c r="I101" s="12">
        <v>8036413865</v>
      </c>
      <c r="J101" t="s">
        <v>31</v>
      </c>
      <c r="K101" t="s">
        <v>7881</v>
      </c>
      <c r="L101" t="s">
        <v>7940</v>
      </c>
      <c r="M101" t="s">
        <v>46</v>
      </c>
      <c r="N101" t="s">
        <v>33</v>
      </c>
      <c r="O101" s="17">
        <v>552500</v>
      </c>
      <c r="P101" s="17" t="s">
        <v>7854</v>
      </c>
      <c r="Q101" s="22">
        <v>0</v>
      </c>
      <c r="R101" s="22" t="s">
        <v>7854</v>
      </c>
      <c r="S101" s="24">
        <v>0</v>
      </c>
      <c r="T101" s="24" t="s">
        <v>7854</v>
      </c>
      <c r="U101" t="s">
        <v>773</v>
      </c>
    </row>
    <row r="102" spans="1:21" x14ac:dyDescent="0.25">
      <c r="A102">
        <v>104</v>
      </c>
      <c r="B102">
        <v>2684</v>
      </c>
      <c r="C102" t="s">
        <v>774</v>
      </c>
      <c r="D102" t="s">
        <v>6915</v>
      </c>
      <c r="E102" t="s">
        <v>777</v>
      </c>
      <c r="F102" t="s">
        <v>53</v>
      </c>
      <c r="G102" t="s">
        <v>778</v>
      </c>
      <c r="H102" t="s">
        <v>43</v>
      </c>
      <c r="I102" s="13" t="s">
        <v>779</v>
      </c>
      <c r="J102" t="s">
        <v>244</v>
      </c>
      <c r="K102" t="s">
        <v>7886</v>
      </c>
      <c r="L102" t="s">
        <v>7893</v>
      </c>
      <c r="M102" t="s">
        <v>46</v>
      </c>
      <c r="N102" t="s">
        <v>33</v>
      </c>
      <c r="O102" s="17">
        <v>812500</v>
      </c>
      <c r="P102" s="17" t="s">
        <v>7854</v>
      </c>
      <c r="Q102" s="22">
        <v>0</v>
      </c>
      <c r="R102" s="22" t="s">
        <v>7854</v>
      </c>
      <c r="S102" s="24">
        <v>0</v>
      </c>
      <c r="T102" s="24" t="s">
        <v>7854</v>
      </c>
      <c r="U102" t="s">
        <v>780</v>
      </c>
    </row>
    <row r="103" spans="1:21" x14ac:dyDescent="0.25">
      <c r="A103">
        <v>105</v>
      </c>
      <c r="B103">
        <v>23964</v>
      </c>
      <c r="C103" t="s">
        <v>781</v>
      </c>
      <c r="D103" t="s">
        <v>6916</v>
      </c>
      <c r="E103" t="s">
        <v>785</v>
      </c>
      <c r="F103" t="s">
        <v>28</v>
      </c>
      <c r="G103" t="s">
        <v>785</v>
      </c>
      <c r="H103" t="s">
        <v>43</v>
      </c>
      <c r="I103" s="12">
        <v>2348063369279</v>
      </c>
      <c r="J103" t="s">
        <v>31</v>
      </c>
      <c r="K103" t="s">
        <v>7879</v>
      </c>
      <c r="L103" t="s">
        <v>7940</v>
      </c>
      <c r="M103" t="s">
        <v>87</v>
      </c>
      <c r="N103" t="s">
        <v>33</v>
      </c>
      <c r="O103" s="17">
        <v>195000</v>
      </c>
      <c r="P103" s="17" t="s">
        <v>7854</v>
      </c>
      <c r="Q103" s="22">
        <v>0</v>
      </c>
      <c r="R103" s="22" t="s">
        <v>7854</v>
      </c>
      <c r="S103" s="24">
        <v>0</v>
      </c>
      <c r="T103" s="24" t="s">
        <v>7854</v>
      </c>
      <c r="U103" t="s">
        <v>786</v>
      </c>
    </row>
    <row r="104" spans="1:21" x14ac:dyDescent="0.25">
      <c r="A104">
        <v>106</v>
      </c>
      <c r="B104">
        <v>24201</v>
      </c>
      <c r="C104" t="s">
        <v>787</v>
      </c>
      <c r="D104" t="s">
        <v>6917</v>
      </c>
      <c r="E104" t="s">
        <v>791</v>
      </c>
      <c r="F104" t="s">
        <v>28</v>
      </c>
      <c r="G104" t="s">
        <v>792</v>
      </c>
      <c r="H104" t="s">
        <v>43</v>
      </c>
      <c r="I104" s="13" t="s">
        <v>793</v>
      </c>
      <c r="J104" t="s">
        <v>31</v>
      </c>
      <c r="K104" t="s">
        <v>7879</v>
      </c>
      <c r="L104" t="s">
        <v>8028</v>
      </c>
      <c r="M104" t="s">
        <v>46</v>
      </c>
      <c r="N104" t="s">
        <v>33</v>
      </c>
      <c r="O104" s="17">
        <v>195000</v>
      </c>
      <c r="P104" s="17" t="s">
        <v>7854</v>
      </c>
      <c r="Q104" s="22">
        <v>0</v>
      </c>
      <c r="R104" s="22" t="s">
        <v>7854</v>
      </c>
      <c r="S104" s="24">
        <v>0</v>
      </c>
      <c r="T104" s="24" t="s">
        <v>7854</v>
      </c>
      <c r="U104" t="s">
        <v>794</v>
      </c>
    </row>
    <row r="105" spans="1:21" x14ac:dyDescent="0.25">
      <c r="A105">
        <v>107</v>
      </c>
      <c r="B105">
        <v>24108</v>
      </c>
      <c r="C105" t="s">
        <v>795</v>
      </c>
      <c r="D105" t="s">
        <v>6918</v>
      </c>
      <c r="E105" t="s">
        <v>799</v>
      </c>
      <c r="F105" t="s">
        <v>53</v>
      </c>
      <c r="G105" t="s">
        <v>800</v>
      </c>
      <c r="H105" t="s">
        <v>43</v>
      </c>
      <c r="I105" s="13" t="s">
        <v>801</v>
      </c>
      <c r="J105" t="s">
        <v>31</v>
      </c>
      <c r="K105" t="s">
        <v>7879</v>
      </c>
      <c r="L105" t="s">
        <v>7981</v>
      </c>
      <c r="M105" t="s">
        <v>46</v>
      </c>
      <c r="N105" t="s">
        <v>33</v>
      </c>
      <c r="O105" s="17">
        <v>195000</v>
      </c>
      <c r="P105" s="17" t="s">
        <v>7854</v>
      </c>
      <c r="Q105" s="22">
        <v>0</v>
      </c>
      <c r="R105" s="22" t="s">
        <v>7854</v>
      </c>
      <c r="S105" s="24">
        <v>0</v>
      </c>
      <c r="T105" s="24" t="s">
        <v>7854</v>
      </c>
      <c r="U105" t="s">
        <v>802</v>
      </c>
    </row>
    <row r="106" spans="1:21" x14ac:dyDescent="0.25">
      <c r="A106">
        <v>108</v>
      </c>
      <c r="B106">
        <v>20673</v>
      </c>
      <c r="C106" t="s">
        <v>803</v>
      </c>
      <c r="D106" t="s">
        <v>6919</v>
      </c>
      <c r="E106" t="s">
        <v>807</v>
      </c>
      <c r="F106" t="s">
        <v>28</v>
      </c>
      <c r="G106" t="s">
        <v>808</v>
      </c>
      <c r="H106" t="s">
        <v>43</v>
      </c>
      <c r="I106" s="13" t="s">
        <v>809</v>
      </c>
      <c r="J106" t="s">
        <v>45</v>
      </c>
      <c r="K106" t="s">
        <v>7881</v>
      </c>
      <c r="L106" t="s">
        <v>7940</v>
      </c>
      <c r="M106" t="s">
        <v>63</v>
      </c>
      <c r="N106" t="s">
        <v>33</v>
      </c>
      <c r="O106" s="17">
        <v>552500</v>
      </c>
      <c r="P106" s="17" t="s">
        <v>7854</v>
      </c>
      <c r="Q106" s="22">
        <v>110500</v>
      </c>
      <c r="R106" s="22" t="s">
        <v>7854</v>
      </c>
      <c r="S106" s="24">
        <v>0</v>
      </c>
      <c r="T106" s="24" t="s">
        <v>7854</v>
      </c>
      <c r="U106" t="s">
        <v>810</v>
      </c>
    </row>
    <row r="107" spans="1:21" x14ac:dyDescent="0.25">
      <c r="A107">
        <v>109</v>
      </c>
      <c r="B107">
        <v>24170</v>
      </c>
      <c r="C107" t="s">
        <v>811</v>
      </c>
      <c r="D107" t="s">
        <v>6920</v>
      </c>
      <c r="E107" t="s">
        <v>813</v>
      </c>
      <c r="F107" t="s">
        <v>28</v>
      </c>
      <c r="G107" t="s">
        <v>814</v>
      </c>
      <c r="H107" t="s">
        <v>43</v>
      </c>
      <c r="I107" s="13" t="s">
        <v>815</v>
      </c>
      <c r="J107" t="s">
        <v>31</v>
      </c>
      <c r="K107" t="s">
        <v>7879</v>
      </c>
      <c r="L107" t="s">
        <v>7940</v>
      </c>
      <c r="M107" t="s">
        <v>63</v>
      </c>
      <c r="N107" t="s">
        <v>33</v>
      </c>
      <c r="O107" s="17">
        <v>195000</v>
      </c>
      <c r="P107" s="17" t="s">
        <v>7854</v>
      </c>
      <c r="Q107" s="22">
        <v>0</v>
      </c>
      <c r="R107" s="22" t="s">
        <v>7854</v>
      </c>
      <c r="S107" s="24">
        <v>0</v>
      </c>
      <c r="T107" s="24" t="s">
        <v>7854</v>
      </c>
      <c r="U107" t="s">
        <v>816</v>
      </c>
    </row>
    <row r="108" spans="1:21" x14ac:dyDescent="0.25">
      <c r="A108">
        <v>110</v>
      </c>
      <c r="B108">
        <v>7798</v>
      </c>
      <c r="C108" t="s">
        <v>817</v>
      </c>
      <c r="D108" t="s">
        <v>6921</v>
      </c>
      <c r="E108" t="s">
        <v>821</v>
      </c>
      <c r="F108" t="s">
        <v>28</v>
      </c>
      <c r="G108" t="s">
        <v>822</v>
      </c>
      <c r="H108" t="s">
        <v>43</v>
      </c>
      <c r="I108" s="13" t="s">
        <v>823</v>
      </c>
      <c r="J108" t="s">
        <v>244</v>
      </c>
      <c r="K108" t="s">
        <v>7886</v>
      </c>
      <c r="L108" t="s">
        <v>7981</v>
      </c>
      <c r="M108" t="s">
        <v>46</v>
      </c>
      <c r="N108" t="s">
        <v>33</v>
      </c>
      <c r="O108" s="17">
        <v>812500</v>
      </c>
      <c r="P108" s="17" t="s">
        <v>7854</v>
      </c>
      <c r="Q108" s="22">
        <v>0</v>
      </c>
      <c r="R108" s="22" t="s">
        <v>7854</v>
      </c>
      <c r="S108" s="24">
        <v>0</v>
      </c>
      <c r="T108" s="24" t="s">
        <v>7854</v>
      </c>
      <c r="U108" t="s">
        <v>824</v>
      </c>
    </row>
    <row r="109" spans="1:21" x14ac:dyDescent="0.25">
      <c r="A109">
        <v>111</v>
      </c>
      <c r="B109">
        <v>24096</v>
      </c>
      <c r="C109" t="s">
        <v>825</v>
      </c>
      <c r="D109" t="s">
        <v>6922</v>
      </c>
      <c r="E109" t="s">
        <v>828</v>
      </c>
      <c r="F109" t="s">
        <v>28</v>
      </c>
      <c r="G109" t="s">
        <v>829</v>
      </c>
      <c r="H109" t="s">
        <v>43</v>
      </c>
      <c r="I109" s="12">
        <v>2348100565872</v>
      </c>
      <c r="J109" t="s">
        <v>31</v>
      </c>
      <c r="K109" t="s">
        <v>7879</v>
      </c>
      <c r="L109" t="s">
        <v>7981</v>
      </c>
      <c r="M109" t="s">
        <v>46</v>
      </c>
      <c r="N109" t="s">
        <v>33</v>
      </c>
      <c r="O109" s="17">
        <v>195000</v>
      </c>
      <c r="P109" s="17" t="s">
        <v>7854</v>
      </c>
      <c r="Q109" s="22">
        <v>0</v>
      </c>
      <c r="R109" s="22" t="s">
        <v>7854</v>
      </c>
      <c r="S109" s="24">
        <v>0</v>
      </c>
      <c r="T109" s="24" t="s">
        <v>7854</v>
      </c>
      <c r="U109" t="s">
        <v>830</v>
      </c>
    </row>
    <row r="110" spans="1:21" x14ac:dyDescent="0.25">
      <c r="A110">
        <v>112</v>
      </c>
      <c r="B110">
        <v>24183</v>
      </c>
      <c r="C110" t="s">
        <v>831</v>
      </c>
      <c r="D110" t="s">
        <v>6923</v>
      </c>
      <c r="E110" t="s">
        <v>834</v>
      </c>
      <c r="F110" t="s">
        <v>53</v>
      </c>
      <c r="G110" t="s">
        <v>835</v>
      </c>
      <c r="H110" t="s">
        <v>43</v>
      </c>
      <c r="I110" s="13" t="s">
        <v>836</v>
      </c>
      <c r="J110" t="s">
        <v>31</v>
      </c>
      <c r="K110" t="s">
        <v>7879</v>
      </c>
      <c r="L110" t="s">
        <v>7940</v>
      </c>
      <c r="M110" t="s">
        <v>63</v>
      </c>
      <c r="N110" t="s">
        <v>33</v>
      </c>
      <c r="O110" s="17">
        <v>195000</v>
      </c>
      <c r="P110" s="17" t="s">
        <v>7854</v>
      </c>
      <c r="Q110" s="22">
        <v>0</v>
      </c>
      <c r="R110" s="22" t="s">
        <v>7854</v>
      </c>
      <c r="S110" s="24">
        <v>0</v>
      </c>
      <c r="T110" s="24" t="s">
        <v>7854</v>
      </c>
      <c r="U110" t="s">
        <v>837</v>
      </c>
    </row>
    <row r="111" spans="1:21" x14ac:dyDescent="0.25">
      <c r="A111">
        <v>113</v>
      </c>
      <c r="B111">
        <v>8540</v>
      </c>
      <c r="C111" t="s">
        <v>838</v>
      </c>
      <c r="D111" t="s">
        <v>6924</v>
      </c>
      <c r="E111" t="s">
        <v>842</v>
      </c>
      <c r="F111" t="s">
        <v>53</v>
      </c>
      <c r="G111" t="s">
        <v>843</v>
      </c>
      <c r="H111" t="s">
        <v>43</v>
      </c>
      <c r="I111" s="12">
        <v>8039183131</v>
      </c>
      <c r="J111" t="s">
        <v>244</v>
      </c>
      <c r="K111" t="s">
        <v>7886</v>
      </c>
      <c r="L111" t="s">
        <v>7981</v>
      </c>
      <c r="M111" t="s">
        <v>63</v>
      </c>
      <c r="N111" t="s">
        <v>33</v>
      </c>
      <c r="O111" s="17">
        <v>812500</v>
      </c>
      <c r="P111" s="17" t="s">
        <v>7854</v>
      </c>
      <c r="Q111" s="22">
        <v>0</v>
      </c>
      <c r="R111" s="22" t="s">
        <v>7854</v>
      </c>
      <c r="S111" s="24">
        <v>0</v>
      </c>
      <c r="T111" s="24" t="s">
        <v>7854</v>
      </c>
      <c r="U111" t="s">
        <v>844</v>
      </c>
    </row>
    <row r="112" spans="1:21" x14ac:dyDescent="0.25">
      <c r="A112">
        <v>114</v>
      </c>
      <c r="B112">
        <v>24182</v>
      </c>
      <c r="C112" t="s">
        <v>845</v>
      </c>
      <c r="D112" t="s">
        <v>6925</v>
      </c>
      <c r="E112" t="s">
        <v>849</v>
      </c>
      <c r="F112" t="s">
        <v>28</v>
      </c>
      <c r="G112" t="s">
        <v>850</v>
      </c>
      <c r="H112" t="s">
        <v>43</v>
      </c>
      <c r="I112" s="12">
        <v>2347015867853</v>
      </c>
      <c r="J112" t="s">
        <v>31</v>
      </c>
      <c r="K112" t="s">
        <v>7879</v>
      </c>
      <c r="L112" t="s">
        <v>7888</v>
      </c>
      <c r="M112" t="s">
        <v>63</v>
      </c>
      <c r="N112" t="s">
        <v>33</v>
      </c>
      <c r="O112" s="17">
        <v>195000</v>
      </c>
      <c r="P112" s="17" t="s">
        <v>7854</v>
      </c>
      <c r="Q112" s="22">
        <v>0</v>
      </c>
      <c r="R112" s="22" t="s">
        <v>7854</v>
      </c>
      <c r="S112" s="24">
        <v>0</v>
      </c>
      <c r="T112" s="24" t="s">
        <v>7854</v>
      </c>
      <c r="U112" t="s">
        <v>851</v>
      </c>
    </row>
    <row r="113" spans="1:21" x14ac:dyDescent="0.25">
      <c r="A113">
        <v>115</v>
      </c>
      <c r="B113">
        <v>24187</v>
      </c>
      <c r="C113" t="s">
        <v>852</v>
      </c>
      <c r="D113" t="s">
        <v>6926</v>
      </c>
      <c r="E113" t="s">
        <v>855</v>
      </c>
      <c r="F113" t="s">
        <v>53</v>
      </c>
      <c r="G113" t="s">
        <v>682</v>
      </c>
      <c r="H113" t="s">
        <v>453</v>
      </c>
      <c r="I113" s="13" t="s">
        <v>856</v>
      </c>
      <c r="J113" t="s">
        <v>31</v>
      </c>
      <c r="K113" t="s">
        <v>7879</v>
      </c>
      <c r="L113" t="s">
        <v>7893</v>
      </c>
      <c r="M113" t="s">
        <v>455</v>
      </c>
      <c r="N113" t="s">
        <v>130</v>
      </c>
      <c r="O113" s="17" t="s">
        <v>7854</v>
      </c>
      <c r="P113" s="17">
        <v>150</v>
      </c>
      <c r="Q113" s="22" t="s">
        <v>7854</v>
      </c>
      <c r="R113" s="22">
        <v>0</v>
      </c>
      <c r="S113" s="24" t="s">
        <v>7854</v>
      </c>
      <c r="T113" s="24">
        <v>0</v>
      </c>
      <c r="U113" t="s">
        <v>857</v>
      </c>
    </row>
    <row r="114" spans="1:21" x14ac:dyDescent="0.25">
      <c r="A114">
        <v>116</v>
      </c>
      <c r="B114">
        <v>5908</v>
      </c>
      <c r="C114" t="s">
        <v>858</v>
      </c>
      <c r="D114" t="s">
        <v>6927</v>
      </c>
      <c r="E114" t="s">
        <v>862</v>
      </c>
      <c r="F114" t="s">
        <v>28</v>
      </c>
      <c r="G114" t="s">
        <v>863</v>
      </c>
      <c r="H114" t="s">
        <v>43</v>
      </c>
      <c r="I114" s="12">
        <v>8064750946</v>
      </c>
      <c r="J114" t="s">
        <v>21</v>
      </c>
      <c r="K114" t="s">
        <v>7886</v>
      </c>
      <c r="L114" t="s">
        <v>7940</v>
      </c>
      <c r="M114" t="s">
        <v>63</v>
      </c>
      <c r="N114" t="s">
        <v>33</v>
      </c>
      <c r="O114" s="17">
        <v>812500</v>
      </c>
      <c r="P114" s="17" t="s">
        <v>7854</v>
      </c>
      <c r="Q114" s="22">
        <v>0</v>
      </c>
      <c r="R114" s="22" t="s">
        <v>7854</v>
      </c>
      <c r="S114" s="24">
        <v>162500</v>
      </c>
      <c r="T114" s="24" t="s">
        <v>7854</v>
      </c>
      <c r="U114" t="s">
        <v>864</v>
      </c>
    </row>
    <row r="115" spans="1:21" x14ac:dyDescent="0.25">
      <c r="A115">
        <v>117</v>
      </c>
      <c r="B115">
        <v>24196</v>
      </c>
      <c r="C115" t="s">
        <v>865</v>
      </c>
      <c r="D115" t="s">
        <v>6928</v>
      </c>
      <c r="E115" t="s">
        <v>868</v>
      </c>
      <c r="F115" t="s">
        <v>53</v>
      </c>
      <c r="G115" t="s">
        <v>869</v>
      </c>
      <c r="H115" t="s">
        <v>43</v>
      </c>
      <c r="I115" s="13" t="s">
        <v>870</v>
      </c>
      <c r="J115" t="s">
        <v>31</v>
      </c>
      <c r="K115" t="s">
        <v>7879</v>
      </c>
      <c r="L115" t="s">
        <v>7893</v>
      </c>
      <c r="M115" t="s">
        <v>46</v>
      </c>
      <c r="N115" t="s">
        <v>33</v>
      </c>
      <c r="O115" s="17">
        <v>195000</v>
      </c>
      <c r="P115" s="17" t="s">
        <v>7854</v>
      </c>
      <c r="Q115" s="22">
        <v>0</v>
      </c>
      <c r="R115" s="22" t="s">
        <v>7854</v>
      </c>
      <c r="S115" s="24">
        <v>0</v>
      </c>
      <c r="T115" s="24" t="s">
        <v>7854</v>
      </c>
      <c r="U115" t="s">
        <v>871</v>
      </c>
    </row>
    <row r="116" spans="1:21" x14ac:dyDescent="0.25">
      <c r="A116">
        <v>118</v>
      </c>
      <c r="B116">
        <v>23524</v>
      </c>
      <c r="C116" t="s">
        <v>872</v>
      </c>
      <c r="D116" t="s">
        <v>6929</v>
      </c>
      <c r="E116" t="s">
        <v>876</v>
      </c>
      <c r="F116" t="s">
        <v>28</v>
      </c>
      <c r="G116" t="s">
        <v>877</v>
      </c>
      <c r="H116" t="s">
        <v>43</v>
      </c>
      <c r="I116" s="13" t="s">
        <v>878</v>
      </c>
      <c r="J116" t="s">
        <v>45</v>
      </c>
      <c r="K116" t="s">
        <v>7879</v>
      </c>
      <c r="L116" t="s">
        <v>7893</v>
      </c>
      <c r="M116" t="s">
        <v>87</v>
      </c>
      <c r="N116" t="s">
        <v>33</v>
      </c>
      <c r="O116" s="17">
        <v>195000</v>
      </c>
      <c r="P116" s="17" t="s">
        <v>7854</v>
      </c>
      <c r="Q116" s="22">
        <v>0</v>
      </c>
      <c r="R116" s="22" t="s">
        <v>7854</v>
      </c>
      <c r="S116" s="24">
        <v>0</v>
      </c>
      <c r="T116" s="24" t="s">
        <v>7854</v>
      </c>
      <c r="U116" t="s">
        <v>879</v>
      </c>
    </row>
    <row r="117" spans="1:21" x14ac:dyDescent="0.25">
      <c r="A117">
        <v>119</v>
      </c>
      <c r="B117">
        <v>18909</v>
      </c>
      <c r="C117" t="s">
        <v>880</v>
      </c>
      <c r="D117" t="s">
        <v>6930</v>
      </c>
      <c r="E117">
        <v>233207672994</v>
      </c>
      <c r="F117" t="s">
        <v>53</v>
      </c>
      <c r="G117" t="s">
        <v>884</v>
      </c>
      <c r="H117" t="s">
        <v>453</v>
      </c>
      <c r="I117" s="12">
        <v>233246510024</v>
      </c>
      <c r="J117" t="s">
        <v>45</v>
      </c>
      <c r="K117" t="s">
        <v>7881</v>
      </c>
      <c r="L117" t="s">
        <v>7893</v>
      </c>
      <c r="M117" t="s">
        <v>455</v>
      </c>
      <c r="N117" t="s">
        <v>130</v>
      </c>
      <c r="O117" s="17" t="s">
        <v>7854</v>
      </c>
      <c r="P117" s="17">
        <v>425</v>
      </c>
      <c r="Q117" s="22" t="s">
        <v>7854</v>
      </c>
      <c r="R117" s="22">
        <v>0</v>
      </c>
      <c r="S117" s="24" t="s">
        <v>7854</v>
      </c>
      <c r="T117" s="24">
        <v>0</v>
      </c>
      <c r="U117" t="s">
        <v>885</v>
      </c>
    </row>
    <row r="118" spans="1:21" x14ac:dyDescent="0.25">
      <c r="A118">
        <v>120</v>
      </c>
      <c r="B118">
        <v>23995</v>
      </c>
      <c r="C118" t="s">
        <v>886</v>
      </c>
      <c r="D118" t="s">
        <v>6931</v>
      </c>
      <c r="E118" t="s">
        <v>889</v>
      </c>
      <c r="F118" t="s">
        <v>28</v>
      </c>
      <c r="G118" t="s">
        <v>889</v>
      </c>
      <c r="H118" t="s">
        <v>43</v>
      </c>
      <c r="I118" s="13" t="s">
        <v>890</v>
      </c>
      <c r="J118" t="s">
        <v>31</v>
      </c>
      <c r="K118" t="s">
        <v>7879</v>
      </c>
      <c r="L118" t="s">
        <v>7981</v>
      </c>
      <c r="M118" t="s">
        <v>87</v>
      </c>
      <c r="N118" t="s">
        <v>33</v>
      </c>
      <c r="O118" s="17">
        <v>195000</v>
      </c>
      <c r="P118" s="17" t="s">
        <v>7854</v>
      </c>
      <c r="Q118" s="22">
        <v>0</v>
      </c>
      <c r="R118" s="22" t="s">
        <v>7854</v>
      </c>
      <c r="S118" s="24">
        <v>0</v>
      </c>
      <c r="T118" s="24" t="s">
        <v>7854</v>
      </c>
      <c r="U118" t="s">
        <v>891</v>
      </c>
    </row>
    <row r="119" spans="1:21" x14ac:dyDescent="0.25">
      <c r="A119">
        <v>121</v>
      </c>
      <c r="B119">
        <v>20258</v>
      </c>
      <c r="C119" t="s">
        <v>892</v>
      </c>
      <c r="D119" t="s">
        <v>6932</v>
      </c>
      <c r="E119" t="s">
        <v>895</v>
      </c>
      <c r="F119" t="s">
        <v>28</v>
      </c>
      <c r="G119" t="s">
        <v>896</v>
      </c>
      <c r="H119" t="s">
        <v>43</v>
      </c>
      <c r="I119" s="13" t="s">
        <v>897</v>
      </c>
      <c r="J119" t="s">
        <v>31</v>
      </c>
      <c r="K119" t="s">
        <v>7881</v>
      </c>
      <c r="L119" t="s">
        <v>7888</v>
      </c>
      <c r="M119" t="s">
        <v>87</v>
      </c>
      <c r="N119" t="s">
        <v>33</v>
      </c>
      <c r="O119" s="17">
        <v>552500</v>
      </c>
      <c r="P119" s="17" t="s">
        <v>7854</v>
      </c>
      <c r="Q119" s="22">
        <v>110500</v>
      </c>
      <c r="R119" s="22" t="s">
        <v>7854</v>
      </c>
      <c r="S119" s="24">
        <v>0</v>
      </c>
      <c r="T119" s="24" t="s">
        <v>7854</v>
      </c>
      <c r="U119" t="s">
        <v>898</v>
      </c>
    </row>
    <row r="120" spans="1:21" x14ac:dyDescent="0.25">
      <c r="A120">
        <v>122</v>
      </c>
      <c r="B120">
        <v>24200</v>
      </c>
      <c r="C120" t="s">
        <v>899</v>
      </c>
      <c r="D120" t="s">
        <v>6933</v>
      </c>
      <c r="E120" t="s">
        <v>903</v>
      </c>
      <c r="F120" t="s">
        <v>28</v>
      </c>
      <c r="G120" t="s">
        <v>904</v>
      </c>
      <c r="H120" t="s">
        <v>43</v>
      </c>
      <c r="I120" s="12">
        <v>2348023015246</v>
      </c>
      <c r="J120" t="s">
        <v>31</v>
      </c>
      <c r="K120" t="s">
        <v>7879</v>
      </c>
      <c r="L120" t="s">
        <v>7981</v>
      </c>
      <c r="M120" t="s">
        <v>46</v>
      </c>
      <c r="N120" t="s">
        <v>33</v>
      </c>
      <c r="O120" s="17">
        <v>195000</v>
      </c>
      <c r="P120" s="17" t="s">
        <v>7854</v>
      </c>
      <c r="Q120" s="22">
        <v>0</v>
      </c>
      <c r="R120" s="22" t="s">
        <v>7854</v>
      </c>
      <c r="S120" s="24">
        <v>0</v>
      </c>
      <c r="T120" s="24" t="s">
        <v>7854</v>
      </c>
      <c r="U120" t="s">
        <v>905</v>
      </c>
    </row>
    <row r="121" spans="1:21" x14ac:dyDescent="0.25">
      <c r="A121">
        <v>123</v>
      </c>
      <c r="B121">
        <v>24084</v>
      </c>
      <c r="C121" t="s">
        <v>906</v>
      </c>
      <c r="D121" t="s">
        <v>6934</v>
      </c>
      <c r="E121" t="s">
        <v>908</v>
      </c>
      <c r="F121" t="s">
        <v>28</v>
      </c>
      <c r="G121" t="s">
        <v>909</v>
      </c>
      <c r="H121" t="s">
        <v>43</v>
      </c>
      <c r="I121" s="13" t="s">
        <v>910</v>
      </c>
      <c r="J121" t="s">
        <v>31</v>
      </c>
      <c r="K121" t="s">
        <v>7879</v>
      </c>
      <c r="L121" t="s">
        <v>7940</v>
      </c>
      <c r="M121" t="s">
        <v>46</v>
      </c>
      <c r="N121" t="s">
        <v>33</v>
      </c>
      <c r="O121" s="17">
        <v>195000</v>
      </c>
      <c r="P121" s="17" t="s">
        <v>7854</v>
      </c>
      <c r="Q121" s="22">
        <v>0</v>
      </c>
      <c r="R121" s="22" t="s">
        <v>7854</v>
      </c>
      <c r="S121" s="24">
        <v>0</v>
      </c>
      <c r="T121" s="24" t="s">
        <v>7854</v>
      </c>
      <c r="U121" t="s">
        <v>911</v>
      </c>
    </row>
    <row r="122" spans="1:21" x14ac:dyDescent="0.25">
      <c r="A122">
        <v>124</v>
      </c>
      <c r="B122">
        <v>24076</v>
      </c>
      <c r="C122" t="s">
        <v>912</v>
      </c>
      <c r="D122" t="s">
        <v>6935</v>
      </c>
      <c r="E122" t="s">
        <v>916</v>
      </c>
      <c r="F122" t="s">
        <v>53</v>
      </c>
      <c r="G122" t="s">
        <v>266</v>
      </c>
      <c r="H122" t="s">
        <v>43</v>
      </c>
      <c r="I122" s="12" t="s">
        <v>917</v>
      </c>
      <c r="J122" t="s">
        <v>31</v>
      </c>
      <c r="K122" t="s">
        <v>7879</v>
      </c>
      <c r="L122" t="s">
        <v>7888</v>
      </c>
      <c r="M122" t="s">
        <v>63</v>
      </c>
      <c r="N122" t="s">
        <v>33</v>
      </c>
      <c r="O122" s="17">
        <v>195000</v>
      </c>
      <c r="P122" s="17" t="s">
        <v>7854</v>
      </c>
      <c r="Q122" s="22">
        <v>0</v>
      </c>
      <c r="R122" s="22" t="s">
        <v>7854</v>
      </c>
      <c r="S122" s="24">
        <v>0</v>
      </c>
      <c r="T122" s="24" t="s">
        <v>7854</v>
      </c>
      <c r="U122" t="s">
        <v>918</v>
      </c>
    </row>
    <row r="123" spans="1:21" x14ac:dyDescent="0.25">
      <c r="A123">
        <v>125</v>
      </c>
      <c r="B123">
        <v>24198</v>
      </c>
      <c r="C123" t="s">
        <v>919</v>
      </c>
      <c r="D123" t="s">
        <v>6936</v>
      </c>
      <c r="E123" t="s">
        <v>922</v>
      </c>
      <c r="F123" t="s">
        <v>28</v>
      </c>
      <c r="G123" t="s">
        <v>923</v>
      </c>
      <c r="H123" t="s">
        <v>43</v>
      </c>
      <c r="I123" s="13" t="s">
        <v>924</v>
      </c>
      <c r="J123" t="s">
        <v>31</v>
      </c>
      <c r="K123" t="s">
        <v>7879</v>
      </c>
      <c r="L123" t="s">
        <v>7888</v>
      </c>
      <c r="M123" t="s">
        <v>46</v>
      </c>
      <c r="N123" t="s">
        <v>33</v>
      </c>
      <c r="O123" s="17">
        <v>195000</v>
      </c>
      <c r="P123" s="17" t="s">
        <v>7854</v>
      </c>
      <c r="Q123" s="22">
        <v>0</v>
      </c>
      <c r="R123" s="22" t="s">
        <v>7854</v>
      </c>
      <c r="S123" s="24">
        <v>0</v>
      </c>
      <c r="T123" s="24" t="s">
        <v>7854</v>
      </c>
      <c r="U123" t="s">
        <v>925</v>
      </c>
    </row>
    <row r="124" spans="1:21" x14ac:dyDescent="0.25">
      <c r="A124">
        <v>126</v>
      </c>
      <c r="B124">
        <v>24210</v>
      </c>
      <c r="C124" t="s">
        <v>926</v>
      </c>
      <c r="D124" t="s">
        <v>6937</v>
      </c>
      <c r="E124" t="s">
        <v>928</v>
      </c>
      <c r="F124" t="s">
        <v>28</v>
      </c>
      <c r="G124" t="s">
        <v>929</v>
      </c>
      <c r="H124" t="s">
        <v>43</v>
      </c>
      <c r="I124" s="13" t="s">
        <v>930</v>
      </c>
      <c r="J124" t="s">
        <v>31</v>
      </c>
      <c r="K124" t="s">
        <v>7879</v>
      </c>
      <c r="L124" t="s">
        <v>7888</v>
      </c>
      <c r="M124" t="s">
        <v>46</v>
      </c>
      <c r="N124" t="s">
        <v>33</v>
      </c>
      <c r="O124" s="17">
        <v>195000</v>
      </c>
      <c r="P124" s="17" t="s">
        <v>7854</v>
      </c>
      <c r="Q124" s="22">
        <v>0</v>
      </c>
      <c r="R124" s="22" t="s">
        <v>7854</v>
      </c>
      <c r="S124" s="24">
        <v>0</v>
      </c>
      <c r="T124" s="24" t="s">
        <v>7854</v>
      </c>
      <c r="U124" t="s">
        <v>931</v>
      </c>
    </row>
    <row r="125" spans="1:21" x14ac:dyDescent="0.25">
      <c r="A125">
        <v>127</v>
      </c>
      <c r="B125">
        <v>23184</v>
      </c>
      <c r="C125" t="s">
        <v>932</v>
      </c>
      <c r="D125" t="s">
        <v>6938</v>
      </c>
      <c r="E125" t="s">
        <v>935</v>
      </c>
      <c r="F125" t="s">
        <v>53</v>
      </c>
      <c r="G125" t="s">
        <v>936</v>
      </c>
      <c r="H125" t="s">
        <v>43</v>
      </c>
      <c r="I125" s="13" t="s">
        <v>937</v>
      </c>
      <c r="J125" t="s">
        <v>31</v>
      </c>
      <c r="K125" t="s">
        <v>7879</v>
      </c>
      <c r="L125" t="s">
        <v>7893</v>
      </c>
      <c r="M125" t="s">
        <v>46</v>
      </c>
      <c r="N125" t="s">
        <v>33</v>
      </c>
      <c r="O125" s="17">
        <v>195000</v>
      </c>
      <c r="P125" s="17" t="s">
        <v>7854</v>
      </c>
      <c r="Q125" s="22">
        <v>0</v>
      </c>
      <c r="R125" s="22" t="s">
        <v>7854</v>
      </c>
      <c r="S125" s="24">
        <v>0</v>
      </c>
      <c r="T125" s="24" t="s">
        <v>7854</v>
      </c>
      <c r="U125" t="s">
        <v>938</v>
      </c>
    </row>
    <row r="126" spans="1:21" x14ac:dyDescent="0.25">
      <c r="A126">
        <v>128</v>
      </c>
      <c r="B126">
        <v>24205</v>
      </c>
      <c r="C126" t="s">
        <v>939</v>
      </c>
      <c r="D126" t="s">
        <v>6939</v>
      </c>
      <c r="E126" t="s">
        <v>943</v>
      </c>
      <c r="F126" t="s">
        <v>28</v>
      </c>
      <c r="G126" t="s">
        <v>944</v>
      </c>
      <c r="H126" t="s">
        <v>43</v>
      </c>
      <c r="I126" s="13" t="s">
        <v>945</v>
      </c>
      <c r="J126" t="s">
        <v>31</v>
      </c>
      <c r="K126" t="s">
        <v>7879</v>
      </c>
      <c r="L126" t="s">
        <v>7888</v>
      </c>
      <c r="M126" t="s">
        <v>46</v>
      </c>
      <c r="N126" t="s">
        <v>33</v>
      </c>
      <c r="O126" s="17">
        <v>195000</v>
      </c>
      <c r="P126" s="17" t="s">
        <v>7854</v>
      </c>
      <c r="Q126" s="22">
        <v>0</v>
      </c>
      <c r="R126" s="22" t="s">
        <v>7854</v>
      </c>
      <c r="S126" s="24">
        <v>0</v>
      </c>
      <c r="T126" s="24" t="s">
        <v>7854</v>
      </c>
      <c r="U126" t="s">
        <v>946</v>
      </c>
    </row>
    <row r="127" spans="1:21" x14ac:dyDescent="0.25">
      <c r="A127">
        <v>129</v>
      </c>
      <c r="B127">
        <v>24220</v>
      </c>
      <c r="C127" t="s">
        <v>947</v>
      </c>
      <c r="D127" t="s">
        <v>6940</v>
      </c>
      <c r="E127" t="s">
        <v>951</v>
      </c>
      <c r="F127" t="s">
        <v>28</v>
      </c>
      <c r="G127" t="s">
        <v>952</v>
      </c>
      <c r="H127" t="s">
        <v>453</v>
      </c>
      <c r="I127" s="12" t="s">
        <v>953</v>
      </c>
      <c r="J127" t="s">
        <v>31</v>
      </c>
      <c r="K127" t="s">
        <v>7879</v>
      </c>
      <c r="L127" t="s">
        <v>8028</v>
      </c>
      <c r="M127" t="s">
        <v>455</v>
      </c>
      <c r="N127" t="s">
        <v>130</v>
      </c>
      <c r="O127" s="17" t="s">
        <v>7854</v>
      </c>
      <c r="P127" s="17">
        <v>150</v>
      </c>
      <c r="Q127" s="22" t="s">
        <v>7854</v>
      </c>
      <c r="R127" s="22">
        <v>0</v>
      </c>
      <c r="S127" s="24" t="s">
        <v>7854</v>
      </c>
      <c r="T127" s="24">
        <v>0</v>
      </c>
      <c r="U127" t="s">
        <v>954</v>
      </c>
    </row>
    <row r="128" spans="1:21" x14ac:dyDescent="0.25">
      <c r="A128">
        <v>130</v>
      </c>
      <c r="B128">
        <v>24062</v>
      </c>
      <c r="C128" t="s">
        <v>955</v>
      </c>
      <c r="D128" t="s">
        <v>6941</v>
      </c>
      <c r="E128" t="s">
        <v>959</v>
      </c>
      <c r="F128" t="s">
        <v>28</v>
      </c>
      <c r="G128" t="s">
        <v>960</v>
      </c>
      <c r="H128" t="s">
        <v>453</v>
      </c>
      <c r="I128" s="13" t="s">
        <v>961</v>
      </c>
      <c r="J128" t="s">
        <v>31</v>
      </c>
      <c r="K128" t="s">
        <v>7879</v>
      </c>
      <c r="L128" t="s">
        <v>7888</v>
      </c>
      <c r="M128" t="s">
        <v>455</v>
      </c>
      <c r="N128" t="s">
        <v>130</v>
      </c>
      <c r="O128" s="17" t="s">
        <v>7854</v>
      </c>
      <c r="P128" s="17">
        <v>150</v>
      </c>
      <c r="Q128" s="22" t="s">
        <v>7854</v>
      </c>
      <c r="R128" s="22">
        <v>0</v>
      </c>
      <c r="S128" s="24" t="s">
        <v>7854</v>
      </c>
      <c r="T128" s="24">
        <v>0</v>
      </c>
      <c r="U128" t="s">
        <v>962</v>
      </c>
    </row>
    <row r="129" spans="1:21" x14ac:dyDescent="0.25">
      <c r="A129">
        <v>131</v>
      </c>
      <c r="B129">
        <v>9697</v>
      </c>
      <c r="C129" t="s">
        <v>963</v>
      </c>
      <c r="D129" t="s">
        <v>6942</v>
      </c>
      <c r="E129" t="s">
        <v>967</v>
      </c>
      <c r="F129" t="s">
        <v>28</v>
      </c>
      <c r="G129" t="s">
        <v>968</v>
      </c>
      <c r="H129" t="s">
        <v>453</v>
      </c>
      <c r="I129" s="13" t="s">
        <v>969</v>
      </c>
      <c r="J129" t="s">
        <v>45</v>
      </c>
      <c r="K129" t="s">
        <v>7881</v>
      </c>
      <c r="L129" t="s">
        <v>7893</v>
      </c>
      <c r="M129" t="s">
        <v>455</v>
      </c>
      <c r="N129" t="s">
        <v>130</v>
      </c>
      <c r="O129" s="17" t="s">
        <v>7854</v>
      </c>
      <c r="P129" s="17">
        <v>425</v>
      </c>
      <c r="Q129" s="22" t="s">
        <v>7854</v>
      </c>
      <c r="R129" s="22">
        <v>0</v>
      </c>
      <c r="S129" s="24" t="s">
        <v>7854</v>
      </c>
      <c r="T129" s="24">
        <v>0</v>
      </c>
      <c r="U129" t="s">
        <v>970</v>
      </c>
    </row>
    <row r="130" spans="1:21" x14ac:dyDescent="0.25">
      <c r="A130">
        <v>132</v>
      </c>
      <c r="B130">
        <v>24124</v>
      </c>
      <c r="C130" t="s">
        <v>971</v>
      </c>
      <c r="D130" t="s">
        <v>6943</v>
      </c>
      <c r="E130" t="s">
        <v>975</v>
      </c>
      <c r="F130" t="s">
        <v>53</v>
      </c>
      <c r="G130" t="s">
        <v>976</v>
      </c>
      <c r="H130" t="s">
        <v>43</v>
      </c>
      <c r="I130" s="13" t="s">
        <v>977</v>
      </c>
      <c r="J130" t="s">
        <v>31</v>
      </c>
      <c r="K130" t="s">
        <v>7879</v>
      </c>
      <c r="L130" t="s">
        <v>7893</v>
      </c>
      <c r="M130" t="s">
        <v>87</v>
      </c>
      <c r="N130" t="s">
        <v>33</v>
      </c>
      <c r="O130" s="17">
        <v>195000</v>
      </c>
      <c r="P130" s="17" t="s">
        <v>7854</v>
      </c>
      <c r="Q130" s="22">
        <v>0</v>
      </c>
      <c r="R130" s="22" t="s">
        <v>7854</v>
      </c>
      <c r="S130" s="24">
        <v>0</v>
      </c>
      <c r="T130" s="24" t="s">
        <v>7854</v>
      </c>
      <c r="U130" t="s">
        <v>978</v>
      </c>
    </row>
    <row r="131" spans="1:21" x14ac:dyDescent="0.25">
      <c r="A131">
        <v>133</v>
      </c>
      <c r="B131">
        <v>24161</v>
      </c>
      <c r="C131" t="s">
        <v>979</v>
      </c>
      <c r="D131" t="s">
        <v>6944</v>
      </c>
      <c r="E131" t="s">
        <v>983</v>
      </c>
      <c r="F131" t="s">
        <v>28</v>
      </c>
      <c r="G131" t="s">
        <v>984</v>
      </c>
      <c r="H131" t="s">
        <v>43</v>
      </c>
      <c r="I131" s="12">
        <v>2348064869355</v>
      </c>
      <c r="J131" t="s">
        <v>31</v>
      </c>
      <c r="K131" t="s">
        <v>7879</v>
      </c>
      <c r="L131" t="s">
        <v>8028</v>
      </c>
      <c r="M131" t="s">
        <v>46</v>
      </c>
      <c r="N131" t="s">
        <v>33</v>
      </c>
      <c r="O131" s="17">
        <v>195000</v>
      </c>
      <c r="P131" s="17" t="s">
        <v>7854</v>
      </c>
      <c r="Q131" s="22">
        <v>0</v>
      </c>
      <c r="R131" s="22" t="s">
        <v>7854</v>
      </c>
      <c r="S131" s="24">
        <v>0</v>
      </c>
      <c r="T131" s="24" t="s">
        <v>7854</v>
      </c>
      <c r="U131" t="s">
        <v>985</v>
      </c>
    </row>
    <row r="132" spans="1:21" x14ac:dyDescent="0.25">
      <c r="A132">
        <v>134</v>
      </c>
      <c r="B132">
        <v>4224</v>
      </c>
      <c r="C132" t="s">
        <v>986</v>
      </c>
      <c r="D132" t="s">
        <v>6945</v>
      </c>
      <c r="E132" t="s">
        <v>990</v>
      </c>
      <c r="F132" t="s">
        <v>28</v>
      </c>
      <c r="G132" t="s">
        <v>991</v>
      </c>
      <c r="H132" t="s">
        <v>43</v>
      </c>
      <c r="I132" s="12">
        <v>8036187844</v>
      </c>
      <c r="J132" t="s">
        <v>31</v>
      </c>
      <c r="K132" t="s">
        <v>7886</v>
      </c>
      <c r="L132" t="s">
        <v>7888</v>
      </c>
      <c r="M132" t="s">
        <v>46</v>
      </c>
      <c r="N132" t="s">
        <v>33</v>
      </c>
      <c r="O132" s="17">
        <v>812500</v>
      </c>
      <c r="P132" s="17" t="s">
        <v>7854</v>
      </c>
      <c r="Q132" s="22">
        <v>0</v>
      </c>
      <c r="R132" s="22" t="s">
        <v>7854</v>
      </c>
      <c r="S132" s="24">
        <v>162500</v>
      </c>
      <c r="T132" s="24" t="s">
        <v>7854</v>
      </c>
      <c r="U132" t="s">
        <v>992</v>
      </c>
    </row>
    <row r="133" spans="1:21" x14ac:dyDescent="0.25">
      <c r="A133">
        <v>135</v>
      </c>
      <c r="B133">
        <v>24157</v>
      </c>
      <c r="C133" t="s">
        <v>993</v>
      </c>
      <c r="D133" t="s">
        <v>6946</v>
      </c>
      <c r="E133" t="s">
        <v>994</v>
      </c>
      <c r="F133" t="s">
        <v>28</v>
      </c>
      <c r="G133" t="s">
        <v>995</v>
      </c>
      <c r="H133" t="s">
        <v>43</v>
      </c>
      <c r="I133" s="13" t="s">
        <v>996</v>
      </c>
      <c r="J133" t="s">
        <v>31</v>
      </c>
      <c r="K133" t="s">
        <v>7879</v>
      </c>
      <c r="L133" t="s">
        <v>7940</v>
      </c>
      <c r="M133" t="s">
        <v>46</v>
      </c>
      <c r="N133" t="s">
        <v>33</v>
      </c>
      <c r="O133" s="17">
        <v>195000</v>
      </c>
      <c r="P133" s="17" t="s">
        <v>7854</v>
      </c>
      <c r="Q133" s="22">
        <v>0</v>
      </c>
      <c r="R133" s="22" t="s">
        <v>7854</v>
      </c>
      <c r="S133" s="24">
        <v>0</v>
      </c>
      <c r="T133" s="24" t="s">
        <v>7854</v>
      </c>
      <c r="U133" t="s">
        <v>997</v>
      </c>
    </row>
    <row r="134" spans="1:21" x14ac:dyDescent="0.25">
      <c r="A134">
        <v>136</v>
      </c>
      <c r="B134">
        <v>24176</v>
      </c>
      <c r="C134" t="s">
        <v>998</v>
      </c>
      <c r="D134" t="s">
        <v>6947</v>
      </c>
      <c r="E134" t="s">
        <v>1001</v>
      </c>
      <c r="F134" t="s">
        <v>53</v>
      </c>
      <c r="G134" t="s">
        <v>1002</v>
      </c>
      <c r="H134" t="s">
        <v>453</v>
      </c>
      <c r="I134" s="12">
        <v>233553718291</v>
      </c>
      <c r="J134" t="s">
        <v>31</v>
      </c>
      <c r="K134" t="s">
        <v>7879</v>
      </c>
      <c r="L134" t="s">
        <v>7940</v>
      </c>
      <c r="M134" t="s">
        <v>455</v>
      </c>
      <c r="N134" t="s">
        <v>130</v>
      </c>
      <c r="O134" s="17" t="s">
        <v>7854</v>
      </c>
      <c r="P134" s="17">
        <v>150</v>
      </c>
      <c r="Q134" s="22" t="s">
        <v>7854</v>
      </c>
      <c r="R134" s="22">
        <v>0</v>
      </c>
      <c r="S134" s="24" t="s">
        <v>7854</v>
      </c>
      <c r="T134" s="24">
        <v>0</v>
      </c>
      <c r="U134" t="s">
        <v>1003</v>
      </c>
    </row>
    <row r="135" spans="1:21" x14ac:dyDescent="0.25">
      <c r="A135">
        <v>137</v>
      </c>
      <c r="B135">
        <v>24199</v>
      </c>
      <c r="C135" t="s">
        <v>1004</v>
      </c>
      <c r="D135" t="s">
        <v>6948</v>
      </c>
      <c r="E135" t="s">
        <v>1008</v>
      </c>
      <c r="F135" t="s">
        <v>28</v>
      </c>
      <c r="G135" t="s">
        <v>1009</v>
      </c>
      <c r="H135" t="s">
        <v>43</v>
      </c>
      <c r="I135" s="13" t="s">
        <v>1010</v>
      </c>
      <c r="J135" t="s">
        <v>31</v>
      </c>
      <c r="K135" t="s">
        <v>7879</v>
      </c>
      <c r="L135" t="s">
        <v>7893</v>
      </c>
      <c r="M135" t="s">
        <v>46</v>
      </c>
      <c r="N135" t="s">
        <v>33</v>
      </c>
      <c r="O135" s="17">
        <v>195000</v>
      </c>
      <c r="P135" s="17" t="s">
        <v>7854</v>
      </c>
      <c r="Q135" s="22">
        <v>0</v>
      </c>
      <c r="R135" s="22" t="s">
        <v>7854</v>
      </c>
      <c r="S135" s="24">
        <v>0</v>
      </c>
      <c r="T135" s="24" t="s">
        <v>7854</v>
      </c>
      <c r="U135" t="s">
        <v>1011</v>
      </c>
    </row>
    <row r="136" spans="1:21" x14ac:dyDescent="0.25">
      <c r="A136">
        <v>138</v>
      </c>
      <c r="B136">
        <v>24053</v>
      </c>
      <c r="C136" t="s">
        <v>1012</v>
      </c>
      <c r="D136" t="s">
        <v>6949</v>
      </c>
      <c r="E136" t="s">
        <v>1016</v>
      </c>
      <c r="F136" t="s">
        <v>28</v>
      </c>
      <c r="G136" t="s">
        <v>1017</v>
      </c>
      <c r="H136" t="s">
        <v>43</v>
      </c>
      <c r="I136" s="13" t="s">
        <v>1018</v>
      </c>
      <c r="J136" t="s">
        <v>31</v>
      </c>
      <c r="K136" t="s">
        <v>7879</v>
      </c>
      <c r="L136" t="s">
        <v>7940</v>
      </c>
      <c r="M136" t="s">
        <v>46</v>
      </c>
      <c r="N136" t="s">
        <v>33</v>
      </c>
      <c r="O136" s="17">
        <v>195000</v>
      </c>
      <c r="P136" s="17" t="s">
        <v>7854</v>
      </c>
      <c r="Q136" s="22">
        <v>0</v>
      </c>
      <c r="R136" s="22" t="s">
        <v>7854</v>
      </c>
      <c r="S136" s="24">
        <v>0</v>
      </c>
      <c r="T136" s="24" t="s">
        <v>7854</v>
      </c>
      <c r="U136" t="s">
        <v>1019</v>
      </c>
    </row>
    <row r="137" spans="1:21" x14ac:dyDescent="0.25">
      <c r="A137">
        <v>139</v>
      </c>
      <c r="B137">
        <v>24168</v>
      </c>
      <c r="C137" t="s">
        <v>1020</v>
      </c>
      <c r="D137" t="s">
        <v>6950</v>
      </c>
      <c r="E137" t="s">
        <v>1024</v>
      </c>
      <c r="F137" t="s">
        <v>28</v>
      </c>
      <c r="G137" t="s">
        <v>1025</v>
      </c>
      <c r="H137" t="s">
        <v>43</v>
      </c>
      <c r="I137" s="13" t="s">
        <v>1026</v>
      </c>
      <c r="J137" t="s">
        <v>31</v>
      </c>
      <c r="K137" t="s">
        <v>7879</v>
      </c>
      <c r="L137" t="s">
        <v>7981</v>
      </c>
      <c r="M137" t="s">
        <v>63</v>
      </c>
      <c r="N137" t="s">
        <v>33</v>
      </c>
      <c r="O137" s="17">
        <v>195000</v>
      </c>
      <c r="P137" s="17" t="s">
        <v>7854</v>
      </c>
      <c r="Q137" s="22">
        <v>0</v>
      </c>
      <c r="R137" s="22" t="s">
        <v>7854</v>
      </c>
      <c r="S137" s="24">
        <v>0</v>
      </c>
      <c r="T137" s="24" t="s">
        <v>7854</v>
      </c>
      <c r="U137" t="s">
        <v>1027</v>
      </c>
    </row>
    <row r="138" spans="1:21" x14ac:dyDescent="0.25">
      <c r="A138">
        <v>140</v>
      </c>
      <c r="B138">
        <v>24219</v>
      </c>
      <c r="C138" t="s">
        <v>1028</v>
      </c>
      <c r="D138" t="s">
        <v>6951</v>
      </c>
      <c r="E138" t="s">
        <v>1031</v>
      </c>
      <c r="F138" t="s">
        <v>28</v>
      </c>
      <c r="G138" t="s">
        <v>1032</v>
      </c>
      <c r="H138" t="s">
        <v>43</v>
      </c>
      <c r="I138" s="13" t="s">
        <v>1033</v>
      </c>
      <c r="J138" t="s">
        <v>31</v>
      </c>
      <c r="K138" t="s">
        <v>7879</v>
      </c>
      <c r="L138" t="s">
        <v>7981</v>
      </c>
      <c r="M138" t="s">
        <v>46</v>
      </c>
      <c r="N138" t="s">
        <v>33</v>
      </c>
      <c r="O138" s="17">
        <v>195000</v>
      </c>
      <c r="P138" s="17" t="s">
        <v>7854</v>
      </c>
      <c r="Q138" s="22">
        <v>0</v>
      </c>
      <c r="R138" s="22" t="s">
        <v>7854</v>
      </c>
      <c r="S138" s="24">
        <v>0</v>
      </c>
      <c r="T138" s="24" t="s">
        <v>7854</v>
      </c>
      <c r="U138" t="s">
        <v>1034</v>
      </c>
    </row>
    <row r="139" spans="1:21" x14ac:dyDescent="0.25">
      <c r="A139">
        <v>141</v>
      </c>
      <c r="B139">
        <v>18598</v>
      </c>
      <c r="C139" t="s">
        <v>1035</v>
      </c>
      <c r="D139" t="s">
        <v>6952</v>
      </c>
      <c r="E139" t="s">
        <v>1038</v>
      </c>
      <c r="F139" t="s">
        <v>53</v>
      </c>
      <c r="G139" t="s">
        <v>1039</v>
      </c>
      <c r="H139" t="s">
        <v>765</v>
      </c>
      <c r="I139" s="12">
        <v>23276384210</v>
      </c>
      <c r="J139" t="s">
        <v>45</v>
      </c>
      <c r="K139" t="s">
        <v>7881</v>
      </c>
      <c r="L139" t="s">
        <v>7893</v>
      </c>
      <c r="M139" t="s">
        <v>46</v>
      </c>
      <c r="N139" t="s">
        <v>33</v>
      </c>
      <c r="O139" s="17">
        <v>552500</v>
      </c>
      <c r="P139" s="17" t="s">
        <v>7854</v>
      </c>
      <c r="Q139" s="22">
        <v>0</v>
      </c>
      <c r="R139" s="22" t="s">
        <v>7854</v>
      </c>
      <c r="S139" s="24">
        <v>0</v>
      </c>
      <c r="T139" s="24" t="s">
        <v>7854</v>
      </c>
      <c r="U139" t="s">
        <v>1040</v>
      </c>
    </row>
    <row r="140" spans="1:21" x14ac:dyDescent="0.25">
      <c r="A140">
        <v>142</v>
      </c>
      <c r="B140">
        <v>24197</v>
      </c>
      <c r="C140" t="s">
        <v>1041</v>
      </c>
      <c r="D140" t="s">
        <v>6953</v>
      </c>
      <c r="E140" t="s">
        <v>1045</v>
      </c>
      <c r="F140" t="s">
        <v>53</v>
      </c>
      <c r="G140" t="s">
        <v>1046</v>
      </c>
      <c r="H140" t="s">
        <v>43</v>
      </c>
      <c r="I140" s="13" t="s">
        <v>1047</v>
      </c>
      <c r="J140" t="s">
        <v>31</v>
      </c>
      <c r="K140" t="s">
        <v>7879</v>
      </c>
      <c r="L140" t="s">
        <v>7893</v>
      </c>
      <c r="M140" t="s">
        <v>46</v>
      </c>
      <c r="N140" t="s">
        <v>33</v>
      </c>
      <c r="O140" s="17">
        <v>195000</v>
      </c>
      <c r="P140" s="17" t="s">
        <v>7854</v>
      </c>
      <c r="Q140" s="22">
        <v>0</v>
      </c>
      <c r="R140" s="22" t="s">
        <v>7854</v>
      </c>
      <c r="S140" s="24">
        <v>0</v>
      </c>
      <c r="T140" s="24" t="s">
        <v>7854</v>
      </c>
      <c r="U140" t="s">
        <v>1048</v>
      </c>
    </row>
    <row r="141" spans="1:21" x14ac:dyDescent="0.25">
      <c r="A141">
        <v>143</v>
      </c>
      <c r="B141">
        <v>11421</v>
      </c>
      <c r="C141" t="s">
        <v>1049</v>
      </c>
      <c r="D141" t="s">
        <v>6954</v>
      </c>
      <c r="E141" t="s">
        <v>1053</v>
      </c>
      <c r="F141" t="s">
        <v>53</v>
      </c>
      <c r="G141" t="s">
        <v>1054</v>
      </c>
      <c r="H141" t="s">
        <v>43</v>
      </c>
      <c r="I141" s="13" t="s">
        <v>1055</v>
      </c>
      <c r="J141" t="s">
        <v>45</v>
      </c>
      <c r="K141" t="s">
        <v>7881</v>
      </c>
      <c r="L141" t="s">
        <v>7893</v>
      </c>
      <c r="M141" t="s">
        <v>46</v>
      </c>
      <c r="N141" t="s">
        <v>33</v>
      </c>
      <c r="O141" s="17">
        <v>552500</v>
      </c>
      <c r="P141" s="17" t="s">
        <v>7854</v>
      </c>
      <c r="Q141" s="22">
        <v>0</v>
      </c>
      <c r="R141" s="22" t="s">
        <v>7854</v>
      </c>
      <c r="S141" s="24">
        <v>0</v>
      </c>
      <c r="T141" s="24" t="s">
        <v>7854</v>
      </c>
      <c r="U141" t="s">
        <v>1056</v>
      </c>
    </row>
    <row r="142" spans="1:21" x14ac:dyDescent="0.25">
      <c r="A142">
        <v>144</v>
      </c>
      <c r="B142">
        <v>6142</v>
      </c>
      <c r="C142" t="s">
        <v>1057</v>
      </c>
      <c r="D142" t="s">
        <v>6955</v>
      </c>
      <c r="E142" t="s">
        <v>1061</v>
      </c>
      <c r="F142" t="s">
        <v>28</v>
      </c>
      <c r="G142" t="s">
        <v>1062</v>
      </c>
      <c r="H142" t="s">
        <v>43</v>
      </c>
      <c r="I142" s="12">
        <v>8034224578</v>
      </c>
      <c r="J142" t="s">
        <v>31</v>
      </c>
      <c r="K142" t="s">
        <v>7879</v>
      </c>
      <c r="L142" t="s">
        <v>7981</v>
      </c>
      <c r="M142" t="s">
        <v>46</v>
      </c>
      <c r="N142" t="s">
        <v>33</v>
      </c>
      <c r="O142" s="17">
        <v>195000</v>
      </c>
      <c r="P142" s="17" t="s">
        <v>7854</v>
      </c>
      <c r="Q142" s="22">
        <v>0</v>
      </c>
      <c r="R142" s="22" t="s">
        <v>7854</v>
      </c>
      <c r="S142" s="24">
        <v>0</v>
      </c>
      <c r="T142" s="24" t="s">
        <v>7854</v>
      </c>
      <c r="U142" t="s">
        <v>1063</v>
      </c>
    </row>
    <row r="143" spans="1:21" x14ac:dyDescent="0.25">
      <c r="A143">
        <v>145</v>
      </c>
      <c r="B143">
        <v>23932</v>
      </c>
      <c r="C143" t="s">
        <v>1064</v>
      </c>
      <c r="D143" t="s">
        <v>6956</v>
      </c>
      <c r="E143" t="s">
        <v>1066</v>
      </c>
      <c r="F143" t="s">
        <v>53</v>
      </c>
      <c r="G143" t="s">
        <v>1067</v>
      </c>
      <c r="H143" t="s">
        <v>453</v>
      </c>
      <c r="I143" s="13" t="s">
        <v>1068</v>
      </c>
      <c r="J143" t="s">
        <v>31</v>
      </c>
      <c r="K143" t="s">
        <v>7879</v>
      </c>
      <c r="L143" t="s">
        <v>7888</v>
      </c>
      <c r="M143" t="s">
        <v>455</v>
      </c>
      <c r="N143" t="s">
        <v>130</v>
      </c>
      <c r="O143" s="17" t="s">
        <v>7854</v>
      </c>
      <c r="P143" s="17">
        <v>150</v>
      </c>
      <c r="Q143" s="22" t="s">
        <v>7854</v>
      </c>
      <c r="R143" s="22">
        <v>0</v>
      </c>
      <c r="S143" s="24" t="s">
        <v>7854</v>
      </c>
      <c r="T143" s="24">
        <v>0</v>
      </c>
      <c r="U143" t="s">
        <v>1069</v>
      </c>
    </row>
    <row r="144" spans="1:21" x14ac:dyDescent="0.25">
      <c r="A144">
        <v>146</v>
      </c>
      <c r="B144">
        <v>6483</v>
      </c>
      <c r="C144" t="s">
        <v>1070</v>
      </c>
      <c r="D144" t="s">
        <v>6957</v>
      </c>
      <c r="E144" t="s">
        <v>1073</v>
      </c>
      <c r="F144" t="s">
        <v>53</v>
      </c>
      <c r="G144" t="s">
        <v>1074</v>
      </c>
      <c r="H144" t="s">
        <v>43</v>
      </c>
      <c r="I144" s="12">
        <v>8056677789</v>
      </c>
      <c r="J144" t="s">
        <v>31</v>
      </c>
      <c r="K144" t="s">
        <v>7886</v>
      </c>
      <c r="L144" t="s">
        <v>7940</v>
      </c>
      <c r="M144" t="s">
        <v>63</v>
      </c>
      <c r="N144" t="s">
        <v>33</v>
      </c>
      <c r="O144" s="17">
        <v>812500</v>
      </c>
      <c r="P144" s="17" t="s">
        <v>7854</v>
      </c>
      <c r="Q144" s="22">
        <v>110500</v>
      </c>
      <c r="R144" s="22" t="s">
        <v>7854</v>
      </c>
      <c r="S144" s="24">
        <v>162500</v>
      </c>
      <c r="T144" s="24" t="s">
        <v>7854</v>
      </c>
      <c r="U144" t="s">
        <v>1075</v>
      </c>
    </row>
    <row r="145" spans="1:21" x14ac:dyDescent="0.25">
      <c r="A145">
        <v>147</v>
      </c>
      <c r="B145">
        <v>24113</v>
      </c>
      <c r="C145" t="s">
        <v>1076</v>
      </c>
      <c r="D145" t="s">
        <v>6958</v>
      </c>
      <c r="E145" t="s">
        <v>1080</v>
      </c>
      <c r="F145" t="s">
        <v>53</v>
      </c>
      <c r="G145" t="s">
        <v>1081</v>
      </c>
      <c r="H145" t="s">
        <v>43</v>
      </c>
      <c r="I145" s="13" t="s">
        <v>1082</v>
      </c>
      <c r="J145" t="s">
        <v>31</v>
      </c>
      <c r="K145" t="s">
        <v>7879</v>
      </c>
      <c r="L145" t="s">
        <v>7893</v>
      </c>
      <c r="M145" t="s">
        <v>87</v>
      </c>
      <c r="N145" t="s">
        <v>33</v>
      </c>
      <c r="O145" s="17">
        <v>195000</v>
      </c>
      <c r="P145" s="17" t="s">
        <v>7854</v>
      </c>
      <c r="Q145" s="22">
        <v>0</v>
      </c>
      <c r="R145" s="22" t="s">
        <v>7854</v>
      </c>
      <c r="S145" s="24">
        <v>0</v>
      </c>
      <c r="T145" s="24" t="s">
        <v>7854</v>
      </c>
      <c r="U145" t="s">
        <v>1083</v>
      </c>
    </row>
    <row r="146" spans="1:21" x14ac:dyDescent="0.25">
      <c r="A146">
        <v>148</v>
      </c>
      <c r="B146">
        <v>24227</v>
      </c>
      <c r="C146" t="s">
        <v>1084</v>
      </c>
      <c r="D146" t="s">
        <v>6959</v>
      </c>
      <c r="E146" t="s">
        <v>1087</v>
      </c>
      <c r="F146" t="s">
        <v>28</v>
      </c>
      <c r="G146" t="s">
        <v>1088</v>
      </c>
      <c r="H146" t="s">
        <v>453</v>
      </c>
      <c r="I146" s="12" t="s">
        <v>1087</v>
      </c>
      <c r="J146" t="s">
        <v>31</v>
      </c>
      <c r="K146" t="s">
        <v>7879</v>
      </c>
      <c r="L146" t="s">
        <v>7940</v>
      </c>
      <c r="M146" t="s">
        <v>455</v>
      </c>
      <c r="N146" t="s">
        <v>130</v>
      </c>
      <c r="O146" s="17" t="s">
        <v>7854</v>
      </c>
      <c r="P146" s="17">
        <v>150</v>
      </c>
      <c r="Q146" s="22" t="s">
        <v>7854</v>
      </c>
      <c r="R146" s="22">
        <v>0</v>
      </c>
      <c r="S146" s="24" t="s">
        <v>7854</v>
      </c>
      <c r="T146" s="24">
        <v>0</v>
      </c>
      <c r="U146" t="s">
        <v>1089</v>
      </c>
    </row>
    <row r="147" spans="1:21" x14ac:dyDescent="0.25">
      <c r="A147">
        <v>149</v>
      </c>
      <c r="B147">
        <v>22400</v>
      </c>
      <c r="C147" t="s">
        <v>1090</v>
      </c>
      <c r="D147" t="s">
        <v>6960</v>
      </c>
      <c r="E147" t="s">
        <v>1094</v>
      </c>
      <c r="F147" t="s">
        <v>28</v>
      </c>
      <c r="G147" t="s">
        <v>1095</v>
      </c>
      <c r="H147" t="s">
        <v>453</v>
      </c>
      <c r="I147" s="13" t="s">
        <v>1096</v>
      </c>
      <c r="J147" t="s">
        <v>45</v>
      </c>
      <c r="K147" t="s">
        <v>7879</v>
      </c>
      <c r="L147" t="s">
        <v>7940</v>
      </c>
      <c r="M147" t="s">
        <v>455</v>
      </c>
      <c r="N147" t="s">
        <v>130</v>
      </c>
      <c r="O147" s="17" t="s">
        <v>7854</v>
      </c>
      <c r="P147" s="17">
        <v>150</v>
      </c>
      <c r="Q147" s="22" t="s">
        <v>7854</v>
      </c>
      <c r="R147" s="22">
        <v>0</v>
      </c>
      <c r="S147" s="24" t="s">
        <v>7854</v>
      </c>
      <c r="T147" s="24">
        <v>0</v>
      </c>
      <c r="U147" t="s">
        <v>1097</v>
      </c>
    </row>
    <row r="148" spans="1:21" x14ac:dyDescent="0.25">
      <c r="A148">
        <v>150</v>
      </c>
      <c r="B148">
        <v>18999</v>
      </c>
      <c r="C148" t="s">
        <v>1098</v>
      </c>
      <c r="D148" t="s">
        <v>6961</v>
      </c>
      <c r="E148" t="s">
        <v>1102</v>
      </c>
      <c r="F148" t="s">
        <v>53</v>
      </c>
      <c r="G148" t="s">
        <v>1103</v>
      </c>
      <c r="H148" t="s">
        <v>43</v>
      </c>
      <c r="I148" s="13" t="s">
        <v>1104</v>
      </c>
      <c r="J148" t="s">
        <v>31</v>
      </c>
      <c r="K148" t="s">
        <v>7881</v>
      </c>
      <c r="L148" t="s">
        <v>7981</v>
      </c>
      <c r="M148" t="s">
        <v>63</v>
      </c>
      <c r="N148" t="s">
        <v>33</v>
      </c>
      <c r="O148" s="17">
        <v>552500</v>
      </c>
      <c r="P148" s="17" t="s">
        <v>7854</v>
      </c>
      <c r="Q148" s="22">
        <v>0</v>
      </c>
      <c r="R148" s="22" t="s">
        <v>7854</v>
      </c>
      <c r="S148" s="24">
        <v>0</v>
      </c>
      <c r="T148" s="24" t="s">
        <v>7854</v>
      </c>
      <c r="U148" t="s">
        <v>1105</v>
      </c>
    </row>
    <row r="149" spans="1:21" x14ac:dyDescent="0.25">
      <c r="A149">
        <v>151</v>
      </c>
      <c r="B149">
        <v>20361</v>
      </c>
      <c r="C149" t="s">
        <v>1106</v>
      </c>
      <c r="D149" t="s">
        <v>6962</v>
      </c>
      <c r="E149" t="s">
        <v>1110</v>
      </c>
      <c r="F149" t="s">
        <v>28</v>
      </c>
      <c r="G149" t="s">
        <v>1111</v>
      </c>
      <c r="H149" t="s">
        <v>43</v>
      </c>
      <c r="I149" s="13" t="s">
        <v>1112</v>
      </c>
      <c r="J149" t="s">
        <v>31</v>
      </c>
      <c r="K149" t="s">
        <v>7881</v>
      </c>
      <c r="L149" t="s">
        <v>7981</v>
      </c>
      <c r="M149" t="s">
        <v>46</v>
      </c>
      <c r="N149" t="s">
        <v>33</v>
      </c>
      <c r="O149" s="17">
        <v>552500</v>
      </c>
      <c r="P149" s="17" t="s">
        <v>7854</v>
      </c>
      <c r="Q149" s="22">
        <v>0</v>
      </c>
      <c r="R149" s="22" t="s">
        <v>7854</v>
      </c>
      <c r="S149" s="24">
        <v>0</v>
      </c>
      <c r="T149" s="24" t="s">
        <v>7854</v>
      </c>
      <c r="U149" t="s">
        <v>1113</v>
      </c>
    </row>
    <row r="150" spans="1:21" x14ac:dyDescent="0.25">
      <c r="A150">
        <v>152</v>
      </c>
      <c r="B150">
        <v>6371</v>
      </c>
      <c r="C150" t="s">
        <v>1114</v>
      </c>
      <c r="D150" t="s">
        <v>6963</v>
      </c>
      <c r="E150" t="s">
        <v>7987</v>
      </c>
      <c r="F150" t="s">
        <v>28</v>
      </c>
      <c r="G150" t="s">
        <v>1118</v>
      </c>
      <c r="H150" t="s">
        <v>43</v>
      </c>
      <c r="I150" s="12">
        <v>8030910862</v>
      </c>
      <c r="J150" t="s">
        <v>45</v>
      </c>
      <c r="K150" t="s">
        <v>7881</v>
      </c>
      <c r="L150" t="s">
        <v>7981</v>
      </c>
      <c r="M150" t="s">
        <v>46</v>
      </c>
      <c r="N150" t="s">
        <v>33</v>
      </c>
      <c r="O150" s="17">
        <v>552500</v>
      </c>
      <c r="P150" s="17" t="s">
        <v>7854</v>
      </c>
      <c r="Q150" s="22">
        <v>0</v>
      </c>
      <c r="R150" s="22" t="s">
        <v>7854</v>
      </c>
      <c r="S150" s="24">
        <v>0</v>
      </c>
      <c r="T150" s="24" t="s">
        <v>7854</v>
      </c>
      <c r="U150" t="s">
        <v>1119</v>
      </c>
    </row>
    <row r="151" spans="1:21" x14ac:dyDescent="0.25">
      <c r="A151">
        <v>153</v>
      </c>
      <c r="B151">
        <v>19231</v>
      </c>
      <c r="C151" t="s">
        <v>1120</v>
      </c>
      <c r="D151" t="s">
        <v>6964</v>
      </c>
      <c r="E151" t="s">
        <v>1123</v>
      </c>
      <c r="F151" t="s">
        <v>53</v>
      </c>
      <c r="G151" t="s">
        <v>1124</v>
      </c>
      <c r="H151" t="s">
        <v>43</v>
      </c>
      <c r="I151" s="13" t="s">
        <v>1125</v>
      </c>
      <c r="J151" t="s">
        <v>45</v>
      </c>
      <c r="K151" t="s">
        <v>7879</v>
      </c>
      <c r="L151" t="s">
        <v>7940</v>
      </c>
      <c r="M151" t="s">
        <v>46</v>
      </c>
      <c r="N151" t="s">
        <v>33</v>
      </c>
      <c r="O151" s="17">
        <v>195000</v>
      </c>
      <c r="P151" s="17" t="s">
        <v>7854</v>
      </c>
      <c r="Q151" s="22">
        <v>0</v>
      </c>
      <c r="R151" s="22" t="s">
        <v>7854</v>
      </c>
      <c r="S151" s="24">
        <v>0</v>
      </c>
      <c r="T151" s="24" t="s">
        <v>7854</v>
      </c>
      <c r="U151" t="s">
        <v>1126</v>
      </c>
    </row>
    <row r="152" spans="1:21" x14ac:dyDescent="0.25">
      <c r="A152">
        <v>154</v>
      </c>
      <c r="B152">
        <v>10704</v>
      </c>
      <c r="C152" t="s">
        <v>1127</v>
      </c>
      <c r="D152" t="s">
        <v>6965</v>
      </c>
      <c r="E152" t="s">
        <v>1131</v>
      </c>
      <c r="F152" t="s">
        <v>28</v>
      </c>
      <c r="G152" t="s">
        <v>1131</v>
      </c>
      <c r="H152" t="s">
        <v>43</v>
      </c>
      <c r="I152" s="12">
        <v>7037280245</v>
      </c>
      <c r="J152" t="s">
        <v>45</v>
      </c>
      <c r="K152" t="s">
        <v>7879</v>
      </c>
      <c r="L152" t="s">
        <v>7981</v>
      </c>
      <c r="M152" t="s">
        <v>87</v>
      </c>
      <c r="N152" t="s">
        <v>33</v>
      </c>
      <c r="O152" s="17">
        <v>195000</v>
      </c>
      <c r="P152" s="17" t="s">
        <v>7854</v>
      </c>
      <c r="Q152" s="22">
        <v>0</v>
      </c>
      <c r="R152" s="22" t="s">
        <v>7854</v>
      </c>
      <c r="S152" s="24">
        <v>0</v>
      </c>
      <c r="T152" s="24" t="s">
        <v>7854</v>
      </c>
      <c r="U152" t="s">
        <v>1132</v>
      </c>
    </row>
    <row r="153" spans="1:21" x14ac:dyDescent="0.25">
      <c r="A153">
        <v>155</v>
      </c>
      <c r="B153">
        <v>24231</v>
      </c>
      <c r="C153" t="s">
        <v>1133</v>
      </c>
      <c r="D153" t="s">
        <v>6966</v>
      </c>
      <c r="E153" t="s">
        <v>1137</v>
      </c>
      <c r="F153" t="s">
        <v>28</v>
      </c>
      <c r="G153" t="s">
        <v>1138</v>
      </c>
      <c r="H153" t="s">
        <v>43</v>
      </c>
      <c r="I153" s="13" t="s">
        <v>1139</v>
      </c>
      <c r="J153" t="s">
        <v>31</v>
      </c>
      <c r="K153" t="s">
        <v>7879</v>
      </c>
      <c r="L153" t="s">
        <v>7940</v>
      </c>
      <c r="M153" t="s">
        <v>87</v>
      </c>
      <c r="N153" t="s">
        <v>33</v>
      </c>
      <c r="O153" s="17">
        <v>195000</v>
      </c>
      <c r="P153" s="17" t="s">
        <v>7854</v>
      </c>
      <c r="Q153" s="22">
        <v>0</v>
      </c>
      <c r="R153" s="22" t="s">
        <v>7854</v>
      </c>
      <c r="S153" s="24">
        <v>0</v>
      </c>
      <c r="T153" s="24" t="s">
        <v>7854</v>
      </c>
      <c r="U153" t="s">
        <v>1140</v>
      </c>
    </row>
    <row r="154" spans="1:21" x14ac:dyDescent="0.25">
      <c r="A154">
        <v>156</v>
      </c>
      <c r="B154">
        <v>20603</v>
      </c>
      <c r="C154" t="s">
        <v>1141</v>
      </c>
      <c r="D154" t="s">
        <v>6967</v>
      </c>
      <c r="E154" t="s">
        <v>7988</v>
      </c>
      <c r="F154" t="s">
        <v>53</v>
      </c>
      <c r="G154" t="s">
        <v>1144</v>
      </c>
      <c r="H154" t="s">
        <v>43</v>
      </c>
      <c r="I154" s="13" t="s">
        <v>1145</v>
      </c>
      <c r="J154" t="s">
        <v>31</v>
      </c>
      <c r="K154" t="s">
        <v>7886</v>
      </c>
      <c r="L154" t="s">
        <v>7981</v>
      </c>
      <c r="M154" t="s">
        <v>46</v>
      </c>
      <c r="N154" t="s">
        <v>33</v>
      </c>
      <c r="O154" s="17">
        <v>812500</v>
      </c>
      <c r="P154" s="17" t="s">
        <v>7854</v>
      </c>
      <c r="Q154" s="22">
        <v>0</v>
      </c>
      <c r="R154" s="22" t="s">
        <v>7854</v>
      </c>
      <c r="S154" s="24">
        <v>162500</v>
      </c>
      <c r="T154" s="24" t="s">
        <v>7854</v>
      </c>
      <c r="U154" t="s">
        <v>1146</v>
      </c>
    </row>
    <row r="155" spans="1:21" x14ac:dyDescent="0.25">
      <c r="A155">
        <v>157</v>
      </c>
      <c r="B155">
        <v>5312</v>
      </c>
      <c r="C155" t="s">
        <v>1147</v>
      </c>
      <c r="D155" t="s">
        <v>6968</v>
      </c>
      <c r="E155" t="s">
        <v>1151</v>
      </c>
      <c r="F155" t="s">
        <v>53</v>
      </c>
      <c r="G155" t="s">
        <v>1152</v>
      </c>
      <c r="H155" t="s">
        <v>30</v>
      </c>
      <c r="I155" s="12" t="s">
        <v>1153</v>
      </c>
      <c r="J155" t="s">
        <v>45</v>
      </c>
      <c r="K155" t="s">
        <v>7881</v>
      </c>
      <c r="L155" t="s">
        <v>7893</v>
      </c>
      <c r="M155" t="s">
        <v>455</v>
      </c>
      <c r="N155" t="s">
        <v>33</v>
      </c>
      <c r="O155" s="17">
        <v>552500</v>
      </c>
      <c r="P155" s="17" t="s">
        <v>7854</v>
      </c>
      <c r="Q155" s="22">
        <v>0</v>
      </c>
      <c r="R155" s="22" t="s">
        <v>7854</v>
      </c>
      <c r="S155" s="24">
        <v>0</v>
      </c>
      <c r="T155" s="24" t="s">
        <v>7854</v>
      </c>
      <c r="U155" t="s">
        <v>1154</v>
      </c>
    </row>
    <row r="156" spans="1:21" x14ac:dyDescent="0.25">
      <c r="A156">
        <v>158</v>
      </c>
      <c r="B156">
        <v>394</v>
      </c>
      <c r="C156" t="s">
        <v>1155</v>
      </c>
      <c r="D156" t="s">
        <v>6969</v>
      </c>
      <c r="E156" t="s">
        <v>1158</v>
      </c>
      <c r="F156" t="s">
        <v>53</v>
      </c>
      <c r="G156" t="s">
        <v>1159</v>
      </c>
      <c r="H156" t="s">
        <v>43</v>
      </c>
      <c r="I156" s="13" t="s">
        <v>1160</v>
      </c>
      <c r="J156" t="s">
        <v>31</v>
      </c>
      <c r="K156" t="s">
        <v>7886</v>
      </c>
      <c r="L156" t="s">
        <v>7940</v>
      </c>
      <c r="M156" t="s">
        <v>63</v>
      </c>
      <c r="N156" t="s">
        <v>33</v>
      </c>
      <c r="O156" s="17">
        <v>812500</v>
      </c>
      <c r="P156" s="17" t="s">
        <v>7854</v>
      </c>
      <c r="Q156" s="22">
        <v>0</v>
      </c>
      <c r="R156" s="22" t="s">
        <v>7854</v>
      </c>
      <c r="S156" s="24">
        <v>162500</v>
      </c>
      <c r="T156" s="24" t="s">
        <v>7854</v>
      </c>
      <c r="U156" t="s">
        <v>1161</v>
      </c>
    </row>
    <row r="157" spans="1:21" x14ac:dyDescent="0.25">
      <c r="A157">
        <v>159</v>
      </c>
      <c r="B157">
        <v>24236</v>
      </c>
      <c r="C157" t="s">
        <v>1162</v>
      </c>
      <c r="D157" t="s">
        <v>6970</v>
      </c>
      <c r="E157" t="s">
        <v>1166</v>
      </c>
      <c r="F157" t="s">
        <v>28</v>
      </c>
      <c r="G157" t="s">
        <v>1167</v>
      </c>
      <c r="H157" t="s">
        <v>43</v>
      </c>
      <c r="I157" s="12">
        <v>2348065974875</v>
      </c>
      <c r="J157" t="s">
        <v>31</v>
      </c>
      <c r="K157" t="s">
        <v>7879</v>
      </c>
      <c r="L157" t="s">
        <v>7981</v>
      </c>
      <c r="M157" t="s">
        <v>87</v>
      </c>
      <c r="N157" t="s">
        <v>33</v>
      </c>
      <c r="O157" s="17">
        <v>195000</v>
      </c>
      <c r="P157" s="17" t="s">
        <v>7854</v>
      </c>
      <c r="Q157" s="22">
        <v>0</v>
      </c>
      <c r="R157" s="22" t="s">
        <v>7854</v>
      </c>
      <c r="S157" s="24">
        <v>0</v>
      </c>
      <c r="T157" s="24" t="s">
        <v>7854</v>
      </c>
      <c r="U157" t="s">
        <v>1168</v>
      </c>
    </row>
    <row r="158" spans="1:21" x14ac:dyDescent="0.25">
      <c r="A158">
        <v>160</v>
      </c>
      <c r="B158">
        <v>24167</v>
      </c>
      <c r="C158" t="s">
        <v>1169</v>
      </c>
      <c r="D158" t="s">
        <v>6971</v>
      </c>
      <c r="E158" t="s">
        <v>1172</v>
      </c>
      <c r="F158" t="s">
        <v>28</v>
      </c>
      <c r="G158" t="s">
        <v>1173</v>
      </c>
      <c r="H158" t="s">
        <v>453</v>
      </c>
      <c r="I158" s="12" t="s">
        <v>1174</v>
      </c>
      <c r="J158" t="s">
        <v>31</v>
      </c>
      <c r="K158" t="s">
        <v>7879</v>
      </c>
      <c r="L158" t="s">
        <v>7888</v>
      </c>
      <c r="M158" t="s">
        <v>455</v>
      </c>
      <c r="N158" t="s">
        <v>130</v>
      </c>
      <c r="O158" s="17" t="s">
        <v>7854</v>
      </c>
      <c r="P158" s="17">
        <v>150</v>
      </c>
      <c r="Q158" s="22" t="s">
        <v>7854</v>
      </c>
      <c r="R158" s="22">
        <v>0</v>
      </c>
      <c r="S158" s="24" t="s">
        <v>7854</v>
      </c>
      <c r="T158" s="24">
        <v>0</v>
      </c>
      <c r="U158" t="s">
        <v>1175</v>
      </c>
    </row>
    <row r="159" spans="1:21" x14ac:dyDescent="0.25">
      <c r="A159">
        <v>161</v>
      </c>
      <c r="B159">
        <v>18126</v>
      </c>
      <c r="C159" t="s">
        <v>1176</v>
      </c>
      <c r="D159" t="s">
        <v>6972</v>
      </c>
      <c r="E159" t="s">
        <v>7902</v>
      </c>
      <c r="F159" t="s">
        <v>28</v>
      </c>
      <c r="G159" t="s">
        <v>717</v>
      </c>
      <c r="H159" t="s">
        <v>43</v>
      </c>
      <c r="I159" s="13" t="s">
        <v>1180</v>
      </c>
      <c r="J159" t="s">
        <v>45</v>
      </c>
      <c r="K159" t="s">
        <v>7881</v>
      </c>
      <c r="L159" t="s">
        <v>7893</v>
      </c>
      <c r="M159" t="s">
        <v>46</v>
      </c>
      <c r="N159" t="s">
        <v>33</v>
      </c>
      <c r="O159" s="17">
        <v>552500</v>
      </c>
      <c r="P159" s="17" t="s">
        <v>7854</v>
      </c>
      <c r="Q159" s="22">
        <v>0</v>
      </c>
      <c r="R159" s="22" t="s">
        <v>7854</v>
      </c>
      <c r="S159" s="24">
        <v>0</v>
      </c>
      <c r="T159" s="24" t="s">
        <v>7854</v>
      </c>
      <c r="U159" t="s">
        <v>1181</v>
      </c>
    </row>
    <row r="160" spans="1:21" x14ac:dyDescent="0.25">
      <c r="A160">
        <v>162</v>
      </c>
      <c r="B160">
        <v>19410</v>
      </c>
      <c r="C160" t="s">
        <v>1182</v>
      </c>
      <c r="D160" t="s">
        <v>6973</v>
      </c>
      <c r="E160" t="s">
        <v>1185</v>
      </c>
      <c r="F160" t="s">
        <v>53</v>
      </c>
      <c r="G160" t="s">
        <v>1186</v>
      </c>
      <c r="H160" t="s">
        <v>43</v>
      </c>
      <c r="I160" s="13" t="s">
        <v>1187</v>
      </c>
      <c r="J160" t="s">
        <v>31</v>
      </c>
      <c r="K160" t="s">
        <v>7881</v>
      </c>
      <c r="L160" t="s">
        <v>7893</v>
      </c>
      <c r="M160" t="s">
        <v>46</v>
      </c>
      <c r="N160" t="s">
        <v>33</v>
      </c>
      <c r="O160" s="17">
        <v>552500</v>
      </c>
      <c r="P160" s="17" t="s">
        <v>7854</v>
      </c>
      <c r="Q160" s="22">
        <v>0</v>
      </c>
      <c r="R160" s="22" t="s">
        <v>7854</v>
      </c>
      <c r="S160" s="24">
        <v>0</v>
      </c>
      <c r="T160" s="24" t="s">
        <v>7854</v>
      </c>
      <c r="U160" t="s">
        <v>1188</v>
      </c>
    </row>
    <row r="161" spans="1:21" x14ac:dyDescent="0.25">
      <c r="A161">
        <v>163</v>
      </c>
      <c r="B161">
        <v>24143</v>
      </c>
      <c r="C161" t="s">
        <v>1189</v>
      </c>
      <c r="D161" t="s">
        <v>6974</v>
      </c>
      <c r="E161" t="s">
        <v>1192</v>
      </c>
      <c r="F161" t="s">
        <v>53</v>
      </c>
      <c r="G161" t="s">
        <v>1193</v>
      </c>
      <c r="H161" t="s">
        <v>43</v>
      </c>
      <c r="I161" s="12">
        <v>2348039613187</v>
      </c>
      <c r="J161" t="s">
        <v>31</v>
      </c>
      <c r="K161" t="s">
        <v>7879</v>
      </c>
      <c r="L161" t="s">
        <v>7893</v>
      </c>
      <c r="M161" t="s">
        <v>87</v>
      </c>
      <c r="N161" t="s">
        <v>33</v>
      </c>
      <c r="O161" s="17">
        <v>195000</v>
      </c>
      <c r="P161" s="17" t="s">
        <v>7854</v>
      </c>
      <c r="Q161" s="22">
        <v>0</v>
      </c>
      <c r="R161" s="22" t="s">
        <v>7854</v>
      </c>
      <c r="S161" s="24">
        <v>0</v>
      </c>
      <c r="T161" s="24" t="s">
        <v>7854</v>
      </c>
      <c r="U161" t="s">
        <v>1194</v>
      </c>
    </row>
    <row r="162" spans="1:21" x14ac:dyDescent="0.25">
      <c r="A162">
        <v>164</v>
      </c>
      <c r="B162">
        <v>19498</v>
      </c>
      <c r="C162" t="s">
        <v>1195</v>
      </c>
      <c r="D162" t="s">
        <v>6975</v>
      </c>
      <c r="E162" t="s">
        <v>1199</v>
      </c>
      <c r="F162" t="s">
        <v>28</v>
      </c>
      <c r="G162" t="s">
        <v>1200</v>
      </c>
      <c r="H162" t="s">
        <v>43</v>
      </c>
      <c r="I162" s="13" t="s">
        <v>1201</v>
      </c>
      <c r="J162" t="s">
        <v>45</v>
      </c>
      <c r="K162" t="s">
        <v>7879</v>
      </c>
      <c r="L162" t="s">
        <v>7981</v>
      </c>
      <c r="M162" t="s">
        <v>87</v>
      </c>
      <c r="N162" t="s">
        <v>33</v>
      </c>
      <c r="O162" s="17">
        <v>195000</v>
      </c>
      <c r="P162" s="17" t="s">
        <v>7854</v>
      </c>
      <c r="Q162" s="22">
        <v>0</v>
      </c>
      <c r="R162" s="22" t="s">
        <v>7854</v>
      </c>
      <c r="S162" s="24">
        <v>0</v>
      </c>
      <c r="T162" s="24" t="s">
        <v>7854</v>
      </c>
      <c r="U162" t="s">
        <v>1202</v>
      </c>
    </row>
    <row r="163" spans="1:21" x14ac:dyDescent="0.25">
      <c r="A163">
        <v>165</v>
      </c>
      <c r="B163">
        <v>8124</v>
      </c>
      <c r="C163" t="s">
        <v>1203</v>
      </c>
      <c r="D163" t="s">
        <v>6976</v>
      </c>
      <c r="E163" t="s">
        <v>7941</v>
      </c>
      <c r="F163" t="s">
        <v>28</v>
      </c>
      <c r="G163" t="s">
        <v>1206</v>
      </c>
      <c r="H163" t="s">
        <v>43</v>
      </c>
      <c r="I163" s="12">
        <v>8033969831</v>
      </c>
      <c r="J163" t="s">
        <v>1207</v>
      </c>
      <c r="K163" t="s">
        <v>7886</v>
      </c>
      <c r="L163" t="s">
        <v>7940</v>
      </c>
      <c r="M163" t="s">
        <v>46</v>
      </c>
      <c r="N163" t="s">
        <v>33</v>
      </c>
      <c r="O163" s="17">
        <v>812500</v>
      </c>
      <c r="P163" s="17" t="s">
        <v>7854</v>
      </c>
      <c r="Q163" s="22">
        <v>0</v>
      </c>
      <c r="R163" s="22" t="s">
        <v>7854</v>
      </c>
      <c r="S163" s="24">
        <v>162500</v>
      </c>
      <c r="T163" s="24" t="s">
        <v>7854</v>
      </c>
      <c r="U163" t="s">
        <v>1208</v>
      </c>
    </row>
    <row r="164" spans="1:21" x14ac:dyDescent="0.25">
      <c r="A164">
        <v>166</v>
      </c>
      <c r="B164">
        <v>5835</v>
      </c>
      <c r="C164" t="s">
        <v>1209</v>
      </c>
      <c r="D164" t="s">
        <v>6977</v>
      </c>
      <c r="E164" t="s">
        <v>1212</v>
      </c>
      <c r="F164" t="s">
        <v>53</v>
      </c>
      <c r="G164" t="s">
        <v>1213</v>
      </c>
      <c r="H164" t="s">
        <v>43</v>
      </c>
      <c r="I164" s="13" t="s">
        <v>1214</v>
      </c>
      <c r="J164" t="s">
        <v>31</v>
      </c>
      <c r="K164" t="s">
        <v>7886</v>
      </c>
      <c r="L164" t="s">
        <v>7940</v>
      </c>
      <c r="M164" t="s">
        <v>46</v>
      </c>
      <c r="N164" t="s">
        <v>33</v>
      </c>
      <c r="O164" s="17">
        <v>812500</v>
      </c>
      <c r="P164" s="17" t="s">
        <v>7854</v>
      </c>
      <c r="Q164" s="22">
        <v>0</v>
      </c>
      <c r="R164" s="22" t="s">
        <v>7854</v>
      </c>
      <c r="S164" s="24">
        <v>162500</v>
      </c>
      <c r="T164" s="24" t="s">
        <v>7854</v>
      </c>
      <c r="U164" t="s">
        <v>1215</v>
      </c>
    </row>
    <row r="165" spans="1:21" x14ac:dyDescent="0.25">
      <c r="A165">
        <v>167</v>
      </c>
      <c r="B165">
        <v>19271</v>
      </c>
      <c r="C165" t="s">
        <v>1216</v>
      </c>
      <c r="D165" t="s">
        <v>6978</v>
      </c>
      <c r="E165" t="s">
        <v>7904</v>
      </c>
      <c r="F165" t="s">
        <v>53</v>
      </c>
      <c r="G165" t="s">
        <v>1220</v>
      </c>
      <c r="H165" t="s">
        <v>30</v>
      </c>
      <c r="I165" s="12">
        <v>2203627407</v>
      </c>
      <c r="J165" t="s">
        <v>45</v>
      </c>
      <c r="K165" t="s">
        <v>7881</v>
      </c>
      <c r="L165" t="s">
        <v>7893</v>
      </c>
      <c r="M165" t="s">
        <v>455</v>
      </c>
      <c r="N165" t="s">
        <v>33</v>
      </c>
      <c r="O165" s="17">
        <v>552500</v>
      </c>
      <c r="P165" s="17" t="s">
        <v>7854</v>
      </c>
      <c r="Q165" s="22">
        <v>0</v>
      </c>
      <c r="R165" s="22" t="s">
        <v>7854</v>
      </c>
      <c r="S165" s="24">
        <v>0</v>
      </c>
      <c r="T165" s="24" t="s">
        <v>7854</v>
      </c>
      <c r="U165" t="s">
        <v>1221</v>
      </c>
    </row>
    <row r="166" spans="1:21" x14ac:dyDescent="0.25">
      <c r="A166">
        <v>168</v>
      </c>
      <c r="B166">
        <v>17014</v>
      </c>
      <c r="C166" t="s">
        <v>1222</v>
      </c>
      <c r="D166" t="s">
        <v>6979</v>
      </c>
      <c r="E166" t="s">
        <v>7942</v>
      </c>
      <c r="F166" t="s">
        <v>53</v>
      </c>
      <c r="G166" t="s">
        <v>1225</v>
      </c>
      <c r="H166" t="s">
        <v>43</v>
      </c>
      <c r="I166" s="12">
        <v>8054461110</v>
      </c>
      <c r="J166" t="s">
        <v>31</v>
      </c>
      <c r="K166" t="s">
        <v>7886</v>
      </c>
      <c r="L166" t="s">
        <v>7940</v>
      </c>
      <c r="M166" t="s">
        <v>46</v>
      </c>
      <c r="N166" t="s">
        <v>33</v>
      </c>
      <c r="O166" s="17">
        <v>812500</v>
      </c>
      <c r="P166" s="17" t="s">
        <v>7854</v>
      </c>
      <c r="Q166" s="22">
        <v>0</v>
      </c>
      <c r="R166" s="22" t="s">
        <v>7854</v>
      </c>
      <c r="S166" s="24">
        <v>162500</v>
      </c>
      <c r="T166" s="24" t="s">
        <v>7854</v>
      </c>
      <c r="U166" t="s">
        <v>1226</v>
      </c>
    </row>
    <row r="167" spans="1:21" x14ac:dyDescent="0.25">
      <c r="A167">
        <v>169</v>
      </c>
      <c r="B167">
        <v>2897</v>
      </c>
      <c r="C167" t="s">
        <v>1227</v>
      </c>
      <c r="D167" t="s">
        <v>6980</v>
      </c>
      <c r="E167" t="s">
        <v>1230</v>
      </c>
      <c r="F167" t="s">
        <v>53</v>
      </c>
      <c r="G167" t="s">
        <v>1152</v>
      </c>
      <c r="H167" t="s">
        <v>30</v>
      </c>
      <c r="I167" s="12">
        <v>2207178515</v>
      </c>
      <c r="J167" t="s">
        <v>45</v>
      </c>
      <c r="K167" t="s">
        <v>7881</v>
      </c>
      <c r="L167" t="s">
        <v>7893</v>
      </c>
      <c r="M167" t="s">
        <v>455</v>
      </c>
      <c r="N167" t="s">
        <v>33</v>
      </c>
      <c r="O167" s="17">
        <v>552500</v>
      </c>
      <c r="P167" s="17" t="s">
        <v>7854</v>
      </c>
      <c r="Q167" s="22">
        <v>0</v>
      </c>
      <c r="R167" s="22" t="s">
        <v>7854</v>
      </c>
      <c r="S167" s="24">
        <v>0</v>
      </c>
      <c r="T167" s="24" t="s">
        <v>7854</v>
      </c>
      <c r="U167" t="s">
        <v>1231</v>
      </c>
    </row>
    <row r="168" spans="1:21" x14ac:dyDescent="0.25">
      <c r="A168">
        <v>170</v>
      </c>
      <c r="B168">
        <v>20917</v>
      </c>
      <c r="C168" t="s">
        <v>1232</v>
      </c>
      <c r="D168" t="s">
        <v>6981</v>
      </c>
      <c r="E168" t="s">
        <v>1235</v>
      </c>
      <c r="F168" t="s">
        <v>28</v>
      </c>
      <c r="G168" t="s">
        <v>1236</v>
      </c>
      <c r="H168" t="s">
        <v>43</v>
      </c>
      <c r="I168" s="13" t="s">
        <v>1237</v>
      </c>
      <c r="J168" t="s">
        <v>45</v>
      </c>
      <c r="K168" t="s">
        <v>7881</v>
      </c>
      <c r="L168" t="s">
        <v>7888</v>
      </c>
      <c r="M168" t="s">
        <v>63</v>
      </c>
      <c r="N168" t="s">
        <v>33</v>
      </c>
      <c r="O168" s="17">
        <v>552500</v>
      </c>
      <c r="P168" s="17" t="s">
        <v>7854</v>
      </c>
      <c r="Q168" s="22">
        <v>110500</v>
      </c>
      <c r="R168" s="22" t="s">
        <v>7854</v>
      </c>
      <c r="S168" s="24">
        <v>0</v>
      </c>
      <c r="T168" s="24" t="s">
        <v>7854</v>
      </c>
      <c r="U168" t="s">
        <v>1238</v>
      </c>
    </row>
    <row r="169" spans="1:21" x14ac:dyDescent="0.25">
      <c r="A169">
        <v>171</v>
      </c>
      <c r="B169">
        <v>19837</v>
      </c>
      <c r="C169" t="s">
        <v>1239</v>
      </c>
      <c r="D169" t="s">
        <v>6982</v>
      </c>
      <c r="E169" t="s">
        <v>1243</v>
      </c>
      <c r="F169" t="s">
        <v>53</v>
      </c>
      <c r="G169" t="s">
        <v>1244</v>
      </c>
      <c r="H169" t="s">
        <v>43</v>
      </c>
      <c r="I169" s="13" t="s">
        <v>1245</v>
      </c>
      <c r="J169" t="s">
        <v>45</v>
      </c>
      <c r="K169" t="s">
        <v>7879</v>
      </c>
      <c r="L169" t="s">
        <v>7888</v>
      </c>
      <c r="M169" t="s">
        <v>87</v>
      </c>
      <c r="N169" t="s">
        <v>33</v>
      </c>
      <c r="O169" s="17">
        <v>195000</v>
      </c>
      <c r="P169" s="17" t="s">
        <v>7854</v>
      </c>
      <c r="Q169" s="22">
        <v>0</v>
      </c>
      <c r="R169" s="22" t="s">
        <v>7854</v>
      </c>
      <c r="S169" s="24">
        <v>0</v>
      </c>
      <c r="T169" s="24" t="s">
        <v>7854</v>
      </c>
      <c r="U169" t="s">
        <v>1246</v>
      </c>
    </row>
    <row r="170" spans="1:21" x14ac:dyDescent="0.25">
      <c r="A170">
        <v>172</v>
      </c>
      <c r="B170">
        <v>24248</v>
      </c>
      <c r="C170" t="s">
        <v>1247</v>
      </c>
      <c r="D170" t="s">
        <v>6983</v>
      </c>
      <c r="E170" t="s">
        <v>1251</v>
      </c>
      <c r="F170" t="s">
        <v>28</v>
      </c>
      <c r="G170" t="s">
        <v>1252</v>
      </c>
      <c r="H170" t="s">
        <v>43</v>
      </c>
      <c r="I170" s="13" t="s">
        <v>1253</v>
      </c>
      <c r="J170" t="s">
        <v>31</v>
      </c>
      <c r="K170" t="s">
        <v>7879</v>
      </c>
      <c r="L170" t="s">
        <v>7940</v>
      </c>
      <c r="M170" t="s">
        <v>63</v>
      </c>
      <c r="N170" t="s">
        <v>33</v>
      </c>
      <c r="O170" s="17">
        <v>195000</v>
      </c>
      <c r="P170" s="17" t="s">
        <v>7854</v>
      </c>
      <c r="Q170" s="22">
        <v>0</v>
      </c>
      <c r="R170" s="22" t="s">
        <v>7854</v>
      </c>
      <c r="S170" s="24">
        <v>0</v>
      </c>
      <c r="T170" s="24" t="s">
        <v>7854</v>
      </c>
      <c r="U170" t="s">
        <v>1254</v>
      </c>
    </row>
    <row r="171" spans="1:21" x14ac:dyDescent="0.25">
      <c r="A171">
        <v>173</v>
      </c>
      <c r="B171">
        <v>20704</v>
      </c>
      <c r="C171" t="s">
        <v>1255</v>
      </c>
      <c r="D171" t="s">
        <v>6984</v>
      </c>
      <c r="E171" t="s">
        <v>1258</v>
      </c>
      <c r="F171" t="s">
        <v>28</v>
      </c>
      <c r="G171" t="s">
        <v>1118</v>
      </c>
      <c r="H171" t="s">
        <v>43</v>
      </c>
      <c r="I171" s="13" t="s">
        <v>1259</v>
      </c>
      <c r="J171" t="s">
        <v>31</v>
      </c>
      <c r="K171" t="s">
        <v>7881</v>
      </c>
      <c r="L171" t="s">
        <v>7888</v>
      </c>
      <c r="M171" t="s">
        <v>87</v>
      </c>
      <c r="N171" t="s">
        <v>33</v>
      </c>
      <c r="O171" s="17">
        <v>552500</v>
      </c>
      <c r="P171" s="17" t="s">
        <v>7854</v>
      </c>
      <c r="Q171" s="22">
        <v>110500</v>
      </c>
      <c r="R171" s="22" t="s">
        <v>7854</v>
      </c>
      <c r="S171" s="24">
        <v>0</v>
      </c>
      <c r="T171" s="24" t="s">
        <v>7854</v>
      </c>
      <c r="U171" t="s">
        <v>1260</v>
      </c>
    </row>
    <row r="172" spans="1:21" x14ac:dyDescent="0.25">
      <c r="A172">
        <v>174</v>
      </c>
      <c r="B172">
        <v>23490</v>
      </c>
      <c r="C172" t="s">
        <v>1261</v>
      </c>
      <c r="D172" t="s">
        <v>6985</v>
      </c>
      <c r="E172" t="s">
        <v>1265</v>
      </c>
      <c r="F172" t="s">
        <v>28</v>
      </c>
      <c r="G172" t="s">
        <v>1266</v>
      </c>
      <c r="H172" t="s">
        <v>43</v>
      </c>
      <c r="I172" s="13" t="s">
        <v>1267</v>
      </c>
      <c r="J172" t="s">
        <v>31</v>
      </c>
      <c r="K172" t="s">
        <v>7879</v>
      </c>
      <c r="L172" t="s">
        <v>7981</v>
      </c>
      <c r="M172" t="s">
        <v>46</v>
      </c>
      <c r="N172" t="s">
        <v>33</v>
      </c>
      <c r="O172" s="17">
        <v>195000</v>
      </c>
      <c r="P172" s="17" t="s">
        <v>7854</v>
      </c>
      <c r="Q172" s="22">
        <v>0</v>
      </c>
      <c r="R172" s="22" t="s">
        <v>7854</v>
      </c>
      <c r="S172" s="24">
        <v>0</v>
      </c>
      <c r="T172" s="24" t="s">
        <v>7854</v>
      </c>
      <c r="U172" t="s">
        <v>1268</v>
      </c>
    </row>
    <row r="173" spans="1:21" x14ac:dyDescent="0.25">
      <c r="A173">
        <v>175</v>
      </c>
      <c r="B173">
        <v>9538</v>
      </c>
      <c r="C173" t="s">
        <v>1269</v>
      </c>
      <c r="D173" t="s">
        <v>6986</v>
      </c>
      <c r="E173" t="s">
        <v>1272</v>
      </c>
      <c r="F173" t="s">
        <v>53</v>
      </c>
      <c r="G173" t="s">
        <v>1273</v>
      </c>
      <c r="H173" t="s">
        <v>765</v>
      </c>
      <c r="I173" s="12">
        <v>23230726129</v>
      </c>
      <c r="J173" t="s">
        <v>45</v>
      </c>
      <c r="K173" t="s">
        <v>7881</v>
      </c>
      <c r="L173" t="s">
        <v>8028</v>
      </c>
      <c r="M173" t="s">
        <v>455</v>
      </c>
      <c r="N173" t="s">
        <v>130</v>
      </c>
      <c r="O173" s="17" t="s">
        <v>7854</v>
      </c>
      <c r="P173" s="17">
        <v>425</v>
      </c>
      <c r="Q173" s="22" t="s">
        <v>7854</v>
      </c>
      <c r="R173" s="22">
        <v>0</v>
      </c>
      <c r="S173" s="24" t="s">
        <v>7854</v>
      </c>
      <c r="T173" s="24">
        <v>0</v>
      </c>
      <c r="U173" t="s">
        <v>1274</v>
      </c>
    </row>
    <row r="174" spans="1:21" x14ac:dyDescent="0.25">
      <c r="A174">
        <v>176</v>
      </c>
      <c r="B174">
        <v>6194</v>
      </c>
      <c r="C174" t="s">
        <v>1275</v>
      </c>
      <c r="D174" t="s">
        <v>6987</v>
      </c>
      <c r="E174" t="s">
        <v>1279</v>
      </c>
      <c r="F174" t="s">
        <v>53</v>
      </c>
      <c r="G174" t="s">
        <v>1280</v>
      </c>
      <c r="H174" t="s">
        <v>43</v>
      </c>
      <c r="I174" s="12">
        <v>8024531062</v>
      </c>
      <c r="J174" t="s">
        <v>45</v>
      </c>
      <c r="K174" t="s">
        <v>7881</v>
      </c>
      <c r="L174" t="s">
        <v>7981</v>
      </c>
      <c r="M174" t="s">
        <v>63</v>
      </c>
      <c r="N174" t="s">
        <v>33</v>
      </c>
      <c r="O174" s="17">
        <v>552500</v>
      </c>
      <c r="P174" s="17" t="s">
        <v>7854</v>
      </c>
      <c r="Q174" s="22">
        <v>0</v>
      </c>
      <c r="R174" s="22" t="s">
        <v>7854</v>
      </c>
      <c r="S174" s="24">
        <v>0</v>
      </c>
      <c r="T174" s="24" t="s">
        <v>7854</v>
      </c>
      <c r="U174" t="s">
        <v>1281</v>
      </c>
    </row>
    <row r="175" spans="1:21" x14ac:dyDescent="0.25">
      <c r="A175">
        <v>177</v>
      </c>
      <c r="B175">
        <v>19195</v>
      </c>
      <c r="C175" t="s">
        <v>1282</v>
      </c>
      <c r="D175" t="s">
        <v>6988</v>
      </c>
      <c r="E175" t="s">
        <v>1286</v>
      </c>
      <c r="F175" t="s">
        <v>53</v>
      </c>
      <c r="G175" t="s">
        <v>289</v>
      </c>
      <c r="H175" t="s">
        <v>43</v>
      </c>
      <c r="I175" s="13" t="s">
        <v>1287</v>
      </c>
      <c r="J175" t="s">
        <v>31</v>
      </c>
      <c r="K175" t="s">
        <v>7881</v>
      </c>
      <c r="L175" t="s">
        <v>7893</v>
      </c>
      <c r="M175" t="s">
        <v>63</v>
      </c>
      <c r="N175" t="s">
        <v>33</v>
      </c>
      <c r="O175" s="17">
        <v>552500</v>
      </c>
      <c r="P175" s="17" t="s">
        <v>7854</v>
      </c>
      <c r="Q175" s="22">
        <v>0</v>
      </c>
      <c r="R175" s="22" t="s">
        <v>7854</v>
      </c>
      <c r="S175" s="24">
        <v>0</v>
      </c>
      <c r="T175" s="24" t="s">
        <v>7854</v>
      </c>
      <c r="U175" t="s">
        <v>1288</v>
      </c>
    </row>
    <row r="176" spans="1:21" x14ac:dyDescent="0.25">
      <c r="A176">
        <v>178</v>
      </c>
      <c r="B176">
        <v>1005</v>
      </c>
      <c r="C176" t="s">
        <v>1289</v>
      </c>
      <c r="D176" t="s">
        <v>6989</v>
      </c>
      <c r="E176" t="s">
        <v>1293</v>
      </c>
      <c r="F176" t="s">
        <v>53</v>
      </c>
      <c r="G176" t="s">
        <v>1294</v>
      </c>
      <c r="H176" t="s">
        <v>43</v>
      </c>
      <c r="I176" s="13" t="s">
        <v>1295</v>
      </c>
      <c r="J176" t="s">
        <v>1207</v>
      </c>
      <c r="K176" t="s">
        <v>7886</v>
      </c>
      <c r="L176" t="s">
        <v>7940</v>
      </c>
      <c r="M176" t="s">
        <v>46</v>
      </c>
      <c r="N176" t="s">
        <v>33</v>
      </c>
      <c r="O176" s="17">
        <v>812500</v>
      </c>
      <c r="P176" s="17" t="s">
        <v>7854</v>
      </c>
      <c r="Q176" s="22">
        <v>0</v>
      </c>
      <c r="R176" s="22" t="s">
        <v>7854</v>
      </c>
      <c r="S176" s="24">
        <v>162500</v>
      </c>
      <c r="T176" s="24" t="s">
        <v>7854</v>
      </c>
      <c r="U176" t="s">
        <v>1296</v>
      </c>
    </row>
    <row r="177" spans="1:21" x14ac:dyDescent="0.25">
      <c r="A177">
        <v>179</v>
      </c>
      <c r="B177">
        <v>24246</v>
      </c>
      <c r="C177" t="s">
        <v>1297</v>
      </c>
      <c r="D177" t="s">
        <v>6990</v>
      </c>
      <c r="E177" t="s">
        <v>1301</v>
      </c>
      <c r="F177" t="s">
        <v>28</v>
      </c>
      <c r="G177" t="s">
        <v>1302</v>
      </c>
      <c r="H177" t="s">
        <v>43</v>
      </c>
      <c r="I177" s="13" t="s">
        <v>1303</v>
      </c>
      <c r="J177" t="s">
        <v>31</v>
      </c>
      <c r="K177" t="s">
        <v>7879</v>
      </c>
      <c r="L177" t="s">
        <v>7981</v>
      </c>
      <c r="M177" t="s">
        <v>63</v>
      </c>
      <c r="N177" t="s">
        <v>33</v>
      </c>
      <c r="O177" s="17">
        <v>195000</v>
      </c>
      <c r="P177" s="17" t="s">
        <v>7854</v>
      </c>
      <c r="Q177" s="22">
        <v>0</v>
      </c>
      <c r="R177" s="22" t="s">
        <v>7854</v>
      </c>
      <c r="S177" s="24">
        <v>0</v>
      </c>
      <c r="T177" s="24" t="s">
        <v>7854</v>
      </c>
      <c r="U177" t="s">
        <v>1304</v>
      </c>
    </row>
    <row r="178" spans="1:21" x14ac:dyDescent="0.25">
      <c r="A178">
        <v>180</v>
      </c>
      <c r="B178">
        <v>19936</v>
      </c>
      <c r="C178" t="s">
        <v>1305</v>
      </c>
      <c r="D178" t="s">
        <v>6991</v>
      </c>
      <c r="E178" t="s">
        <v>1309</v>
      </c>
      <c r="F178" t="s">
        <v>28</v>
      </c>
      <c r="G178" t="s">
        <v>1310</v>
      </c>
      <c r="H178" t="s">
        <v>43</v>
      </c>
      <c r="I178" s="12">
        <v>2348063200570</v>
      </c>
      <c r="J178" t="s">
        <v>31</v>
      </c>
      <c r="K178" t="s">
        <v>7881</v>
      </c>
      <c r="L178" t="s">
        <v>7893</v>
      </c>
      <c r="M178" t="s">
        <v>63</v>
      </c>
      <c r="N178" t="s">
        <v>33</v>
      </c>
      <c r="O178" s="17">
        <v>552500</v>
      </c>
      <c r="P178" s="17" t="s">
        <v>7854</v>
      </c>
      <c r="Q178" s="22">
        <v>0</v>
      </c>
      <c r="R178" s="22" t="s">
        <v>7854</v>
      </c>
      <c r="S178" s="24">
        <v>0</v>
      </c>
      <c r="T178" s="24" t="s">
        <v>7854</v>
      </c>
      <c r="U178" t="s">
        <v>1311</v>
      </c>
    </row>
    <row r="179" spans="1:21" x14ac:dyDescent="0.25">
      <c r="A179">
        <v>181</v>
      </c>
      <c r="B179">
        <v>24224</v>
      </c>
      <c r="C179" t="s">
        <v>1312</v>
      </c>
      <c r="D179" t="s">
        <v>6992</v>
      </c>
      <c r="E179" t="s">
        <v>43</v>
      </c>
      <c r="F179" t="s">
        <v>28</v>
      </c>
      <c r="G179" t="s">
        <v>1315</v>
      </c>
      <c r="H179" t="s">
        <v>43</v>
      </c>
      <c r="I179" s="13" t="s">
        <v>1316</v>
      </c>
      <c r="J179" t="s">
        <v>31</v>
      </c>
      <c r="K179" t="s">
        <v>7879</v>
      </c>
      <c r="L179" t="s">
        <v>7893</v>
      </c>
      <c r="M179" t="s">
        <v>63</v>
      </c>
      <c r="N179" t="s">
        <v>33</v>
      </c>
      <c r="O179" s="17">
        <v>195000</v>
      </c>
      <c r="P179" s="17" t="s">
        <v>7854</v>
      </c>
      <c r="Q179" s="22">
        <v>0</v>
      </c>
      <c r="R179" s="22" t="s">
        <v>7854</v>
      </c>
      <c r="S179" s="24">
        <v>0</v>
      </c>
      <c r="T179" s="24" t="s">
        <v>7854</v>
      </c>
      <c r="U179" t="s">
        <v>1317</v>
      </c>
    </row>
    <row r="180" spans="1:21" x14ac:dyDescent="0.25">
      <c r="A180">
        <v>182</v>
      </c>
      <c r="B180">
        <v>24194</v>
      </c>
      <c r="C180" t="s">
        <v>1318</v>
      </c>
      <c r="D180" t="s">
        <v>6993</v>
      </c>
      <c r="E180" t="s">
        <v>1322</v>
      </c>
      <c r="F180" t="s">
        <v>28</v>
      </c>
      <c r="G180" t="s">
        <v>869</v>
      </c>
      <c r="H180" t="s">
        <v>43</v>
      </c>
      <c r="I180" s="13" t="s">
        <v>1323</v>
      </c>
      <c r="J180" t="s">
        <v>31</v>
      </c>
      <c r="K180" t="s">
        <v>7879</v>
      </c>
      <c r="L180" t="s">
        <v>7893</v>
      </c>
      <c r="M180" t="s">
        <v>46</v>
      </c>
      <c r="N180" t="s">
        <v>33</v>
      </c>
      <c r="O180" s="17">
        <v>195000</v>
      </c>
      <c r="P180" s="17" t="s">
        <v>7854</v>
      </c>
      <c r="Q180" s="22">
        <v>0</v>
      </c>
      <c r="R180" s="22" t="s">
        <v>7854</v>
      </c>
      <c r="S180" s="24">
        <v>0</v>
      </c>
      <c r="T180" s="24" t="s">
        <v>7854</v>
      </c>
      <c r="U180" t="s">
        <v>1324</v>
      </c>
    </row>
    <row r="181" spans="1:21" x14ac:dyDescent="0.25">
      <c r="A181">
        <v>183</v>
      </c>
      <c r="B181">
        <v>24218</v>
      </c>
      <c r="C181" t="s">
        <v>1325</v>
      </c>
      <c r="D181" t="s">
        <v>6994</v>
      </c>
      <c r="E181" t="s">
        <v>1327</v>
      </c>
      <c r="F181" t="s">
        <v>28</v>
      </c>
      <c r="G181" t="s">
        <v>364</v>
      </c>
      <c r="H181" t="s">
        <v>43</v>
      </c>
      <c r="I181" s="13" t="s">
        <v>1328</v>
      </c>
      <c r="J181" t="s">
        <v>31</v>
      </c>
      <c r="K181" t="s">
        <v>7879</v>
      </c>
      <c r="L181" t="s">
        <v>7940</v>
      </c>
      <c r="M181" t="s">
        <v>46</v>
      </c>
      <c r="N181" t="s">
        <v>33</v>
      </c>
      <c r="O181" s="17">
        <v>195000</v>
      </c>
      <c r="P181" s="17" t="s">
        <v>7854</v>
      </c>
      <c r="Q181" s="22">
        <v>0</v>
      </c>
      <c r="R181" s="22" t="s">
        <v>7854</v>
      </c>
      <c r="S181" s="24">
        <v>0</v>
      </c>
      <c r="T181" s="24" t="s">
        <v>7854</v>
      </c>
      <c r="U181" t="s">
        <v>1329</v>
      </c>
    </row>
    <row r="182" spans="1:21" x14ac:dyDescent="0.25">
      <c r="A182">
        <v>184</v>
      </c>
      <c r="B182">
        <v>20068</v>
      </c>
      <c r="C182" t="s">
        <v>1330</v>
      </c>
      <c r="D182" t="s">
        <v>6995</v>
      </c>
      <c r="E182" t="s">
        <v>1334</v>
      </c>
      <c r="F182" t="s">
        <v>28</v>
      </c>
      <c r="G182" t="s">
        <v>1335</v>
      </c>
      <c r="H182" t="s">
        <v>43</v>
      </c>
      <c r="I182" s="13" t="s">
        <v>1336</v>
      </c>
      <c r="J182" t="s">
        <v>45</v>
      </c>
      <c r="K182" t="s">
        <v>7881</v>
      </c>
      <c r="L182" t="s">
        <v>7981</v>
      </c>
      <c r="M182" t="s">
        <v>46</v>
      </c>
      <c r="N182" t="s">
        <v>33</v>
      </c>
      <c r="O182" s="17">
        <v>552500</v>
      </c>
      <c r="P182" s="17" t="s">
        <v>7854</v>
      </c>
      <c r="Q182" s="22">
        <v>0</v>
      </c>
      <c r="R182" s="22" t="s">
        <v>7854</v>
      </c>
      <c r="S182" s="24">
        <v>0</v>
      </c>
      <c r="T182" s="24" t="s">
        <v>7854</v>
      </c>
      <c r="U182" t="s">
        <v>1337</v>
      </c>
    </row>
    <row r="183" spans="1:21" x14ac:dyDescent="0.25">
      <c r="A183">
        <v>185</v>
      </c>
      <c r="B183">
        <v>6542</v>
      </c>
      <c r="C183" t="s">
        <v>1338</v>
      </c>
      <c r="D183" t="s">
        <v>6996</v>
      </c>
      <c r="E183" t="s">
        <v>1342</v>
      </c>
      <c r="F183" t="s">
        <v>28</v>
      </c>
      <c r="G183" t="s">
        <v>1342</v>
      </c>
      <c r="H183" t="s">
        <v>43</v>
      </c>
      <c r="I183" s="13" t="s">
        <v>1343</v>
      </c>
      <c r="J183" t="s">
        <v>31</v>
      </c>
      <c r="K183" t="s">
        <v>7886</v>
      </c>
      <c r="L183" t="s">
        <v>7981</v>
      </c>
      <c r="M183" t="s">
        <v>46</v>
      </c>
      <c r="N183" t="s">
        <v>33</v>
      </c>
      <c r="O183" s="17">
        <v>812500</v>
      </c>
      <c r="P183" s="17" t="s">
        <v>7854</v>
      </c>
      <c r="Q183" s="22">
        <v>0</v>
      </c>
      <c r="R183" s="22" t="s">
        <v>7854</v>
      </c>
      <c r="S183" s="24">
        <v>162500</v>
      </c>
      <c r="T183" s="24" t="s">
        <v>7854</v>
      </c>
      <c r="U183" t="s">
        <v>1344</v>
      </c>
    </row>
    <row r="184" spans="1:21" x14ac:dyDescent="0.25">
      <c r="A184">
        <v>186</v>
      </c>
      <c r="B184">
        <v>24044</v>
      </c>
      <c r="C184" t="s">
        <v>1345</v>
      </c>
      <c r="D184" t="s">
        <v>6997</v>
      </c>
      <c r="E184" t="s">
        <v>1348</v>
      </c>
      <c r="F184" t="s">
        <v>53</v>
      </c>
      <c r="G184" t="s">
        <v>1349</v>
      </c>
      <c r="H184" t="s">
        <v>453</v>
      </c>
      <c r="I184" s="13" t="s">
        <v>1350</v>
      </c>
      <c r="J184" t="s">
        <v>31</v>
      </c>
      <c r="K184" t="s">
        <v>7879</v>
      </c>
      <c r="L184" t="s">
        <v>7940</v>
      </c>
      <c r="M184" t="s">
        <v>455</v>
      </c>
      <c r="N184" t="s">
        <v>130</v>
      </c>
      <c r="O184" s="17" t="s">
        <v>7854</v>
      </c>
      <c r="P184" s="17">
        <v>150</v>
      </c>
      <c r="Q184" s="22" t="s">
        <v>7854</v>
      </c>
      <c r="R184" s="22">
        <v>0</v>
      </c>
      <c r="S184" s="24" t="s">
        <v>7854</v>
      </c>
      <c r="T184" s="24">
        <v>0</v>
      </c>
      <c r="U184" t="s">
        <v>1351</v>
      </c>
    </row>
    <row r="185" spans="1:21" x14ac:dyDescent="0.25">
      <c r="A185">
        <v>187</v>
      </c>
      <c r="B185">
        <v>24258</v>
      </c>
      <c r="C185" t="s">
        <v>1352</v>
      </c>
      <c r="D185" t="s">
        <v>6998</v>
      </c>
      <c r="E185" t="s">
        <v>7943</v>
      </c>
      <c r="F185" t="s">
        <v>53</v>
      </c>
      <c r="G185" t="s">
        <v>7943</v>
      </c>
      <c r="H185" t="s">
        <v>43</v>
      </c>
      <c r="I185" s="12">
        <v>2348030465528</v>
      </c>
      <c r="J185" t="s">
        <v>31</v>
      </c>
      <c r="K185" t="s">
        <v>7879</v>
      </c>
      <c r="L185" t="s">
        <v>7940</v>
      </c>
      <c r="M185" t="s">
        <v>87</v>
      </c>
      <c r="N185" t="s">
        <v>33</v>
      </c>
      <c r="O185" s="17">
        <v>195000</v>
      </c>
      <c r="P185" s="17" t="s">
        <v>7854</v>
      </c>
      <c r="Q185" s="22">
        <v>0</v>
      </c>
      <c r="R185" s="22" t="s">
        <v>7854</v>
      </c>
      <c r="S185" s="24">
        <v>0</v>
      </c>
      <c r="T185" s="24" t="s">
        <v>7854</v>
      </c>
      <c r="U185" t="s">
        <v>1356</v>
      </c>
    </row>
    <row r="186" spans="1:21" x14ac:dyDescent="0.25">
      <c r="A186">
        <v>188</v>
      </c>
      <c r="B186">
        <v>3786</v>
      </c>
      <c r="C186" t="s">
        <v>1357</v>
      </c>
      <c r="D186" t="s">
        <v>6999</v>
      </c>
      <c r="E186" t="s">
        <v>1361</v>
      </c>
      <c r="F186" t="s">
        <v>28</v>
      </c>
      <c r="G186" t="s">
        <v>1362</v>
      </c>
      <c r="H186" t="s">
        <v>43</v>
      </c>
      <c r="I186" s="13" t="s">
        <v>1363</v>
      </c>
      <c r="J186" t="s">
        <v>31</v>
      </c>
      <c r="K186" t="s">
        <v>7886</v>
      </c>
      <c r="L186" t="s">
        <v>7981</v>
      </c>
      <c r="M186" t="s">
        <v>63</v>
      </c>
      <c r="N186" t="s">
        <v>33</v>
      </c>
      <c r="O186" s="17">
        <v>812500</v>
      </c>
      <c r="P186" s="17" t="s">
        <v>7854</v>
      </c>
      <c r="Q186" s="22">
        <v>0</v>
      </c>
      <c r="R186" s="22" t="s">
        <v>7854</v>
      </c>
      <c r="S186" s="24">
        <v>162500</v>
      </c>
      <c r="T186" s="24" t="s">
        <v>7854</v>
      </c>
      <c r="U186" t="s">
        <v>1364</v>
      </c>
    </row>
    <row r="187" spans="1:21" x14ac:dyDescent="0.25">
      <c r="A187">
        <v>189</v>
      </c>
      <c r="B187">
        <v>18738</v>
      </c>
      <c r="C187" t="s">
        <v>1365</v>
      </c>
      <c r="D187" t="s">
        <v>7000</v>
      </c>
      <c r="E187" t="s">
        <v>1369</v>
      </c>
      <c r="F187" t="s">
        <v>53</v>
      </c>
      <c r="G187" t="s">
        <v>1370</v>
      </c>
      <c r="H187" t="s">
        <v>43</v>
      </c>
      <c r="I187" s="13" t="s">
        <v>1371</v>
      </c>
      <c r="J187" t="s">
        <v>31</v>
      </c>
      <c r="K187" t="s">
        <v>7879</v>
      </c>
      <c r="L187" t="s">
        <v>7981</v>
      </c>
      <c r="M187" t="s">
        <v>87</v>
      </c>
      <c r="N187" t="s">
        <v>33</v>
      </c>
      <c r="O187" s="17">
        <v>195000</v>
      </c>
      <c r="P187" s="17" t="s">
        <v>7854</v>
      </c>
      <c r="Q187" s="22">
        <v>0</v>
      </c>
      <c r="R187" s="22" t="s">
        <v>7854</v>
      </c>
      <c r="S187" s="24">
        <v>0</v>
      </c>
      <c r="T187" s="24" t="s">
        <v>7854</v>
      </c>
      <c r="U187" t="s">
        <v>1372</v>
      </c>
    </row>
    <row r="188" spans="1:21" x14ac:dyDescent="0.25">
      <c r="A188">
        <v>190</v>
      </c>
      <c r="B188">
        <v>24020</v>
      </c>
      <c r="C188" t="s">
        <v>1373</v>
      </c>
      <c r="D188" t="s">
        <v>7001</v>
      </c>
      <c r="E188" t="s">
        <v>1376</v>
      </c>
      <c r="F188" t="s">
        <v>53</v>
      </c>
      <c r="G188" t="s">
        <v>869</v>
      </c>
      <c r="H188" t="s">
        <v>43</v>
      </c>
      <c r="I188" s="13" t="s">
        <v>1377</v>
      </c>
      <c r="J188" t="s">
        <v>31</v>
      </c>
      <c r="K188" t="s">
        <v>7879</v>
      </c>
      <c r="L188" t="s">
        <v>8028</v>
      </c>
      <c r="M188" t="s">
        <v>46</v>
      </c>
      <c r="N188" t="s">
        <v>33</v>
      </c>
      <c r="O188" s="17">
        <v>195000</v>
      </c>
      <c r="P188" s="17" t="s">
        <v>7854</v>
      </c>
      <c r="Q188" s="22">
        <v>0</v>
      </c>
      <c r="R188" s="22" t="s">
        <v>7854</v>
      </c>
      <c r="S188" s="24">
        <v>0</v>
      </c>
      <c r="T188" s="24" t="s">
        <v>7854</v>
      </c>
      <c r="U188" t="s">
        <v>1378</v>
      </c>
    </row>
    <row r="189" spans="1:21" x14ac:dyDescent="0.25">
      <c r="A189">
        <v>191</v>
      </c>
      <c r="B189">
        <v>24097</v>
      </c>
      <c r="C189" t="s">
        <v>1379</v>
      </c>
      <c r="D189" t="s">
        <v>7002</v>
      </c>
      <c r="E189" t="s">
        <v>1381</v>
      </c>
      <c r="F189" t="s">
        <v>28</v>
      </c>
      <c r="G189" t="s">
        <v>1382</v>
      </c>
      <c r="H189" t="s">
        <v>43</v>
      </c>
      <c r="I189" s="13" t="s">
        <v>1383</v>
      </c>
      <c r="J189" t="s">
        <v>31</v>
      </c>
      <c r="K189" t="s">
        <v>7879</v>
      </c>
      <c r="L189" t="s">
        <v>7893</v>
      </c>
      <c r="M189" t="s">
        <v>46</v>
      </c>
      <c r="N189" t="s">
        <v>33</v>
      </c>
      <c r="O189" s="17">
        <v>195000</v>
      </c>
      <c r="P189" s="17" t="s">
        <v>7854</v>
      </c>
      <c r="Q189" s="22">
        <v>0</v>
      </c>
      <c r="R189" s="22" t="s">
        <v>7854</v>
      </c>
      <c r="S189" s="24">
        <v>0</v>
      </c>
      <c r="T189" s="24" t="s">
        <v>7854</v>
      </c>
      <c r="U189" t="s">
        <v>1384</v>
      </c>
    </row>
    <row r="190" spans="1:21" x14ac:dyDescent="0.25">
      <c r="A190">
        <v>192</v>
      </c>
      <c r="B190">
        <v>24247</v>
      </c>
      <c r="C190" t="s">
        <v>1385</v>
      </c>
      <c r="D190" t="s">
        <v>7003</v>
      </c>
      <c r="E190" t="s">
        <v>1389</v>
      </c>
      <c r="F190" t="s">
        <v>53</v>
      </c>
      <c r="G190" t="s">
        <v>7944</v>
      </c>
      <c r="H190" t="s">
        <v>453</v>
      </c>
      <c r="I190" s="13" t="s">
        <v>1390</v>
      </c>
      <c r="J190" t="s">
        <v>31</v>
      </c>
      <c r="K190" t="s">
        <v>7879</v>
      </c>
      <c r="L190" t="s">
        <v>7940</v>
      </c>
      <c r="M190" t="s">
        <v>455</v>
      </c>
      <c r="N190" t="s">
        <v>130</v>
      </c>
      <c r="O190" s="17" t="s">
        <v>7854</v>
      </c>
      <c r="P190" s="17">
        <v>150</v>
      </c>
      <c r="Q190" s="22" t="s">
        <v>7854</v>
      </c>
      <c r="R190" s="22">
        <v>0</v>
      </c>
      <c r="S190" s="24" t="s">
        <v>7854</v>
      </c>
      <c r="T190" s="24">
        <v>0</v>
      </c>
      <c r="U190" t="s">
        <v>1391</v>
      </c>
    </row>
    <row r="191" spans="1:21" x14ac:dyDescent="0.25">
      <c r="A191">
        <v>193</v>
      </c>
      <c r="B191">
        <v>24207</v>
      </c>
      <c r="C191" t="s">
        <v>1392</v>
      </c>
      <c r="D191" t="s">
        <v>7004</v>
      </c>
      <c r="E191" t="s">
        <v>1394</v>
      </c>
      <c r="F191" t="s">
        <v>28</v>
      </c>
      <c r="G191" t="s">
        <v>1395</v>
      </c>
      <c r="H191" t="s">
        <v>43</v>
      </c>
      <c r="I191" s="13" t="s">
        <v>1396</v>
      </c>
      <c r="J191" t="s">
        <v>31</v>
      </c>
      <c r="K191" t="s">
        <v>7879</v>
      </c>
      <c r="L191" t="s">
        <v>7981</v>
      </c>
      <c r="M191" t="s">
        <v>46</v>
      </c>
      <c r="N191" t="s">
        <v>33</v>
      </c>
      <c r="O191" s="17">
        <v>195000</v>
      </c>
      <c r="P191" s="17" t="s">
        <v>7854</v>
      </c>
      <c r="Q191" s="22">
        <v>0</v>
      </c>
      <c r="R191" s="22" t="s">
        <v>7854</v>
      </c>
      <c r="S191" s="24">
        <v>0</v>
      </c>
      <c r="T191" s="24" t="s">
        <v>7854</v>
      </c>
      <c r="U191" t="s">
        <v>1397</v>
      </c>
    </row>
    <row r="192" spans="1:21" x14ac:dyDescent="0.25">
      <c r="A192">
        <v>194</v>
      </c>
      <c r="B192">
        <v>24050</v>
      </c>
      <c r="C192" t="s">
        <v>1398</v>
      </c>
      <c r="D192" t="s">
        <v>7005</v>
      </c>
      <c r="E192" t="s">
        <v>1401</v>
      </c>
      <c r="F192" t="s">
        <v>28</v>
      </c>
      <c r="G192" t="s">
        <v>1402</v>
      </c>
      <c r="H192" t="s">
        <v>43</v>
      </c>
      <c r="I192" s="13" t="s">
        <v>1403</v>
      </c>
      <c r="J192" t="s">
        <v>31</v>
      </c>
      <c r="K192" t="s">
        <v>7879</v>
      </c>
      <c r="L192" t="s">
        <v>7893</v>
      </c>
      <c r="M192" t="s">
        <v>63</v>
      </c>
      <c r="N192" t="s">
        <v>33</v>
      </c>
      <c r="O192" s="17">
        <v>195000</v>
      </c>
      <c r="P192" s="17" t="s">
        <v>7854</v>
      </c>
      <c r="Q192" s="22">
        <v>0</v>
      </c>
      <c r="R192" s="22" t="s">
        <v>7854</v>
      </c>
      <c r="S192" s="24">
        <v>0</v>
      </c>
      <c r="T192" s="24" t="s">
        <v>7854</v>
      </c>
      <c r="U192" t="s">
        <v>1404</v>
      </c>
    </row>
    <row r="193" spans="1:21" x14ac:dyDescent="0.25">
      <c r="A193">
        <v>195</v>
      </c>
      <c r="B193">
        <v>1620</v>
      </c>
      <c r="C193" t="s">
        <v>1405</v>
      </c>
      <c r="D193" t="s">
        <v>7006</v>
      </c>
      <c r="E193" t="s">
        <v>7905</v>
      </c>
      <c r="F193" t="s">
        <v>53</v>
      </c>
      <c r="G193" t="s">
        <v>1409</v>
      </c>
      <c r="H193" t="s">
        <v>43</v>
      </c>
      <c r="I193" s="13" t="s">
        <v>1410</v>
      </c>
      <c r="J193" t="s">
        <v>244</v>
      </c>
      <c r="K193" t="s">
        <v>7886</v>
      </c>
      <c r="L193" t="s">
        <v>7893</v>
      </c>
      <c r="M193" t="s">
        <v>63</v>
      </c>
      <c r="N193" t="s">
        <v>33</v>
      </c>
      <c r="O193" s="17">
        <v>812500</v>
      </c>
      <c r="P193" s="17" t="s">
        <v>7854</v>
      </c>
      <c r="Q193" s="22">
        <v>0</v>
      </c>
      <c r="R193" s="22" t="s">
        <v>7854</v>
      </c>
      <c r="S193" s="24">
        <v>0</v>
      </c>
      <c r="T193" s="24" t="s">
        <v>7854</v>
      </c>
      <c r="U193" t="s">
        <v>1411</v>
      </c>
    </row>
    <row r="194" spans="1:21" x14ac:dyDescent="0.25">
      <c r="A194">
        <v>196</v>
      </c>
      <c r="B194">
        <v>24159</v>
      </c>
      <c r="C194" t="s">
        <v>1412</v>
      </c>
      <c r="D194" t="s">
        <v>7007</v>
      </c>
      <c r="E194" s="2" t="s">
        <v>1416</v>
      </c>
      <c r="F194" t="s">
        <v>53</v>
      </c>
      <c r="G194" t="s">
        <v>1417</v>
      </c>
      <c r="H194" t="s">
        <v>453</v>
      </c>
      <c r="I194" s="13" t="s">
        <v>1416</v>
      </c>
      <c r="J194" t="s">
        <v>31</v>
      </c>
      <c r="K194" t="s">
        <v>7879</v>
      </c>
      <c r="L194" t="s">
        <v>7940</v>
      </c>
      <c r="M194" t="s">
        <v>455</v>
      </c>
      <c r="N194" t="s">
        <v>130</v>
      </c>
      <c r="O194" s="17" t="s">
        <v>7854</v>
      </c>
      <c r="P194" s="17">
        <v>150</v>
      </c>
      <c r="Q194" s="22" t="s">
        <v>7854</v>
      </c>
      <c r="R194" s="22">
        <v>0</v>
      </c>
      <c r="S194" s="24" t="s">
        <v>7854</v>
      </c>
      <c r="T194" s="24">
        <v>0</v>
      </c>
      <c r="U194" t="s">
        <v>1418</v>
      </c>
    </row>
    <row r="195" spans="1:21" x14ac:dyDescent="0.25">
      <c r="A195">
        <v>197</v>
      </c>
      <c r="B195">
        <v>24111</v>
      </c>
      <c r="C195" t="s">
        <v>1419</v>
      </c>
      <c r="D195" t="s">
        <v>7008</v>
      </c>
      <c r="E195" t="s">
        <v>1422</v>
      </c>
      <c r="F195" t="s">
        <v>28</v>
      </c>
      <c r="G195" t="s">
        <v>1423</v>
      </c>
      <c r="H195" t="s">
        <v>43</v>
      </c>
      <c r="I195" s="12">
        <v>2348035275160</v>
      </c>
      <c r="J195" t="s">
        <v>31</v>
      </c>
      <c r="K195" t="s">
        <v>7879</v>
      </c>
      <c r="L195" t="s">
        <v>7893</v>
      </c>
      <c r="M195" t="s">
        <v>46</v>
      </c>
      <c r="N195" t="s">
        <v>33</v>
      </c>
      <c r="O195" s="17">
        <v>195000</v>
      </c>
      <c r="P195" s="17" t="s">
        <v>7854</v>
      </c>
      <c r="Q195" s="22">
        <v>0</v>
      </c>
      <c r="R195" s="22" t="s">
        <v>7854</v>
      </c>
      <c r="S195" s="24">
        <v>0</v>
      </c>
      <c r="T195" s="24" t="s">
        <v>7854</v>
      </c>
      <c r="U195" t="s">
        <v>1424</v>
      </c>
    </row>
    <row r="196" spans="1:21" x14ac:dyDescent="0.25">
      <c r="A196">
        <v>198</v>
      </c>
      <c r="B196">
        <v>24271</v>
      </c>
      <c r="C196" t="s">
        <v>1425</v>
      </c>
      <c r="D196" t="s">
        <v>7009</v>
      </c>
      <c r="E196" t="s">
        <v>1427</v>
      </c>
      <c r="F196" t="s">
        <v>53</v>
      </c>
      <c r="G196" t="s">
        <v>1428</v>
      </c>
      <c r="H196" t="s">
        <v>43</v>
      </c>
      <c r="I196" s="13" t="s">
        <v>1429</v>
      </c>
      <c r="J196" t="s">
        <v>31</v>
      </c>
      <c r="K196" t="s">
        <v>7879</v>
      </c>
      <c r="L196" t="s">
        <v>7893</v>
      </c>
      <c r="M196" t="s">
        <v>46</v>
      </c>
      <c r="N196" t="s">
        <v>33</v>
      </c>
      <c r="O196" s="17">
        <v>195000</v>
      </c>
      <c r="P196" s="17" t="s">
        <v>7854</v>
      </c>
      <c r="Q196" s="22">
        <v>0</v>
      </c>
      <c r="R196" s="22" t="s">
        <v>7854</v>
      </c>
      <c r="S196" s="24">
        <v>0</v>
      </c>
      <c r="T196" s="24" t="s">
        <v>7854</v>
      </c>
      <c r="U196" t="s">
        <v>1430</v>
      </c>
    </row>
    <row r="197" spans="1:21" x14ac:dyDescent="0.25">
      <c r="A197">
        <v>199</v>
      </c>
      <c r="B197">
        <v>24260</v>
      </c>
      <c r="C197" t="s">
        <v>1431</v>
      </c>
      <c r="D197" t="s">
        <v>7010</v>
      </c>
      <c r="E197" t="s">
        <v>1434</v>
      </c>
      <c r="F197" t="s">
        <v>28</v>
      </c>
      <c r="G197" t="s">
        <v>1435</v>
      </c>
      <c r="H197" t="s">
        <v>43</v>
      </c>
      <c r="I197" s="13" t="s">
        <v>1436</v>
      </c>
      <c r="J197" t="s">
        <v>31</v>
      </c>
      <c r="K197" t="s">
        <v>7879</v>
      </c>
      <c r="L197" t="s">
        <v>7940</v>
      </c>
      <c r="M197" t="s">
        <v>46</v>
      </c>
      <c r="N197" t="s">
        <v>33</v>
      </c>
      <c r="O197" s="17">
        <v>195000</v>
      </c>
      <c r="P197" s="17" t="s">
        <v>7854</v>
      </c>
      <c r="Q197" s="22">
        <v>0</v>
      </c>
      <c r="R197" s="22" t="s">
        <v>7854</v>
      </c>
      <c r="S197" s="24">
        <v>0</v>
      </c>
      <c r="T197" s="24" t="s">
        <v>7854</v>
      </c>
      <c r="U197" t="s">
        <v>1437</v>
      </c>
    </row>
    <row r="198" spans="1:21" x14ac:dyDescent="0.25">
      <c r="A198">
        <v>200</v>
      </c>
      <c r="B198">
        <v>22837</v>
      </c>
      <c r="C198" t="s">
        <v>1438</v>
      </c>
      <c r="D198" t="s">
        <v>7011</v>
      </c>
      <c r="E198" t="s">
        <v>93</v>
      </c>
      <c r="F198" t="s">
        <v>28</v>
      </c>
      <c r="G198" t="s">
        <v>1046</v>
      </c>
      <c r="H198" t="s">
        <v>43</v>
      </c>
      <c r="I198" s="13" t="s">
        <v>1442</v>
      </c>
      <c r="J198" t="s">
        <v>45</v>
      </c>
      <c r="K198" t="s">
        <v>7879</v>
      </c>
      <c r="L198" t="s">
        <v>7981</v>
      </c>
      <c r="M198" t="s">
        <v>46</v>
      </c>
      <c r="N198" t="s">
        <v>33</v>
      </c>
      <c r="O198" s="17">
        <v>195000</v>
      </c>
      <c r="P198" s="17" t="s">
        <v>7854</v>
      </c>
      <c r="Q198" s="22">
        <v>0</v>
      </c>
      <c r="R198" s="22" t="s">
        <v>7854</v>
      </c>
      <c r="S198" s="24">
        <v>0</v>
      </c>
      <c r="T198" s="24" t="s">
        <v>7854</v>
      </c>
      <c r="U198" t="s">
        <v>1443</v>
      </c>
    </row>
    <row r="199" spans="1:21" x14ac:dyDescent="0.25">
      <c r="A199">
        <v>201</v>
      </c>
      <c r="B199">
        <v>1049</v>
      </c>
      <c r="C199" t="s">
        <v>1444</v>
      </c>
      <c r="D199" t="s">
        <v>7012</v>
      </c>
      <c r="E199" t="s">
        <v>1448</v>
      </c>
      <c r="F199" t="s">
        <v>53</v>
      </c>
      <c r="G199" t="s">
        <v>1449</v>
      </c>
      <c r="H199" t="s">
        <v>43</v>
      </c>
      <c r="I199" s="13" t="s">
        <v>1450</v>
      </c>
      <c r="J199" t="s">
        <v>45</v>
      </c>
      <c r="K199" t="s">
        <v>7881</v>
      </c>
      <c r="L199" t="s">
        <v>7981</v>
      </c>
      <c r="M199" t="s">
        <v>63</v>
      </c>
      <c r="N199" t="s">
        <v>33</v>
      </c>
      <c r="O199" s="17">
        <v>552500</v>
      </c>
      <c r="P199" s="17" t="s">
        <v>7854</v>
      </c>
      <c r="Q199" s="22">
        <v>0</v>
      </c>
      <c r="R199" s="22" t="s">
        <v>7854</v>
      </c>
      <c r="S199" s="24">
        <v>0</v>
      </c>
      <c r="T199" s="24" t="s">
        <v>7854</v>
      </c>
      <c r="U199" t="s">
        <v>1451</v>
      </c>
    </row>
    <row r="200" spans="1:21" x14ac:dyDescent="0.25">
      <c r="A200">
        <v>202</v>
      </c>
      <c r="B200">
        <v>782</v>
      </c>
      <c r="C200" t="s">
        <v>1452</v>
      </c>
      <c r="D200" t="s">
        <v>7013</v>
      </c>
      <c r="E200" t="s">
        <v>1456</v>
      </c>
      <c r="F200" t="s">
        <v>53</v>
      </c>
      <c r="G200" t="s">
        <v>1457</v>
      </c>
      <c r="H200" t="s">
        <v>43</v>
      </c>
      <c r="I200" s="13" t="s">
        <v>1458</v>
      </c>
      <c r="J200" t="s">
        <v>244</v>
      </c>
      <c r="K200" t="s">
        <v>7886</v>
      </c>
      <c r="L200" t="s">
        <v>7893</v>
      </c>
      <c r="M200" t="s">
        <v>63</v>
      </c>
      <c r="N200" t="s">
        <v>33</v>
      </c>
      <c r="O200" s="17">
        <v>812500</v>
      </c>
      <c r="P200" s="17" t="s">
        <v>7854</v>
      </c>
      <c r="Q200" s="22">
        <v>0</v>
      </c>
      <c r="R200" s="22" t="s">
        <v>7854</v>
      </c>
      <c r="S200" s="24">
        <v>0</v>
      </c>
      <c r="T200" s="24" t="s">
        <v>7854</v>
      </c>
      <c r="U200" t="s">
        <v>1459</v>
      </c>
    </row>
    <row r="201" spans="1:21" x14ac:dyDescent="0.25">
      <c r="A201">
        <v>203</v>
      </c>
      <c r="B201">
        <v>18965</v>
      </c>
      <c r="C201" t="s">
        <v>1460</v>
      </c>
      <c r="D201" t="s">
        <v>7014</v>
      </c>
      <c r="E201" t="s">
        <v>1464</v>
      </c>
      <c r="F201" t="s">
        <v>53</v>
      </c>
      <c r="G201" t="s">
        <v>429</v>
      </c>
      <c r="H201" t="s">
        <v>43</v>
      </c>
      <c r="I201" s="13" t="s">
        <v>1465</v>
      </c>
      <c r="J201" t="s">
        <v>31</v>
      </c>
      <c r="K201" t="s">
        <v>7881</v>
      </c>
      <c r="L201" t="s">
        <v>7888</v>
      </c>
      <c r="M201" t="s">
        <v>87</v>
      </c>
      <c r="N201" t="s">
        <v>33</v>
      </c>
      <c r="O201" s="17">
        <v>552500</v>
      </c>
      <c r="P201" s="17" t="s">
        <v>7854</v>
      </c>
      <c r="Q201" s="22">
        <v>110500</v>
      </c>
      <c r="R201" s="22" t="s">
        <v>7854</v>
      </c>
      <c r="S201" s="24">
        <v>0</v>
      </c>
      <c r="T201" s="24" t="s">
        <v>7854</v>
      </c>
      <c r="U201" t="s">
        <v>1466</v>
      </c>
    </row>
    <row r="202" spans="1:21" x14ac:dyDescent="0.25">
      <c r="A202">
        <v>204</v>
      </c>
      <c r="B202">
        <v>11643</v>
      </c>
      <c r="C202" t="s">
        <v>1467</v>
      </c>
      <c r="D202" t="s">
        <v>7015</v>
      </c>
      <c r="E202" t="s">
        <v>1471</v>
      </c>
      <c r="F202" t="s">
        <v>28</v>
      </c>
      <c r="G202" t="s">
        <v>1472</v>
      </c>
      <c r="H202" t="s">
        <v>43</v>
      </c>
      <c r="I202" s="13" t="s">
        <v>1473</v>
      </c>
      <c r="J202" t="s">
        <v>45</v>
      </c>
      <c r="K202" t="s">
        <v>7879</v>
      </c>
      <c r="L202" t="s">
        <v>8028</v>
      </c>
      <c r="M202" t="s">
        <v>87</v>
      </c>
      <c r="N202" t="s">
        <v>33</v>
      </c>
      <c r="O202" s="17">
        <v>195000</v>
      </c>
      <c r="P202" s="17" t="s">
        <v>7854</v>
      </c>
      <c r="Q202" s="22">
        <v>0</v>
      </c>
      <c r="R202" s="22" t="s">
        <v>7854</v>
      </c>
      <c r="S202" s="24">
        <v>0</v>
      </c>
      <c r="T202" s="24" t="s">
        <v>7854</v>
      </c>
      <c r="U202" t="s">
        <v>1474</v>
      </c>
    </row>
    <row r="203" spans="1:21" x14ac:dyDescent="0.25">
      <c r="A203">
        <v>205</v>
      </c>
      <c r="B203">
        <v>10052</v>
      </c>
      <c r="C203" t="s">
        <v>1475</v>
      </c>
      <c r="D203" t="s">
        <v>7016</v>
      </c>
      <c r="E203" t="s">
        <v>1478</v>
      </c>
      <c r="F203" t="s">
        <v>53</v>
      </c>
      <c r="G203" t="s">
        <v>1479</v>
      </c>
      <c r="H203" t="s">
        <v>765</v>
      </c>
      <c r="I203" s="12">
        <v>23280790065</v>
      </c>
      <c r="J203" t="s">
        <v>31</v>
      </c>
      <c r="K203" t="s">
        <v>7881</v>
      </c>
      <c r="L203" t="s">
        <v>8028</v>
      </c>
      <c r="M203" t="s">
        <v>1480</v>
      </c>
      <c r="N203" t="s">
        <v>130</v>
      </c>
      <c r="O203" s="17" t="s">
        <v>7854</v>
      </c>
      <c r="P203" s="17">
        <v>425</v>
      </c>
      <c r="Q203" s="22" t="s">
        <v>7854</v>
      </c>
      <c r="R203" s="22">
        <v>0</v>
      </c>
      <c r="S203" s="24" t="s">
        <v>7854</v>
      </c>
      <c r="T203" s="24">
        <v>0</v>
      </c>
      <c r="U203" t="s">
        <v>1481</v>
      </c>
    </row>
    <row r="204" spans="1:21" x14ac:dyDescent="0.25">
      <c r="A204">
        <v>206</v>
      </c>
      <c r="B204">
        <v>24238</v>
      </c>
      <c r="C204" t="s">
        <v>1482</v>
      </c>
      <c r="D204" t="s">
        <v>7017</v>
      </c>
      <c r="E204" t="s">
        <v>1485</v>
      </c>
      <c r="F204" t="s">
        <v>53</v>
      </c>
      <c r="G204" t="s">
        <v>8030</v>
      </c>
      <c r="H204" t="s">
        <v>43</v>
      </c>
      <c r="I204" s="13" t="s">
        <v>1486</v>
      </c>
      <c r="J204" t="s">
        <v>31</v>
      </c>
      <c r="K204" t="s">
        <v>7879</v>
      </c>
      <c r="L204" t="s">
        <v>8028</v>
      </c>
      <c r="M204" t="s">
        <v>87</v>
      </c>
      <c r="N204" t="s">
        <v>33</v>
      </c>
      <c r="O204" s="17">
        <v>195000</v>
      </c>
      <c r="P204" s="17" t="s">
        <v>7854</v>
      </c>
      <c r="Q204" s="22">
        <v>0</v>
      </c>
      <c r="R204" s="22" t="s">
        <v>7854</v>
      </c>
      <c r="S204" s="24">
        <v>0</v>
      </c>
      <c r="T204" s="24" t="s">
        <v>7854</v>
      </c>
      <c r="U204" t="s">
        <v>1487</v>
      </c>
    </row>
    <row r="205" spans="1:21" x14ac:dyDescent="0.25">
      <c r="A205">
        <v>207</v>
      </c>
      <c r="B205">
        <v>24290</v>
      </c>
      <c r="C205" t="s">
        <v>1488</v>
      </c>
      <c r="D205" t="s">
        <v>7018</v>
      </c>
      <c r="E205" t="s">
        <v>1492</v>
      </c>
      <c r="F205" t="s">
        <v>28</v>
      </c>
      <c r="G205" t="s">
        <v>1493</v>
      </c>
      <c r="H205" t="s">
        <v>453</v>
      </c>
      <c r="I205" s="13" t="s">
        <v>1494</v>
      </c>
      <c r="J205" t="s">
        <v>31</v>
      </c>
      <c r="K205" t="s">
        <v>7879</v>
      </c>
      <c r="L205" t="s">
        <v>8028</v>
      </c>
      <c r="M205" t="s">
        <v>455</v>
      </c>
      <c r="N205" t="s">
        <v>130</v>
      </c>
      <c r="O205" s="17" t="s">
        <v>7854</v>
      </c>
      <c r="P205" s="17">
        <v>150</v>
      </c>
      <c r="Q205" s="22" t="s">
        <v>7854</v>
      </c>
      <c r="R205" s="22">
        <v>0</v>
      </c>
      <c r="S205" s="24" t="s">
        <v>7854</v>
      </c>
      <c r="T205" s="24">
        <v>0</v>
      </c>
      <c r="U205" t="s">
        <v>1495</v>
      </c>
    </row>
    <row r="206" spans="1:21" x14ac:dyDescent="0.25">
      <c r="A206">
        <v>208</v>
      </c>
      <c r="B206">
        <v>24283</v>
      </c>
      <c r="C206" t="s">
        <v>1496</v>
      </c>
      <c r="D206" t="s">
        <v>7019</v>
      </c>
      <c r="E206" t="s">
        <v>1500</v>
      </c>
      <c r="F206" t="s">
        <v>28</v>
      </c>
      <c r="G206" t="s">
        <v>1152</v>
      </c>
      <c r="H206" t="s">
        <v>30</v>
      </c>
      <c r="I206" s="12">
        <v>2203556333</v>
      </c>
      <c r="J206" t="s">
        <v>31</v>
      </c>
      <c r="K206" t="s">
        <v>7879</v>
      </c>
      <c r="L206" t="s">
        <v>7940</v>
      </c>
      <c r="M206" t="s">
        <v>32</v>
      </c>
      <c r="N206" t="s">
        <v>33</v>
      </c>
      <c r="O206" s="17">
        <v>195000</v>
      </c>
      <c r="P206" s="17" t="s">
        <v>7854</v>
      </c>
      <c r="Q206" s="22">
        <v>0</v>
      </c>
      <c r="R206" s="22" t="s">
        <v>7854</v>
      </c>
      <c r="S206" s="24">
        <v>0</v>
      </c>
      <c r="T206" s="24" t="s">
        <v>7854</v>
      </c>
      <c r="U206" t="s">
        <v>1501</v>
      </c>
    </row>
    <row r="207" spans="1:21" x14ac:dyDescent="0.25">
      <c r="A207">
        <v>209</v>
      </c>
      <c r="B207">
        <v>24270</v>
      </c>
      <c r="C207" t="s">
        <v>1502</v>
      </c>
      <c r="D207" t="s">
        <v>7020</v>
      </c>
      <c r="E207" t="s">
        <v>1505</v>
      </c>
      <c r="F207" t="s">
        <v>53</v>
      </c>
      <c r="G207" t="s">
        <v>1506</v>
      </c>
      <c r="H207" t="s">
        <v>43</v>
      </c>
      <c r="I207" s="12">
        <v>2348162725569</v>
      </c>
      <c r="J207" t="s">
        <v>31</v>
      </c>
      <c r="K207" t="s">
        <v>7879</v>
      </c>
      <c r="L207" t="s">
        <v>7893</v>
      </c>
      <c r="M207" t="s">
        <v>46</v>
      </c>
      <c r="N207" t="s">
        <v>33</v>
      </c>
      <c r="O207" s="17">
        <v>195000</v>
      </c>
      <c r="P207" s="17" t="s">
        <v>7854</v>
      </c>
      <c r="Q207" s="22">
        <v>0</v>
      </c>
      <c r="R207" s="22" t="s">
        <v>7854</v>
      </c>
      <c r="S207" s="24">
        <v>0</v>
      </c>
      <c r="T207" s="24" t="s">
        <v>7854</v>
      </c>
      <c r="U207" t="s">
        <v>1507</v>
      </c>
    </row>
    <row r="208" spans="1:21" x14ac:dyDescent="0.25">
      <c r="A208">
        <v>210</v>
      </c>
      <c r="B208">
        <v>18586</v>
      </c>
      <c r="C208" t="s">
        <v>1508</v>
      </c>
      <c r="D208" t="s">
        <v>7021</v>
      </c>
      <c r="E208" t="s">
        <v>1511</v>
      </c>
      <c r="F208" t="s">
        <v>53</v>
      </c>
      <c r="G208" t="s">
        <v>1512</v>
      </c>
      <c r="H208" t="s">
        <v>765</v>
      </c>
      <c r="I208" s="12">
        <v>23278767090</v>
      </c>
      <c r="J208" t="s">
        <v>31</v>
      </c>
      <c r="K208" t="s">
        <v>7881</v>
      </c>
      <c r="L208" t="s">
        <v>7893</v>
      </c>
      <c r="M208" t="s">
        <v>46</v>
      </c>
      <c r="N208" t="s">
        <v>130</v>
      </c>
      <c r="O208" s="17" t="s">
        <v>7854</v>
      </c>
      <c r="P208" s="17">
        <v>425</v>
      </c>
      <c r="Q208" s="22" t="s">
        <v>7854</v>
      </c>
      <c r="R208" s="22">
        <v>0</v>
      </c>
      <c r="S208" s="24" t="s">
        <v>7854</v>
      </c>
      <c r="T208" s="24">
        <v>0</v>
      </c>
      <c r="U208" t="s">
        <v>1513</v>
      </c>
    </row>
    <row r="209" spans="1:21" x14ac:dyDescent="0.25">
      <c r="A209">
        <v>211</v>
      </c>
      <c r="B209">
        <v>19508</v>
      </c>
      <c r="C209" t="s">
        <v>1514</v>
      </c>
      <c r="D209" t="s">
        <v>7022</v>
      </c>
      <c r="E209" t="s">
        <v>1517</v>
      </c>
      <c r="F209" t="s">
        <v>53</v>
      </c>
      <c r="G209" t="s">
        <v>1518</v>
      </c>
      <c r="H209" t="s">
        <v>43</v>
      </c>
      <c r="I209" s="12">
        <v>2347030032757</v>
      </c>
      <c r="J209" t="s">
        <v>31</v>
      </c>
      <c r="K209" t="s">
        <v>7881</v>
      </c>
      <c r="L209" t="s">
        <v>7981</v>
      </c>
      <c r="M209" t="s">
        <v>87</v>
      </c>
      <c r="N209" t="s">
        <v>33</v>
      </c>
      <c r="O209" s="17">
        <v>552500</v>
      </c>
      <c r="P209" s="17" t="s">
        <v>7854</v>
      </c>
      <c r="Q209" s="22">
        <v>0</v>
      </c>
      <c r="R209" s="22" t="s">
        <v>7854</v>
      </c>
      <c r="S209" s="24">
        <v>0</v>
      </c>
      <c r="T209" s="24" t="s">
        <v>7854</v>
      </c>
      <c r="U209" t="s">
        <v>1519</v>
      </c>
    </row>
    <row r="210" spans="1:21" x14ac:dyDescent="0.25">
      <c r="A210">
        <v>213</v>
      </c>
      <c r="B210">
        <v>18159</v>
      </c>
      <c r="C210" t="s">
        <v>1522</v>
      </c>
      <c r="D210" t="s">
        <v>7023</v>
      </c>
      <c r="E210" t="s">
        <v>1525</v>
      </c>
      <c r="F210" t="s">
        <v>53</v>
      </c>
      <c r="G210" t="s">
        <v>1526</v>
      </c>
      <c r="H210" t="s">
        <v>765</v>
      </c>
      <c r="I210" s="12">
        <v>23231010730</v>
      </c>
      <c r="J210" t="s">
        <v>31</v>
      </c>
      <c r="K210" t="s">
        <v>7881</v>
      </c>
      <c r="L210" t="s">
        <v>7893</v>
      </c>
      <c r="M210" t="s">
        <v>46</v>
      </c>
      <c r="N210" t="s">
        <v>130</v>
      </c>
      <c r="O210" s="17" t="s">
        <v>7854</v>
      </c>
      <c r="P210" s="17">
        <v>425</v>
      </c>
      <c r="Q210" s="22" t="s">
        <v>7854</v>
      </c>
      <c r="R210" s="22">
        <v>0</v>
      </c>
      <c r="S210" s="24" t="s">
        <v>7854</v>
      </c>
      <c r="T210" s="24">
        <v>0</v>
      </c>
      <c r="U210" t="s">
        <v>1527</v>
      </c>
    </row>
    <row r="211" spans="1:21" x14ac:dyDescent="0.25">
      <c r="A211">
        <v>214</v>
      </c>
      <c r="B211">
        <v>20680</v>
      </c>
      <c r="C211" t="s">
        <v>1528</v>
      </c>
      <c r="D211" t="s">
        <v>7024</v>
      </c>
      <c r="E211" t="s">
        <v>1532</v>
      </c>
      <c r="F211" t="s">
        <v>28</v>
      </c>
      <c r="G211" t="s">
        <v>682</v>
      </c>
      <c r="H211" t="s">
        <v>453</v>
      </c>
      <c r="I211" s="13" t="s">
        <v>1533</v>
      </c>
      <c r="J211" t="s">
        <v>31</v>
      </c>
      <c r="K211" t="s">
        <v>7879</v>
      </c>
      <c r="L211" t="s">
        <v>8028</v>
      </c>
      <c r="M211" t="s">
        <v>455</v>
      </c>
      <c r="N211" t="s">
        <v>130</v>
      </c>
      <c r="O211" s="17" t="s">
        <v>7854</v>
      </c>
      <c r="P211" s="17">
        <v>150</v>
      </c>
      <c r="Q211" s="22" t="s">
        <v>7854</v>
      </c>
      <c r="R211" s="22">
        <v>0</v>
      </c>
      <c r="S211" s="24" t="s">
        <v>7854</v>
      </c>
      <c r="T211" s="24">
        <v>0</v>
      </c>
      <c r="U211" t="s">
        <v>1534</v>
      </c>
    </row>
    <row r="212" spans="1:21" x14ac:dyDescent="0.25">
      <c r="A212">
        <v>215</v>
      </c>
      <c r="B212">
        <v>24171</v>
      </c>
      <c r="C212" t="s">
        <v>1535</v>
      </c>
      <c r="D212" t="s">
        <v>7025</v>
      </c>
      <c r="E212" t="s">
        <v>1539</v>
      </c>
      <c r="F212" t="s">
        <v>28</v>
      </c>
      <c r="G212" t="s">
        <v>1540</v>
      </c>
      <c r="H212" t="s">
        <v>43</v>
      </c>
      <c r="I212" s="13" t="s">
        <v>1541</v>
      </c>
      <c r="J212" t="s">
        <v>31</v>
      </c>
      <c r="K212" t="s">
        <v>7879</v>
      </c>
      <c r="L212" t="s">
        <v>7940</v>
      </c>
      <c r="M212" t="s">
        <v>63</v>
      </c>
      <c r="N212" t="s">
        <v>33</v>
      </c>
      <c r="O212" s="17">
        <v>195000</v>
      </c>
      <c r="P212" s="17" t="s">
        <v>7854</v>
      </c>
      <c r="Q212" s="22">
        <v>0</v>
      </c>
      <c r="R212" s="22" t="s">
        <v>7854</v>
      </c>
      <c r="S212" s="24">
        <v>0</v>
      </c>
      <c r="T212" s="24" t="s">
        <v>7854</v>
      </c>
      <c r="U212" t="s">
        <v>1542</v>
      </c>
    </row>
    <row r="213" spans="1:21" x14ac:dyDescent="0.25">
      <c r="A213">
        <v>216</v>
      </c>
      <c r="B213">
        <v>9989</v>
      </c>
      <c r="C213" t="s">
        <v>1543</v>
      </c>
      <c r="D213" t="s">
        <v>7026</v>
      </c>
      <c r="E213" t="s">
        <v>7945</v>
      </c>
      <c r="F213" t="s">
        <v>53</v>
      </c>
      <c r="G213" t="s">
        <v>1547</v>
      </c>
      <c r="H213" t="s">
        <v>43</v>
      </c>
      <c r="I213" s="12">
        <v>8038928987</v>
      </c>
      <c r="J213" t="s">
        <v>31</v>
      </c>
      <c r="K213" t="s">
        <v>7886</v>
      </c>
      <c r="L213" t="s">
        <v>7940</v>
      </c>
      <c r="M213" t="s">
        <v>46</v>
      </c>
      <c r="N213" t="s">
        <v>33</v>
      </c>
      <c r="O213" s="17">
        <v>812500</v>
      </c>
      <c r="P213" s="17" t="s">
        <v>7854</v>
      </c>
      <c r="Q213" s="22">
        <v>0</v>
      </c>
      <c r="R213" s="22" t="s">
        <v>7854</v>
      </c>
      <c r="S213" s="24">
        <v>162500</v>
      </c>
      <c r="T213" s="24" t="s">
        <v>7854</v>
      </c>
      <c r="U213" t="s">
        <v>1548</v>
      </c>
    </row>
    <row r="214" spans="1:21" x14ac:dyDescent="0.25">
      <c r="A214">
        <v>217</v>
      </c>
      <c r="B214">
        <v>19653</v>
      </c>
      <c r="C214" t="s">
        <v>1549</v>
      </c>
      <c r="D214" t="s">
        <v>7027</v>
      </c>
      <c r="E214" t="s">
        <v>1553</v>
      </c>
      <c r="F214" t="s">
        <v>28</v>
      </c>
      <c r="G214" t="s">
        <v>1554</v>
      </c>
      <c r="H214" t="s">
        <v>43</v>
      </c>
      <c r="I214" s="13" t="s">
        <v>1555</v>
      </c>
      <c r="J214" t="s">
        <v>31</v>
      </c>
      <c r="K214" t="s">
        <v>7881</v>
      </c>
      <c r="L214" t="s">
        <v>7981</v>
      </c>
      <c r="M214" t="s">
        <v>87</v>
      </c>
      <c r="N214" t="s">
        <v>33</v>
      </c>
      <c r="O214" s="17">
        <v>552500</v>
      </c>
      <c r="P214" s="17" t="s">
        <v>7854</v>
      </c>
      <c r="Q214" s="22">
        <v>0</v>
      </c>
      <c r="R214" s="22" t="s">
        <v>7854</v>
      </c>
      <c r="S214" s="24">
        <v>0</v>
      </c>
      <c r="T214" s="24" t="s">
        <v>7854</v>
      </c>
      <c r="U214" t="s">
        <v>1556</v>
      </c>
    </row>
    <row r="215" spans="1:21" x14ac:dyDescent="0.25">
      <c r="A215">
        <v>218</v>
      </c>
      <c r="B215">
        <v>4981</v>
      </c>
      <c r="C215" t="s">
        <v>1557</v>
      </c>
      <c r="D215" t="s">
        <v>7028</v>
      </c>
      <c r="E215" t="s">
        <v>1561</v>
      </c>
      <c r="F215" t="s">
        <v>28</v>
      </c>
      <c r="G215" t="s">
        <v>1562</v>
      </c>
      <c r="H215" t="s">
        <v>43</v>
      </c>
      <c r="I215" s="13" t="s">
        <v>1563</v>
      </c>
      <c r="J215" t="s">
        <v>31</v>
      </c>
      <c r="K215" t="s">
        <v>7886</v>
      </c>
      <c r="L215" t="s">
        <v>7981</v>
      </c>
      <c r="M215" t="s">
        <v>46</v>
      </c>
      <c r="N215" t="s">
        <v>33</v>
      </c>
      <c r="O215" s="17">
        <v>812500</v>
      </c>
      <c r="P215" s="17" t="s">
        <v>7854</v>
      </c>
      <c r="Q215" s="22">
        <v>0</v>
      </c>
      <c r="R215" s="22" t="s">
        <v>7854</v>
      </c>
      <c r="S215" s="24">
        <v>162500</v>
      </c>
      <c r="T215" s="24" t="s">
        <v>7854</v>
      </c>
      <c r="U215" t="s">
        <v>1564</v>
      </c>
    </row>
    <row r="216" spans="1:21" x14ac:dyDescent="0.25">
      <c r="A216">
        <v>219</v>
      </c>
      <c r="B216">
        <v>24293</v>
      </c>
      <c r="C216" t="s">
        <v>1565</v>
      </c>
      <c r="D216" t="s">
        <v>7029</v>
      </c>
      <c r="E216" t="s">
        <v>1568</v>
      </c>
      <c r="F216" t="s">
        <v>28</v>
      </c>
      <c r="G216" t="s">
        <v>1569</v>
      </c>
      <c r="H216" t="s">
        <v>43</v>
      </c>
      <c r="I216" s="13" t="s">
        <v>1570</v>
      </c>
      <c r="J216" t="s">
        <v>31</v>
      </c>
      <c r="K216" t="s">
        <v>7879</v>
      </c>
      <c r="L216" t="s">
        <v>7893</v>
      </c>
      <c r="M216" t="s">
        <v>46</v>
      </c>
      <c r="N216" t="s">
        <v>33</v>
      </c>
      <c r="O216" s="17">
        <v>195000</v>
      </c>
      <c r="P216" s="17" t="s">
        <v>7854</v>
      </c>
      <c r="Q216" s="22">
        <v>0</v>
      </c>
      <c r="R216" s="22" t="s">
        <v>7854</v>
      </c>
      <c r="S216" s="24">
        <v>0</v>
      </c>
      <c r="T216" s="24" t="s">
        <v>7854</v>
      </c>
      <c r="U216" t="s">
        <v>1571</v>
      </c>
    </row>
    <row r="217" spans="1:21" x14ac:dyDescent="0.25">
      <c r="A217">
        <v>220</v>
      </c>
      <c r="B217">
        <v>19963</v>
      </c>
      <c r="C217" t="s">
        <v>1572</v>
      </c>
      <c r="D217" t="s">
        <v>7030</v>
      </c>
      <c r="E217" t="s">
        <v>1576</v>
      </c>
      <c r="F217" t="s">
        <v>53</v>
      </c>
      <c r="G217" t="s">
        <v>1577</v>
      </c>
      <c r="H217" t="s">
        <v>43</v>
      </c>
      <c r="I217" s="13" t="s">
        <v>1578</v>
      </c>
      <c r="J217" t="s">
        <v>45</v>
      </c>
      <c r="K217" t="s">
        <v>7881</v>
      </c>
      <c r="L217" t="s">
        <v>7981</v>
      </c>
      <c r="M217" t="s">
        <v>46</v>
      </c>
      <c r="N217" t="s">
        <v>33</v>
      </c>
      <c r="O217" s="17">
        <v>552500</v>
      </c>
      <c r="P217" s="17" t="s">
        <v>7854</v>
      </c>
      <c r="Q217" s="22">
        <v>0</v>
      </c>
      <c r="R217" s="22" t="s">
        <v>7854</v>
      </c>
      <c r="S217" s="24">
        <v>0</v>
      </c>
      <c r="T217" s="24" t="s">
        <v>7854</v>
      </c>
      <c r="U217" t="s">
        <v>1579</v>
      </c>
    </row>
    <row r="218" spans="1:21" x14ac:dyDescent="0.25">
      <c r="A218">
        <v>221</v>
      </c>
      <c r="B218">
        <v>11224</v>
      </c>
      <c r="C218" t="s">
        <v>1580</v>
      </c>
      <c r="D218" t="s">
        <v>7031</v>
      </c>
      <c r="E218" t="s">
        <v>1584</v>
      </c>
      <c r="F218" t="s">
        <v>28</v>
      </c>
      <c r="G218" t="s">
        <v>1585</v>
      </c>
      <c r="H218" t="s">
        <v>43</v>
      </c>
      <c r="I218" s="12">
        <v>9091728069</v>
      </c>
      <c r="J218" t="s">
        <v>45</v>
      </c>
      <c r="K218" t="s">
        <v>7881</v>
      </c>
      <c r="L218" t="s">
        <v>7981</v>
      </c>
      <c r="M218" t="s">
        <v>46</v>
      </c>
      <c r="N218" t="s">
        <v>33</v>
      </c>
      <c r="O218" s="17">
        <v>552500</v>
      </c>
      <c r="P218" s="17" t="s">
        <v>7854</v>
      </c>
      <c r="Q218" s="22">
        <v>0</v>
      </c>
      <c r="R218" s="22" t="s">
        <v>7854</v>
      </c>
      <c r="S218" s="24">
        <v>0</v>
      </c>
      <c r="T218" s="24" t="s">
        <v>7854</v>
      </c>
      <c r="U218" t="s">
        <v>1586</v>
      </c>
    </row>
    <row r="219" spans="1:21" x14ac:dyDescent="0.25">
      <c r="A219">
        <v>222</v>
      </c>
      <c r="B219">
        <v>24212</v>
      </c>
      <c r="C219" t="s">
        <v>1587</v>
      </c>
      <c r="D219" t="s">
        <v>7032</v>
      </c>
      <c r="E219" t="s">
        <v>1590</v>
      </c>
      <c r="F219" t="s">
        <v>53</v>
      </c>
      <c r="G219" t="s">
        <v>1591</v>
      </c>
      <c r="H219" t="s">
        <v>43</v>
      </c>
      <c r="I219" s="13" t="s">
        <v>1592</v>
      </c>
      <c r="J219" t="s">
        <v>31</v>
      </c>
      <c r="K219" t="s">
        <v>7879</v>
      </c>
      <c r="L219" t="s">
        <v>8028</v>
      </c>
      <c r="M219" t="s">
        <v>63</v>
      </c>
      <c r="N219" t="s">
        <v>33</v>
      </c>
      <c r="O219" s="17">
        <v>195000</v>
      </c>
      <c r="P219" s="17" t="s">
        <v>7854</v>
      </c>
      <c r="Q219" s="22">
        <v>0</v>
      </c>
      <c r="R219" s="22" t="s">
        <v>7854</v>
      </c>
      <c r="S219" s="24">
        <v>0</v>
      </c>
      <c r="T219" s="24" t="s">
        <v>7854</v>
      </c>
      <c r="U219" t="s">
        <v>1593</v>
      </c>
    </row>
    <row r="220" spans="1:21" x14ac:dyDescent="0.25">
      <c r="A220">
        <v>223</v>
      </c>
      <c r="B220">
        <v>23971</v>
      </c>
      <c r="C220" t="s">
        <v>1594</v>
      </c>
      <c r="D220" t="s">
        <v>7033</v>
      </c>
      <c r="E220" t="s">
        <v>1598</v>
      </c>
      <c r="F220" t="s">
        <v>28</v>
      </c>
      <c r="G220" t="s">
        <v>1599</v>
      </c>
      <c r="H220" t="s">
        <v>453</v>
      </c>
      <c r="I220" s="13" t="s">
        <v>1600</v>
      </c>
      <c r="J220" t="s">
        <v>31</v>
      </c>
      <c r="K220" t="s">
        <v>7879</v>
      </c>
      <c r="L220" t="s">
        <v>7981</v>
      </c>
      <c r="M220" t="s">
        <v>455</v>
      </c>
      <c r="N220" t="s">
        <v>130</v>
      </c>
      <c r="O220" s="17" t="s">
        <v>7854</v>
      </c>
      <c r="P220" s="17">
        <v>150</v>
      </c>
      <c r="Q220" s="22" t="s">
        <v>7854</v>
      </c>
      <c r="R220" s="22">
        <v>0</v>
      </c>
      <c r="S220" s="24" t="s">
        <v>7854</v>
      </c>
      <c r="T220" s="24">
        <v>0</v>
      </c>
      <c r="U220" t="s">
        <v>1601</v>
      </c>
    </row>
    <row r="221" spans="1:21" x14ac:dyDescent="0.25">
      <c r="A221">
        <v>224</v>
      </c>
      <c r="B221">
        <v>11097</v>
      </c>
      <c r="C221" t="s">
        <v>1602</v>
      </c>
      <c r="D221" t="s">
        <v>7034</v>
      </c>
      <c r="E221" t="s">
        <v>1603</v>
      </c>
      <c r="F221" t="s">
        <v>28</v>
      </c>
      <c r="G221" t="s">
        <v>1604</v>
      </c>
      <c r="H221" t="s">
        <v>43</v>
      </c>
      <c r="I221" s="12">
        <v>8065864605</v>
      </c>
      <c r="J221" t="s">
        <v>45</v>
      </c>
      <c r="K221" t="s">
        <v>7881</v>
      </c>
      <c r="L221" t="s">
        <v>7981</v>
      </c>
      <c r="M221" t="s">
        <v>46</v>
      </c>
      <c r="N221" t="s">
        <v>33</v>
      </c>
      <c r="O221" s="17">
        <v>552500</v>
      </c>
      <c r="P221" s="17" t="s">
        <v>7854</v>
      </c>
      <c r="Q221" s="22">
        <v>0</v>
      </c>
      <c r="R221" s="22" t="s">
        <v>7854</v>
      </c>
      <c r="S221" s="24">
        <v>0</v>
      </c>
      <c r="T221" s="24" t="s">
        <v>7854</v>
      </c>
      <c r="U221" t="s">
        <v>1605</v>
      </c>
    </row>
    <row r="222" spans="1:21" x14ac:dyDescent="0.25">
      <c r="A222">
        <v>225</v>
      </c>
      <c r="B222">
        <v>18683</v>
      </c>
      <c r="C222" t="s">
        <v>1606</v>
      </c>
      <c r="D222" t="s">
        <v>7035</v>
      </c>
      <c r="E222" t="s">
        <v>1610</v>
      </c>
      <c r="F222" t="s">
        <v>28</v>
      </c>
      <c r="G222" t="s">
        <v>1611</v>
      </c>
      <c r="H222" t="s">
        <v>43</v>
      </c>
      <c r="I222" s="13" t="s">
        <v>1612</v>
      </c>
      <c r="J222" t="s">
        <v>45</v>
      </c>
      <c r="K222" t="s">
        <v>7881</v>
      </c>
      <c r="L222" t="s">
        <v>7981</v>
      </c>
      <c r="M222" t="s">
        <v>87</v>
      </c>
      <c r="N222" t="s">
        <v>33</v>
      </c>
      <c r="O222" s="17">
        <v>552500</v>
      </c>
      <c r="P222" s="17" t="s">
        <v>7854</v>
      </c>
      <c r="Q222" s="22">
        <v>0</v>
      </c>
      <c r="R222" s="22" t="s">
        <v>7854</v>
      </c>
      <c r="S222" s="24">
        <v>0</v>
      </c>
      <c r="T222" s="24" t="s">
        <v>7854</v>
      </c>
      <c r="U222" t="s">
        <v>1613</v>
      </c>
    </row>
    <row r="223" spans="1:21" x14ac:dyDescent="0.25">
      <c r="A223">
        <v>226</v>
      </c>
      <c r="B223">
        <v>24274</v>
      </c>
      <c r="C223" t="s">
        <v>1614</v>
      </c>
      <c r="D223" t="s">
        <v>7036</v>
      </c>
      <c r="E223" t="s">
        <v>1616</v>
      </c>
      <c r="F223" t="s">
        <v>28</v>
      </c>
      <c r="G223" t="s">
        <v>1617</v>
      </c>
      <c r="H223" t="s">
        <v>43</v>
      </c>
      <c r="I223" s="13" t="s">
        <v>1618</v>
      </c>
      <c r="J223" t="s">
        <v>31</v>
      </c>
      <c r="K223" t="s">
        <v>7879</v>
      </c>
      <c r="L223" t="s">
        <v>7893</v>
      </c>
      <c r="M223" t="s">
        <v>46</v>
      </c>
      <c r="N223" t="s">
        <v>33</v>
      </c>
      <c r="O223" s="17">
        <v>195000</v>
      </c>
      <c r="P223" s="17" t="s">
        <v>7854</v>
      </c>
      <c r="Q223" s="22">
        <v>0</v>
      </c>
      <c r="R223" s="22" t="s">
        <v>7854</v>
      </c>
      <c r="S223" s="24">
        <v>0</v>
      </c>
      <c r="T223" s="24" t="s">
        <v>7854</v>
      </c>
      <c r="U223" t="s">
        <v>1619</v>
      </c>
    </row>
    <row r="224" spans="1:21" x14ac:dyDescent="0.25">
      <c r="A224">
        <v>227</v>
      </c>
      <c r="B224">
        <v>19756</v>
      </c>
      <c r="C224" t="s">
        <v>1620</v>
      </c>
      <c r="D224" t="s">
        <v>7037</v>
      </c>
      <c r="E224" t="s">
        <v>1623</v>
      </c>
      <c r="F224" t="s">
        <v>53</v>
      </c>
      <c r="G224" t="s">
        <v>1624</v>
      </c>
      <c r="H224" t="s">
        <v>453</v>
      </c>
      <c r="I224" s="13" t="s">
        <v>1625</v>
      </c>
      <c r="J224" t="s">
        <v>45</v>
      </c>
      <c r="K224" t="s">
        <v>7881</v>
      </c>
      <c r="L224" t="s">
        <v>7893</v>
      </c>
      <c r="M224" t="s">
        <v>455</v>
      </c>
      <c r="N224" t="s">
        <v>130</v>
      </c>
      <c r="O224" s="17" t="s">
        <v>7854</v>
      </c>
      <c r="P224" s="17">
        <v>425</v>
      </c>
      <c r="Q224" s="22" t="s">
        <v>7854</v>
      </c>
      <c r="R224" s="22">
        <v>0</v>
      </c>
      <c r="S224" s="24" t="s">
        <v>7854</v>
      </c>
      <c r="T224" s="24">
        <v>0</v>
      </c>
      <c r="U224" t="s">
        <v>1626</v>
      </c>
    </row>
    <row r="225" spans="1:21" x14ac:dyDescent="0.25">
      <c r="A225">
        <v>228</v>
      </c>
      <c r="B225">
        <v>3650</v>
      </c>
      <c r="C225" t="s">
        <v>1629</v>
      </c>
      <c r="D225" t="s">
        <v>7038</v>
      </c>
      <c r="E225" t="s">
        <v>1632</v>
      </c>
      <c r="F225" t="s">
        <v>53</v>
      </c>
      <c r="G225" t="s">
        <v>1633</v>
      </c>
      <c r="H225" t="s">
        <v>43</v>
      </c>
      <c r="I225" s="13" t="s">
        <v>1634</v>
      </c>
      <c r="J225" t="s">
        <v>31</v>
      </c>
      <c r="K225" t="s">
        <v>7886</v>
      </c>
      <c r="L225" t="s">
        <v>7981</v>
      </c>
      <c r="M225" t="s">
        <v>455</v>
      </c>
      <c r="N225" t="s">
        <v>33</v>
      </c>
      <c r="O225" s="17">
        <v>812500</v>
      </c>
      <c r="P225" s="17" t="s">
        <v>7854</v>
      </c>
      <c r="Q225" s="22">
        <v>0</v>
      </c>
      <c r="R225" s="22" t="s">
        <v>7854</v>
      </c>
      <c r="S225" s="24">
        <v>162500</v>
      </c>
      <c r="T225" s="24" t="s">
        <v>7854</v>
      </c>
      <c r="U225" t="s">
        <v>1635</v>
      </c>
    </row>
    <row r="226" spans="1:21" x14ac:dyDescent="0.25">
      <c r="A226">
        <v>229</v>
      </c>
      <c r="B226">
        <v>24130</v>
      </c>
      <c r="C226" t="s">
        <v>1636</v>
      </c>
      <c r="D226" t="s">
        <v>7039</v>
      </c>
      <c r="E226" t="s">
        <v>1639</v>
      </c>
      <c r="F226" t="s">
        <v>53</v>
      </c>
      <c r="G226" t="s">
        <v>1640</v>
      </c>
      <c r="H226" t="s">
        <v>43</v>
      </c>
      <c r="I226" s="13" t="s">
        <v>1641</v>
      </c>
      <c r="J226" t="s">
        <v>31</v>
      </c>
      <c r="K226" t="s">
        <v>7879</v>
      </c>
      <c r="L226" t="s">
        <v>7940</v>
      </c>
      <c r="M226" t="s">
        <v>46</v>
      </c>
      <c r="N226" t="s">
        <v>33</v>
      </c>
      <c r="O226" s="17">
        <v>195000</v>
      </c>
      <c r="P226" s="17" t="s">
        <v>7854</v>
      </c>
      <c r="Q226" s="22">
        <v>0</v>
      </c>
      <c r="R226" s="22" t="s">
        <v>7854</v>
      </c>
      <c r="S226" s="24">
        <v>0</v>
      </c>
      <c r="T226" s="24" t="s">
        <v>7854</v>
      </c>
      <c r="U226" t="s">
        <v>1642</v>
      </c>
    </row>
    <row r="227" spans="1:21" x14ac:dyDescent="0.25">
      <c r="A227">
        <v>230</v>
      </c>
      <c r="B227">
        <v>24261</v>
      </c>
      <c r="C227" t="s">
        <v>1643</v>
      </c>
      <c r="D227" t="s">
        <v>7040</v>
      </c>
      <c r="E227" t="s">
        <v>1646</v>
      </c>
      <c r="F227" t="s">
        <v>28</v>
      </c>
      <c r="G227" t="s">
        <v>1647</v>
      </c>
      <c r="H227" t="s">
        <v>43</v>
      </c>
      <c r="I227" s="13" t="s">
        <v>1648</v>
      </c>
      <c r="J227" t="s">
        <v>31</v>
      </c>
      <c r="K227" t="s">
        <v>7879</v>
      </c>
      <c r="L227" t="s">
        <v>7940</v>
      </c>
      <c r="M227" t="s">
        <v>46</v>
      </c>
      <c r="N227" t="s">
        <v>33</v>
      </c>
      <c r="O227" s="17">
        <v>195000</v>
      </c>
      <c r="P227" s="17" t="s">
        <v>7854</v>
      </c>
      <c r="Q227" s="22">
        <v>0</v>
      </c>
      <c r="R227" s="22" t="s">
        <v>7854</v>
      </c>
      <c r="S227" s="24">
        <v>0</v>
      </c>
      <c r="T227" s="24" t="s">
        <v>7854</v>
      </c>
      <c r="U227" t="s">
        <v>1649</v>
      </c>
    </row>
    <row r="228" spans="1:21" x14ac:dyDescent="0.25">
      <c r="A228">
        <v>231</v>
      </c>
      <c r="B228">
        <v>23443</v>
      </c>
      <c r="C228" t="s">
        <v>1650</v>
      </c>
      <c r="D228" t="s">
        <v>7041</v>
      </c>
      <c r="E228" t="s">
        <v>1654</v>
      </c>
      <c r="F228" t="s">
        <v>28</v>
      </c>
      <c r="G228" t="s">
        <v>1655</v>
      </c>
      <c r="H228" t="s">
        <v>453</v>
      </c>
      <c r="I228" s="13" t="s">
        <v>1656</v>
      </c>
      <c r="J228" t="s">
        <v>31</v>
      </c>
      <c r="K228" t="s">
        <v>7879</v>
      </c>
      <c r="L228" t="s">
        <v>7893</v>
      </c>
      <c r="M228" t="s">
        <v>455</v>
      </c>
      <c r="N228" t="s">
        <v>130</v>
      </c>
      <c r="O228" s="17" t="s">
        <v>7854</v>
      </c>
      <c r="P228" s="17">
        <v>150</v>
      </c>
      <c r="Q228" s="22" t="s">
        <v>7854</v>
      </c>
      <c r="R228" s="22">
        <v>0</v>
      </c>
      <c r="S228" s="24" t="s">
        <v>7854</v>
      </c>
      <c r="T228" s="24">
        <v>0</v>
      </c>
      <c r="U228" t="s">
        <v>1657</v>
      </c>
    </row>
    <row r="229" spans="1:21" x14ac:dyDescent="0.25">
      <c r="A229">
        <v>232</v>
      </c>
      <c r="B229">
        <v>24118</v>
      </c>
      <c r="C229" t="s">
        <v>1658</v>
      </c>
      <c r="D229" t="s">
        <v>7042</v>
      </c>
      <c r="E229" t="s">
        <v>1662</v>
      </c>
      <c r="F229" t="s">
        <v>28</v>
      </c>
      <c r="G229" t="s">
        <v>1663</v>
      </c>
      <c r="H229" t="s">
        <v>43</v>
      </c>
      <c r="I229" s="13" t="s">
        <v>1664</v>
      </c>
      <c r="J229" t="s">
        <v>31</v>
      </c>
      <c r="K229" t="s">
        <v>7879</v>
      </c>
      <c r="L229" t="s">
        <v>8028</v>
      </c>
      <c r="M229" t="s">
        <v>87</v>
      </c>
      <c r="N229" t="s">
        <v>33</v>
      </c>
      <c r="O229" s="17">
        <v>195000</v>
      </c>
      <c r="P229" s="17" t="s">
        <v>7854</v>
      </c>
      <c r="Q229" s="22">
        <v>0</v>
      </c>
      <c r="R229" s="22" t="s">
        <v>7854</v>
      </c>
      <c r="S229" s="24">
        <v>0</v>
      </c>
      <c r="T229" s="24" t="s">
        <v>7854</v>
      </c>
      <c r="U229" t="s">
        <v>1665</v>
      </c>
    </row>
    <row r="230" spans="1:21" x14ac:dyDescent="0.25">
      <c r="A230">
        <v>233</v>
      </c>
      <c r="B230">
        <v>23997</v>
      </c>
      <c r="C230" t="s">
        <v>1666</v>
      </c>
      <c r="D230" t="s">
        <v>7043</v>
      </c>
      <c r="E230" t="s">
        <v>1669</v>
      </c>
      <c r="F230" t="s">
        <v>53</v>
      </c>
      <c r="G230" t="s">
        <v>1152</v>
      </c>
      <c r="H230" t="s">
        <v>30</v>
      </c>
      <c r="I230" s="12">
        <v>2203703275</v>
      </c>
      <c r="J230" t="s">
        <v>31</v>
      </c>
      <c r="K230" t="s">
        <v>7879</v>
      </c>
      <c r="L230" t="s">
        <v>7940</v>
      </c>
      <c r="M230" t="s">
        <v>32</v>
      </c>
      <c r="N230" t="s">
        <v>33</v>
      </c>
      <c r="O230" s="17">
        <v>195000</v>
      </c>
      <c r="P230" s="17" t="s">
        <v>7854</v>
      </c>
      <c r="Q230" s="22">
        <v>0</v>
      </c>
      <c r="R230" s="22" t="s">
        <v>7854</v>
      </c>
      <c r="S230" s="24">
        <v>0</v>
      </c>
      <c r="T230" s="24" t="s">
        <v>7854</v>
      </c>
      <c r="U230" t="s">
        <v>1670</v>
      </c>
    </row>
    <row r="231" spans="1:21" x14ac:dyDescent="0.25">
      <c r="A231">
        <v>234</v>
      </c>
      <c r="B231">
        <v>20937</v>
      </c>
      <c r="C231" t="s">
        <v>1671</v>
      </c>
      <c r="D231" t="s">
        <v>7044</v>
      </c>
      <c r="E231" t="s">
        <v>1674</v>
      </c>
      <c r="F231" t="s">
        <v>28</v>
      </c>
      <c r="G231" t="s">
        <v>1675</v>
      </c>
      <c r="H231" t="s">
        <v>43</v>
      </c>
      <c r="I231" s="13" t="s">
        <v>1676</v>
      </c>
      <c r="J231" t="s">
        <v>31</v>
      </c>
      <c r="K231" t="s">
        <v>7881</v>
      </c>
      <c r="L231" t="s">
        <v>7981</v>
      </c>
      <c r="M231" t="s">
        <v>63</v>
      </c>
      <c r="N231" t="s">
        <v>33</v>
      </c>
      <c r="O231" s="17">
        <v>552500</v>
      </c>
      <c r="P231" s="17" t="s">
        <v>7854</v>
      </c>
      <c r="Q231" s="22">
        <v>0</v>
      </c>
      <c r="R231" s="22" t="s">
        <v>7854</v>
      </c>
      <c r="S231" s="24">
        <v>0</v>
      </c>
      <c r="T231" s="24" t="s">
        <v>7854</v>
      </c>
      <c r="U231" t="s">
        <v>1677</v>
      </c>
    </row>
    <row r="232" spans="1:21" x14ac:dyDescent="0.25">
      <c r="A232">
        <v>235</v>
      </c>
      <c r="B232">
        <v>7090</v>
      </c>
      <c r="C232" t="s">
        <v>1678</v>
      </c>
      <c r="D232" t="s">
        <v>7045</v>
      </c>
      <c r="E232" t="s">
        <v>7989</v>
      </c>
      <c r="F232" t="s">
        <v>28</v>
      </c>
      <c r="G232" t="s">
        <v>1682</v>
      </c>
      <c r="H232" t="s">
        <v>43</v>
      </c>
      <c r="I232" s="12">
        <v>8068101671</v>
      </c>
      <c r="J232" t="s">
        <v>31</v>
      </c>
      <c r="K232" t="s">
        <v>7886</v>
      </c>
      <c r="L232" t="s">
        <v>7981</v>
      </c>
      <c r="M232" t="s">
        <v>46</v>
      </c>
      <c r="N232" t="s">
        <v>33</v>
      </c>
      <c r="O232" s="17">
        <v>812500</v>
      </c>
      <c r="P232" s="17" t="s">
        <v>7854</v>
      </c>
      <c r="Q232" s="22">
        <v>0</v>
      </c>
      <c r="R232" s="22" t="s">
        <v>7854</v>
      </c>
      <c r="S232" s="24">
        <v>162500</v>
      </c>
      <c r="T232" s="24" t="s">
        <v>7854</v>
      </c>
      <c r="U232" t="s">
        <v>1683</v>
      </c>
    </row>
    <row r="233" spans="1:21" x14ac:dyDescent="0.25">
      <c r="A233">
        <v>236</v>
      </c>
      <c r="B233">
        <v>17718</v>
      </c>
      <c r="C233" t="s">
        <v>1684</v>
      </c>
      <c r="D233" t="s">
        <v>7046</v>
      </c>
      <c r="E233" t="s">
        <v>1687</v>
      </c>
      <c r="F233" t="s">
        <v>28</v>
      </c>
      <c r="G233" t="s">
        <v>1688</v>
      </c>
      <c r="H233" t="s">
        <v>43</v>
      </c>
      <c r="I233" s="12">
        <v>8036679100</v>
      </c>
      <c r="J233" t="s">
        <v>244</v>
      </c>
      <c r="K233" t="s">
        <v>7886</v>
      </c>
      <c r="L233" t="s">
        <v>7888</v>
      </c>
      <c r="M233" t="s">
        <v>46</v>
      </c>
      <c r="N233" t="s">
        <v>33</v>
      </c>
      <c r="O233" s="17">
        <v>812500</v>
      </c>
      <c r="P233" s="17" t="s">
        <v>7854</v>
      </c>
      <c r="Q233" s="22">
        <v>0</v>
      </c>
      <c r="R233" s="22" t="s">
        <v>7854</v>
      </c>
      <c r="S233" s="24">
        <v>0</v>
      </c>
      <c r="T233" s="24" t="s">
        <v>7854</v>
      </c>
      <c r="U233" t="s">
        <v>1689</v>
      </c>
    </row>
    <row r="234" spans="1:21" x14ac:dyDescent="0.25">
      <c r="A234">
        <v>237</v>
      </c>
      <c r="B234">
        <v>24217</v>
      </c>
      <c r="C234" t="s">
        <v>1690</v>
      </c>
      <c r="D234" t="s">
        <v>7047</v>
      </c>
      <c r="E234" t="s">
        <v>1694</v>
      </c>
      <c r="F234" t="s">
        <v>28</v>
      </c>
      <c r="G234" t="s">
        <v>1695</v>
      </c>
      <c r="H234" t="s">
        <v>43</v>
      </c>
      <c r="I234" s="13" t="s">
        <v>1696</v>
      </c>
      <c r="J234" t="s">
        <v>31</v>
      </c>
      <c r="K234" t="s">
        <v>7879</v>
      </c>
      <c r="L234" t="s">
        <v>7893</v>
      </c>
      <c r="M234" t="s">
        <v>87</v>
      </c>
      <c r="N234" t="s">
        <v>33</v>
      </c>
      <c r="O234" s="17">
        <v>195000</v>
      </c>
      <c r="P234" s="17" t="s">
        <v>7854</v>
      </c>
      <c r="Q234" s="22">
        <v>0</v>
      </c>
      <c r="R234" s="22" t="s">
        <v>7854</v>
      </c>
      <c r="S234" s="24">
        <v>0</v>
      </c>
      <c r="T234" s="24" t="s">
        <v>7854</v>
      </c>
      <c r="U234" t="s">
        <v>1697</v>
      </c>
    </row>
    <row r="235" spans="1:21" x14ac:dyDescent="0.25">
      <c r="A235">
        <v>238</v>
      </c>
      <c r="B235">
        <v>8251</v>
      </c>
      <c r="C235" t="s">
        <v>1698</v>
      </c>
      <c r="D235" t="s">
        <v>7048</v>
      </c>
      <c r="E235" t="s">
        <v>1702</v>
      </c>
      <c r="F235" t="s">
        <v>28</v>
      </c>
      <c r="G235" t="s">
        <v>1703</v>
      </c>
      <c r="H235" t="s">
        <v>43</v>
      </c>
      <c r="I235" s="12">
        <v>7034654491</v>
      </c>
      <c r="J235" t="s">
        <v>244</v>
      </c>
      <c r="K235" t="s">
        <v>7886</v>
      </c>
      <c r="L235" t="s">
        <v>7981</v>
      </c>
      <c r="M235" t="s">
        <v>63</v>
      </c>
      <c r="N235" t="s">
        <v>33</v>
      </c>
      <c r="O235" s="17">
        <v>812500</v>
      </c>
      <c r="P235" s="17" t="s">
        <v>7854</v>
      </c>
      <c r="Q235" s="22">
        <v>0</v>
      </c>
      <c r="R235" s="22" t="s">
        <v>7854</v>
      </c>
      <c r="S235" s="24">
        <v>0</v>
      </c>
      <c r="T235" s="24" t="s">
        <v>7854</v>
      </c>
      <c r="U235" t="s">
        <v>1704</v>
      </c>
    </row>
    <row r="236" spans="1:21" x14ac:dyDescent="0.25">
      <c r="A236">
        <v>239</v>
      </c>
      <c r="B236">
        <v>7986</v>
      </c>
      <c r="C236" t="s">
        <v>1705</v>
      </c>
      <c r="D236" t="s">
        <v>7049</v>
      </c>
      <c r="E236" t="s">
        <v>1709</v>
      </c>
      <c r="F236" t="s">
        <v>53</v>
      </c>
      <c r="G236" t="s">
        <v>1710</v>
      </c>
      <c r="H236" t="s">
        <v>43</v>
      </c>
      <c r="I236" s="12">
        <v>2347067359355</v>
      </c>
      <c r="J236" t="s">
        <v>45</v>
      </c>
      <c r="K236" t="s">
        <v>7881</v>
      </c>
      <c r="L236" t="s">
        <v>7893</v>
      </c>
      <c r="M236" t="s">
        <v>46</v>
      </c>
      <c r="N236" t="s">
        <v>33</v>
      </c>
      <c r="O236" s="17">
        <v>552500</v>
      </c>
      <c r="P236" s="17" t="s">
        <v>7854</v>
      </c>
      <c r="Q236" s="22">
        <v>0</v>
      </c>
      <c r="R236" s="22" t="s">
        <v>7854</v>
      </c>
      <c r="S236" s="24">
        <v>0</v>
      </c>
      <c r="T236" s="24" t="s">
        <v>7854</v>
      </c>
      <c r="U236" t="s">
        <v>1711</v>
      </c>
    </row>
    <row r="237" spans="1:21" x14ac:dyDescent="0.25">
      <c r="A237">
        <v>240</v>
      </c>
      <c r="B237">
        <v>24237</v>
      </c>
      <c r="C237" t="s">
        <v>1712</v>
      </c>
      <c r="D237" t="s">
        <v>7050</v>
      </c>
      <c r="E237" t="s">
        <v>1716</v>
      </c>
      <c r="F237" t="s">
        <v>28</v>
      </c>
      <c r="G237" t="s">
        <v>1717</v>
      </c>
      <c r="H237" t="s">
        <v>453</v>
      </c>
      <c r="I237" s="13" t="s">
        <v>1718</v>
      </c>
      <c r="J237" t="s">
        <v>31</v>
      </c>
      <c r="K237" t="s">
        <v>7879</v>
      </c>
      <c r="L237" t="s">
        <v>7940</v>
      </c>
      <c r="M237" t="s">
        <v>455</v>
      </c>
      <c r="N237" t="s">
        <v>130</v>
      </c>
      <c r="O237" s="17" t="s">
        <v>7854</v>
      </c>
      <c r="P237" s="17">
        <v>150</v>
      </c>
      <c r="Q237" s="22" t="s">
        <v>7854</v>
      </c>
      <c r="R237" s="22">
        <v>0</v>
      </c>
      <c r="S237" s="24" t="s">
        <v>7854</v>
      </c>
      <c r="T237" s="24">
        <v>0</v>
      </c>
      <c r="U237" t="s">
        <v>1719</v>
      </c>
    </row>
    <row r="238" spans="1:21" x14ac:dyDescent="0.25">
      <c r="A238">
        <v>241</v>
      </c>
      <c r="B238">
        <v>24265</v>
      </c>
      <c r="C238" t="s">
        <v>1720</v>
      </c>
      <c r="D238" t="s">
        <v>7051</v>
      </c>
      <c r="E238" t="s">
        <v>1723</v>
      </c>
      <c r="F238" t="s">
        <v>28</v>
      </c>
      <c r="G238" t="s">
        <v>1724</v>
      </c>
      <c r="H238" t="s">
        <v>43</v>
      </c>
      <c r="I238" s="13" t="s">
        <v>1725</v>
      </c>
      <c r="J238" t="s">
        <v>31</v>
      </c>
      <c r="K238" t="s">
        <v>7879</v>
      </c>
      <c r="L238" t="s">
        <v>7893</v>
      </c>
      <c r="M238" t="s">
        <v>46</v>
      </c>
      <c r="N238" t="s">
        <v>33</v>
      </c>
      <c r="O238" s="17">
        <v>195000</v>
      </c>
      <c r="P238" s="17" t="s">
        <v>7854</v>
      </c>
      <c r="Q238" s="22">
        <v>0</v>
      </c>
      <c r="R238" s="22" t="s">
        <v>7854</v>
      </c>
      <c r="S238" s="24">
        <v>0</v>
      </c>
      <c r="T238" s="24" t="s">
        <v>7854</v>
      </c>
      <c r="U238" t="s">
        <v>1726</v>
      </c>
    </row>
    <row r="239" spans="1:21" x14ac:dyDescent="0.25">
      <c r="A239">
        <v>242</v>
      </c>
      <c r="B239">
        <v>24202</v>
      </c>
      <c r="C239" t="s">
        <v>1727</v>
      </c>
      <c r="D239" t="s">
        <v>7052</v>
      </c>
      <c r="E239" t="s">
        <v>1729</v>
      </c>
      <c r="F239" t="s">
        <v>28</v>
      </c>
      <c r="G239" t="s">
        <v>236</v>
      </c>
      <c r="H239" t="s">
        <v>43</v>
      </c>
      <c r="I239" s="13" t="s">
        <v>1730</v>
      </c>
      <c r="J239" t="s">
        <v>31</v>
      </c>
      <c r="K239" t="s">
        <v>7879</v>
      </c>
      <c r="L239" t="s">
        <v>7981</v>
      </c>
      <c r="M239" t="s">
        <v>46</v>
      </c>
      <c r="N239" t="s">
        <v>33</v>
      </c>
      <c r="O239" s="17">
        <v>195000</v>
      </c>
      <c r="P239" s="17" t="s">
        <v>7854</v>
      </c>
      <c r="Q239" s="22">
        <v>0</v>
      </c>
      <c r="R239" s="22" t="s">
        <v>7854</v>
      </c>
      <c r="S239" s="24">
        <v>0</v>
      </c>
      <c r="T239" s="24" t="s">
        <v>7854</v>
      </c>
      <c r="U239" t="s">
        <v>1731</v>
      </c>
    </row>
    <row r="240" spans="1:21" x14ac:dyDescent="0.25">
      <c r="A240">
        <v>243</v>
      </c>
      <c r="B240">
        <v>21037</v>
      </c>
      <c r="C240" t="s">
        <v>1732</v>
      </c>
      <c r="D240" t="s">
        <v>7053</v>
      </c>
      <c r="E240" t="s">
        <v>1736</v>
      </c>
      <c r="F240" t="s">
        <v>53</v>
      </c>
      <c r="G240" t="s">
        <v>1737</v>
      </c>
      <c r="H240" t="s">
        <v>43</v>
      </c>
      <c r="I240" s="13" t="s">
        <v>1738</v>
      </c>
      <c r="J240" t="s">
        <v>31</v>
      </c>
      <c r="K240" t="s">
        <v>7881</v>
      </c>
      <c r="L240" t="s">
        <v>8028</v>
      </c>
      <c r="M240" t="s">
        <v>87</v>
      </c>
      <c r="N240" t="s">
        <v>33</v>
      </c>
      <c r="O240" s="17">
        <v>552500</v>
      </c>
      <c r="P240" s="17" t="s">
        <v>7854</v>
      </c>
      <c r="Q240" s="22">
        <v>0</v>
      </c>
      <c r="R240" s="22" t="s">
        <v>7854</v>
      </c>
      <c r="S240" s="24">
        <v>0</v>
      </c>
      <c r="T240" s="24" t="s">
        <v>7854</v>
      </c>
      <c r="U240" t="s">
        <v>1739</v>
      </c>
    </row>
    <row r="241" spans="1:21" x14ac:dyDescent="0.25">
      <c r="A241">
        <v>244</v>
      </c>
      <c r="B241">
        <v>23092</v>
      </c>
      <c r="C241" t="s">
        <v>1740</v>
      </c>
      <c r="D241" t="s">
        <v>7054</v>
      </c>
      <c r="E241" t="s">
        <v>1743</v>
      </c>
      <c r="F241" t="s">
        <v>28</v>
      </c>
      <c r="G241" t="s">
        <v>480</v>
      </c>
      <c r="H241" t="s">
        <v>453</v>
      </c>
      <c r="I241" s="13" t="s">
        <v>1744</v>
      </c>
      <c r="J241" t="s">
        <v>31</v>
      </c>
      <c r="K241" t="s">
        <v>7879</v>
      </c>
      <c r="L241" t="s">
        <v>7981</v>
      </c>
      <c r="M241" t="s">
        <v>455</v>
      </c>
      <c r="N241" t="s">
        <v>33</v>
      </c>
      <c r="O241" s="17">
        <v>195000</v>
      </c>
      <c r="P241" s="17" t="s">
        <v>7854</v>
      </c>
      <c r="Q241" s="22">
        <v>0</v>
      </c>
      <c r="R241" s="22" t="s">
        <v>7854</v>
      </c>
      <c r="S241" s="24">
        <v>0</v>
      </c>
      <c r="T241" s="24" t="s">
        <v>7854</v>
      </c>
      <c r="U241" t="s">
        <v>1745</v>
      </c>
    </row>
    <row r="242" spans="1:21" x14ac:dyDescent="0.25">
      <c r="A242">
        <v>245</v>
      </c>
      <c r="B242">
        <v>6207</v>
      </c>
      <c r="C242" t="s">
        <v>1746</v>
      </c>
      <c r="D242" t="s">
        <v>7055</v>
      </c>
      <c r="E242" t="s">
        <v>7946</v>
      </c>
      <c r="F242" t="s">
        <v>28</v>
      </c>
      <c r="G242" t="s">
        <v>1749</v>
      </c>
      <c r="H242" t="s">
        <v>43</v>
      </c>
      <c r="I242" s="13" t="s">
        <v>1750</v>
      </c>
      <c r="J242" t="s">
        <v>1207</v>
      </c>
      <c r="K242" t="s">
        <v>7886</v>
      </c>
      <c r="L242" t="s">
        <v>7940</v>
      </c>
      <c r="M242" t="s">
        <v>63</v>
      </c>
      <c r="N242" t="s">
        <v>33</v>
      </c>
      <c r="O242" s="17">
        <v>812500</v>
      </c>
      <c r="P242" s="17" t="s">
        <v>7854</v>
      </c>
      <c r="Q242" s="22">
        <v>0</v>
      </c>
      <c r="R242" s="22" t="s">
        <v>7854</v>
      </c>
      <c r="S242" s="24">
        <v>162500</v>
      </c>
      <c r="T242" s="24" t="s">
        <v>7854</v>
      </c>
      <c r="U242" t="s">
        <v>1751</v>
      </c>
    </row>
    <row r="243" spans="1:21" x14ac:dyDescent="0.25">
      <c r="A243">
        <v>246</v>
      </c>
      <c r="B243">
        <v>19512</v>
      </c>
      <c r="C243" t="s">
        <v>1752</v>
      </c>
      <c r="D243" t="s">
        <v>7056</v>
      </c>
      <c r="E243" t="s">
        <v>1756</v>
      </c>
      <c r="F243" t="s">
        <v>53</v>
      </c>
      <c r="G243" t="s">
        <v>1757</v>
      </c>
      <c r="H243" t="s">
        <v>43</v>
      </c>
      <c r="I243" s="13" t="s">
        <v>1758</v>
      </c>
      <c r="J243" t="s">
        <v>31</v>
      </c>
      <c r="K243" t="s">
        <v>7881</v>
      </c>
      <c r="L243" t="s">
        <v>7940</v>
      </c>
      <c r="M243" t="s">
        <v>63</v>
      </c>
      <c r="N243" t="s">
        <v>33</v>
      </c>
      <c r="O243" s="17">
        <v>552500</v>
      </c>
      <c r="P243" s="17" t="s">
        <v>7854</v>
      </c>
      <c r="Q243" s="22">
        <v>0</v>
      </c>
      <c r="R243" s="22" t="s">
        <v>7854</v>
      </c>
      <c r="S243" s="24">
        <v>0</v>
      </c>
      <c r="T243" s="24" t="s">
        <v>7854</v>
      </c>
      <c r="U243" t="s">
        <v>1759</v>
      </c>
    </row>
    <row r="244" spans="1:21" x14ac:dyDescent="0.25">
      <c r="A244">
        <v>247</v>
      </c>
      <c r="B244">
        <v>24266</v>
      </c>
      <c r="C244" t="s">
        <v>1760</v>
      </c>
      <c r="D244" t="s">
        <v>7057</v>
      </c>
      <c r="E244" t="s">
        <v>1764</v>
      </c>
      <c r="F244" t="s">
        <v>28</v>
      </c>
      <c r="G244" t="s">
        <v>1765</v>
      </c>
      <c r="H244" t="s">
        <v>43</v>
      </c>
      <c r="I244" s="12">
        <v>2348058534173</v>
      </c>
      <c r="J244" t="s">
        <v>31</v>
      </c>
      <c r="K244" t="s">
        <v>7879</v>
      </c>
      <c r="L244" t="s">
        <v>7893</v>
      </c>
      <c r="M244" t="s">
        <v>87</v>
      </c>
      <c r="N244" t="s">
        <v>33</v>
      </c>
      <c r="O244" s="17">
        <v>195000</v>
      </c>
      <c r="P244" s="17" t="s">
        <v>7854</v>
      </c>
      <c r="Q244" s="22">
        <v>0</v>
      </c>
      <c r="R244" s="22" t="s">
        <v>7854</v>
      </c>
      <c r="S244" s="24">
        <v>0</v>
      </c>
      <c r="T244" s="24" t="s">
        <v>7854</v>
      </c>
      <c r="U244" t="s">
        <v>1766</v>
      </c>
    </row>
    <row r="245" spans="1:21" x14ac:dyDescent="0.25">
      <c r="A245">
        <v>248</v>
      </c>
      <c r="B245">
        <v>23275</v>
      </c>
      <c r="C245" t="s">
        <v>1767</v>
      </c>
      <c r="D245" t="s">
        <v>7058</v>
      </c>
      <c r="E245" t="s">
        <v>1771</v>
      </c>
      <c r="F245" t="s">
        <v>28</v>
      </c>
      <c r="G245" t="s">
        <v>1772</v>
      </c>
      <c r="H245" t="s">
        <v>43</v>
      </c>
      <c r="I245" s="13" t="s">
        <v>1773</v>
      </c>
      <c r="J245" t="s">
        <v>45</v>
      </c>
      <c r="K245" t="s">
        <v>7879</v>
      </c>
      <c r="L245" t="s">
        <v>7940</v>
      </c>
      <c r="M245" t="s">
        <v>87</v>
      </c>
      <c r="N245" t="s">
        <v>33</v>
      </c>
      <c r="O245" s="17">
        <v>195000</v>
      </c>
      <c r="P245" s="17" t="s">
        <v>7854</v>
      </c>
      <c r="Q245" s="22">
        <v>0</v>
      </c>
      <c r="R245" s="22" t="s">
        <v>7854</v>
      </c>
      <c r="S245" s="24">
        <v>0</v>
      </c>
      <c r="T245" s="24" t="s">
        <v>7854</v>
      </c>
      <c r="U245" t="s">
        <v>1774</v>
      </c>
    </row>
    <row r="246" spans="1:21" x14ac:dyDescent="0.25">
      <c r="A246">
        <v>249</v>
      </c>
      <c r="B246">
        <v>24307</v>
      </c>
      <c r="C246" t="s">
        <v>1775</v>
      </c>
      <c r="D246" t="s">
        <v>7059</v>
      </c>
      <c r="E246" t="s">
        <v>1777</v>
      </c>
      <c r="F246" t="s">
        <v>53</v>
      </c>
      <c r="G246" t="s">
        <v>1521</v>
      </c>
      <c r="H246" t="s">
        <v>765</v>
      </c>
      <c r="I246" s="12">
        <f>23272271111/23279613868</f>
        <v>0.99968458424432494</v>
      </c>
      <c r="J246" t="s">
        <v>31</v>
      </c>
      <c r="K246" t="s">
        <v>7881</v>
      </c>
      <c r="L246" t="s">
        <v>8028</v>
      </c>
      <c r="M246" t="s">
        <v>1480</v>
      </c>
      <c r="N246" t="s">
        <v>130</v>
      </c>
      <c r="O246" s="17" t="s">
        <v>7854</v>
      </c>
      <c r="P246" s="17">
        <v>425</v>
      </c>
      <c r="Q246" s="22" t="s">
        <v>7854</v>
      </c>
      <c r="R246" s="22">
        <v>0</v>
      </c>
      <c r="S246" s="24" t="s">
        <v>7854</v>
      </c>
      <c r="T246" s="24">
        <v>0</v>
      </c>
      <c r="U246" t="s">
        <v>1778</v>
      </c>
    </row>
    <row r="247" spans="1:21" x14ac:dyDescent="0.25">
      <c r="A247">
        <v>250</v>
      </c>
      <c r="B247">
        <v>24275</v>
      </c>
      <c r="C247" t="s">
        <v>1779</v>
      </c>
      <c r="D247" t="s">
        <v>7060</v>
      </c>
      <c r="E247" t="s">
        <v>1783</v>
      </c>
      <c r="F247" t="s">
        <v>53</v>
      </c>
      <c r="G247" t="s">
        <v>1784</v>
      </c>
      <c r="H247" t="s">
        <v>43</v>
      </c>
      <c r="I247" s="13" t="s">
        <v>1785</v>
      </c>
      <c r="J247" t="s">
        <v>31</v>
      </c>
      <c r="K247" t="s">
        <v>7879</v>
      </c>
      <c r="L247" t="s">
        <v>7893</v>
      </c>
      <c r="M247" t="s">
        <v>46</v>
      </c>
      <c r="N247" t="s">
        <v>33</v>
      </c>
      <c r="O247" s="17">
        <v>195000</v>
      </c>
      <c r="P247" s="17" t="s">
        <v>7854</v>
      </c>
      <c r="Q247" s="22">
        <v>0</v>
      </c>
      <c r="R247" s="22" t="s">
        <v>7854</v>
      </c>
      <c r="S247" s="24">
        <v>0</v>
      </c>
      <c r="T247" s="24" t="s">
        <v>7854</v>
      </c>
      <c r="U247" t="s">
        <v>1786</v>
      </c>
    </row>
    <row r="248" spans="1:21" x14ac:dyDescent="0.25">
      <c r="A248">
        <v>251</v>
      </c>
      <c r="B248">
        <v>24298</v>
      </c>
      <c r="C248" t="s">
        <v>1787</v>
      </c>
      <c r="D248" t="s">
        <v>7061</v>
      </c>
      <c r="E248" t="s">
        <v>1789</v>
      </c>
      <c r="F248" t="s">
        <v>28</v>
      </c>
      <c r="G248" t="s">
        <v>1790</v>
      </c>
      <c r="H248" t="s">
        <v>43</v>
      </c>
      <c r="I248" s="13" t="s">
        <v>1791</v>
      </c>
      <c r="J248" t="s">
        <v>31</v>
      </c>
      <c r="K248" t="s">
        <v>7879</v>
      </c>
      <c r="L248" t="s">
        <v>7893</v>
      </c>
      <c r="M248" t="s">
        <v>46</v>
      </c>
      <c r="N248" t="s">
        <v>33</v>
      </c>
      <c r="O248" s="17">
        <v>195000</v>
      </c>
      <c r="P248" s="17" t="s">
        <v>7854</v>
      </c>
      <c r="Q248" s="22">
        <v>0</v>
      </c>
      <c r="R248" s="22" t="s">
        <v>7854</v>
      </c>
      <c r="S248" s="24">
        <v>0</v>
      </c>
      <c r="T248" s="24" t="s">
        <v>7854</v>
      </c>
      <c r="U248" t="s">
        <v>1792</v>
      </c>
    </row>
    <row r="249" spans="1:21" x14ac:dyDescent="0.25">
      <c r="A249">
        <v>252</v>
      </c>
      <c r="B249">
        <v>20115</v>
      </c>
      <c r="C249" t="s">
        <v>1793</v>
      </c>
      <c r="D249" t="s">
        <v>7062</v>
      </c>
      <c r="E249" t="s">
        <v>1796</v>
      </c>
      <c r="F249" t="s">
        <v>53</v>
      </c>
      <c r="G249" t="s">
        <v>1797</v>
      </c>
      <c r="H249" t="s">
        <v>453</v>
      </c>
      <c r="I249" s="13" t="s">
        <v>1798</v>
      </c>
      <c r="J249" t="s">
        <v>31</v>
      </c>
      <c r="K249" t="s">
        <v>7881</v>
      </c>
      <c r="L249" t="s">
        <v>8028</v>
      </c>
      <c r="M249" t="s">
        <v>455</v>
      </c>
      <c r="N249" t="s">
        <v>130</v>
      </c>
      <c r="O249" s="17" t="s">
        <v>7854</v>
      </c>
      <c r="P249" s="17">
        <v>425</v>
      </c>
      <c r="Q249" s="22" t="s">
        <v>7854</v>
      </c>
      <c r="R249" s="22">
        <v>0</v>
      </c>
      <c r="S249" s="24" t="s">
        <v>7854</v>
      </c>
      <c r="T249" s="24">
        <v>0</v>
      </c>
      <c r="U249" t="s">
        <v>1799</v>
      </c>
    </row>
    <row r="250" spans="1:21" x14ac:dyDescent="0.25">
      <c r="A250">
        <v>253</v>
      </c>
      <c r="B250">
        <v>23970</v>
      </c>
      <c r="C250" t="s">
        <v>1800</v>
      </c>
      <c r="D250" t="s">
        <v>7063</v>
      </c>
      <c r="E250" t="s">
        <v>1804</v>
      </c>
      <c r="F250" t="s">
        <v>28</v>
      </c>
      <c r="G250" t="s">
        <v>1805</v>
      </c>
      <c r="H250" t="s">
        <v>43</v>
      </c>
      <c r="I250" s="12">
        <v>2348139585826</v>
      </c>
      <c r="J250" t="s">
        <v>31</v>
      </c>
      <c r="K250" t="s">
        <v>7879</v>
      </c>
      <c r="L250" t="s">
        <v>7940</v>
      </c>
      <c r="M250" t="s">
        <v>63</v>
      </c>
      <c r="N250" t="s">
        <v>33</v>
      </c>
      <c r="O250" s="17">
        <v>195000</v>
      </c>
      <c r="P250" s="17" t="s">
        <v>7854</v>
      </c>
      <c r="Q250" s="22">
        <v>0</v>
      </c>
      <c r="R250" s="22" t="s">
        <v>7854</v>
      </c>
      <c r="S250" s="24">
        <v>0</v>
      </c>
      <c r="T250" s="24" t="s">
        <v>7854</v>
      </c>
      <c r="U250" t="s">
        <v>1806</v>
      </c>
    </row>
    <row r="251" spans="1:21" x14ac:dyDescent="0.25">
      <c r="A251">
        <v>254</v>
      </c>
      <c r="B251">
        <v>21046</v>
      </c>
      <c r="C251" t="s">
        <v>1807</v>
      </c>
      <c r="D251" t="s">
        <v>7064</v>
      </c>
      <c r="E251" t="s">
        <v>1811</v>
      </c>
      <c r="F251" t="s">
        <v>53</v>
      </c>
      <c r="G251" t="s">
        <v>1812</v>
      </c>
      <c r="H251" t="s">
        <v>43</v>
      </c>
      <c r="I251" s="13" t="s">
        <v>1813</v>
      </c>
      <c r="J251" t="s">
        <v>45</v>
      </c>
      <c r="K251" t="s">
        <v>7881</v>
      </c>
      <c r="L251" t="s">
        <v>7981</v>
      </c>
      <c r="M251" t="s">
        <v>87</v>
      </c>
      <c r="N251" t="s">
        <v>33</v>
      </c>
      <c r="O251" s="17">
        <v>552500</v>
      </c>
      <c r="P251" s="17" t="s">
        <v>7854</v>
      </c>
      <c r="Q251" s="22">
        <v>0</v>
      </c>
      <c r="R251" s="22" t="s">
        <v>7854</v>
      </c>
      <c r="S251" s="24">
        <v>0</v>
      </c>
      <c r="T251" s="24" t="s">
        <v>7854</v>
      </c>
      <c r="U251" t="s">
        <v>1814</v>
      </c>
    </row>
    <row r="252" spans="1:21" x14ac:dyDescent="0.25">
      <c r="A252">
        <v>255</v>
      </c>
      <c r="B252">
        <v>20150</v>
      </c>
      <c r="C252" t="s">
        <v>1815</v>
      </c>
      <c r="D252" t="s">
        <v>7065</v>
      </c>
      <c r="E252" t="s">
        <v>1819</v>
      </c>
      <c r="F252" t="s">
        <v>28</v>
      </c>
      <c r="G252" t="s">
        <v>1820</v>
      </c>
      <c r="H252" t="s">
        <v>453</v>
      </c>
      <c r="I252" s="12">
        <v>233509154852</v>
      </c>
      <c r="J252" t="s">
        <v>31</v>
      </c>
      <c r="K252" t="s">
        <v>7881</v>
      </c>
      <c r="L252" t="s">
        <v>8028</v>
      </c>
      <c r="M252" t="s">
        <v>455</v>
      </c>
      <c r="N252" t="s">
        <v>130</v>
      </c>
      <c r="O252" s="17" t="s">
        <v>7854</v>
      </c>
      <c r="P252" s="17">
        <v>425</v>
      </c>
      <c r="Q252" s="22" t="s">
        <v>7854</v>
      </c>
      <c r="R252" s="22">
        <v>0</v>
      </c>
      <c r="S252" s="24" t="s">
        <v>7854</v>
      </c>
      <c r="T252" s="24">
        <v>0</v>
      </c>
      <c r="U252" t="s">
        <v>1821</v>
      </c>
    </row>
    <row r="253" spans="1:21" x14ac:dyDescent="0.25">
      <c r="A253">
        <v>256</v>
      </c>
      <c r="B253">
        <v>4005</v>
      </c>
      <c r="C253" t="s">
        <v>1822</v>
      </c>
      <c r="D253" t="s">
        <v>7066</v>
      </c>
      <c r="E253" t="s">
        <v>7906</v>
      </c>
      <c r="F253" t="s">
        <v>53</v>
      </c>
      <c r="G253" t="s">
        <v>1826</v>
      </c>
      <c r="H253" t="s">
        <v>43</v>
      </c>
      <c r="I253" s="13" t="s">
        <v>1827</v>
      </c>
      <c r="J253" t="s">
        <v>244</v>
      </c>
      <c r="K253" t="s">
        <v>7886</v>
      </c>
      <c r="L253" t="s">
        <v>7893</v>
      </c>
      <c r="M253" t="s">
        <v>46</v>
      </c>
      <c r="N253" t="s">
        <v>33</v>
      </c>
      <c r="O253" s="17">
        <v>812500</v>
      </c>
      <c r="P253" s="17" t="s">
        <v>7854</v>
      </c>
      <c r="Q253" s="22">
        <v>0</v>
      </c>
      <c r="R253" s="22" t="s">
        <v>7854</v>
      </c>
      <c r="S253" s="24">
        <v>0</v>
      </c>
      <c r="T253" s="24" t="s">
        <v>7854</v>
      </c>
      <c r="U253" t="s">
        <v>1828</v>
      </c>
    </row>
    <row r="254" spans="1:21" x14ac:dyDescent="0.25">
      <c r="A254">
        <v>257</v>
      </c>
      <c r="B254">
        <v>7207</v>
      </c>
      <c r="C254" t="s">
        <v>1829</v>
      </c>
      <c r="D254" t="s">
        <v>7067</v>
      </c>
      <c r="E254" t="s">
        <v>1833</v>
      </c>
      <c r="F254" t="s">
        <v>28</v>
      </c>
      <c r="G254" t="s">
        <v>1834</v>
      </c>
      <c r="H254" t="s">
        <v>30</v>
      </c>
      <c r="I254" s="12">
        <f>2207884587/ 9466542</f>
        <v>233.23031651895698</v>
      </c>
      <c r="J254" t="s">
        <v>45</v>
      </c>
      <c r="K254" t="s">
        <v>7879</v>
      </c>
      <c r="L254" t="s">
        <v>7981</v>
      </c>
      <c r="M254" t="s">
        <v>32</v>
      </c>
      <c r="N254" t="s">
        <v>33</v>
      </c>
      <c r="O254" s="17">
        <v>195000</v>
      </c>
      <c r="P254" s="17" t="s">
        <v>7854</v>
      </c>
      <c r="Q254" s="22">
        <v>0</v>
      </c>
      <c r="R254" s="22" t="s">
        <v>7854</v>
      </c>
      <c r="S254" s="24">
        <v>0</v>
      </c>
      <c r="T254" s="24" t="s">
        <v>7854</v>
      </c>
      <c r="U254" t="s">
        <v>1835</v>
      </c>
    </row>
    <row r="255" spans="1:21" x14ac:dyDescent="0.25">
      <c r="A255">
        <v>258</v>
      </c>
      <c r="B255">
        <v>23392</v>
      </c>
      <c r="C255" t="s">
        <v>1836</v>
      </c>
      <c r="D255" t="s">
        <v>7068</v>
      </c>
      <c r="E255" t="s">
        <v>1839</v>
      </c>
      <c r="F255" t="s">
        <v>53</v>
      </c>
      <c r="G255" t="s">
        <v>1840</v>
      </c>
      <c r="H255" t="s">
        <v>43</v>
      </c>
      <c r="I255" s="12">
        <v>2348037481560</v>
      </c>
      <c r="J255" t="s">
        <v>45</v>
      </c>
      <c r="K255" t="s">
        <v>7879</v>
      </c>
      <c r="L255" t="s">
        <v>8028</v>
      </c>
      <c r="M255" t="s">
        <v>46</v>
      </c>
      <c r="N255" t="s">
        <v>33</v>
      </c>
      <c r="O255" s="17">
        <v>195000</v>
      </c>
      <c r="P255" s="17" t="s">
        <v>7854</v>
      </c>
      <c r="Q255" s="22">
        <v>0</v>
      </c>
      <c r="R255" s="22" t="s">
        <v>7854</v>
      </c>
      <c r="S255" s="24">
        <v>0</v>
      </c>
      <c r="T255" s="24" t="s">
        <v>7854</v>
      </c>
      <c r="U255" t="s">
        <v>1841</v>
      </c>
    </row>
    <row r="256" spans="1:21" x14ac:dyDescent="0.25">
      <c r="A256">
        <v>259</v>
      </c>
      <c r="B256">
        <v>9887</v>
      </c>
      <c r="C256" t="s">
        <v>1842</v>
      </c>
      <c r="D256" t="s">
        <v>7069</v>
      </c>
      <c r="E256" t="s">
        <v>1846</v>
      </c>
      <c r="F256" t="s">
        <v>28</v>
      </c>
      <c r="G256" t="s">
        <v>822</v>
      </c>
      <c r="H256" t="s">
        <v>43</v>
      </c>
      <c r="I256" s="12">
        <v>2348061635880</v>
      </c>
      <c r="J256" t="s">
        <v>31</v>
      </c>
      <c r="K256" t="s">
        <v>7886</v>
      </c>
      <c r="L256" t="s">
        <v>7940</v>
      </c>
      <c r="M256" t="s">
        <v>63</v>
      </c>
      <c r="N256" t="s">
        <v>33</v>
      </c>
      <c r="O256" s="17">
        <v>812500</v>
      </c>
      <c r="P256" s="17" t="s">
        <v>7854</v>
      </c>
      <c r="Q256" s="22">
        <v>110500</v>
      </c>
      <c r="R256" s="22" t="s">
        <v>7854</v>
      </c>
      <c r="S256" s="24">
        <v>162500</v>
      </c>
      <c r="T256" s="24" t="s">
        <v>7854</v>
      </c>
      <c r="U256" t="s">
        <v>1847</v>
      </c>
    </row>
    <row r="257" spans="1:21" x14ac:dyDescent="0.25">
      <c r="A257">
        <v>260</v>
      </c>
      <c r="B257">
        <v>3934</v>
      </c>
      <c r="C257" t="s">
        <v>1848</v>
      </c>
      <c r="D257" t="s">
        <v>7070</v>
      </c>
      <c r="E257" t="s">
        <v>1852</v>
      </c>
      <c r="F257" t="s">
        <v>28</v>
      </c>
      <c r="G257" t="s">
        <v>364</v>
      </c>
      <c r="H257" t="s">
        <v>43</v>
      </c>
      <c r="I257" s="12">
        <v>9036466550</v>
      </c>
      <c r="J257" t="s">
        <v>31</v>
      </c>
      <c r="K257" t="s">
        <v>7879</v>
      </c>
      <c r="L257" t="s">
        <v>7893</v>
      </c>
      <c r="M257" t="s">
        <v>46</v>
      </c>
      <c r="N257" t="s">
        <v>33</v>
      </c>
      <c r="O257" s="17">
        <v>195000</v>
      </c>
      <c r="P257" s="17" t="s">
        <v>7854</v>
      </c>
      <c r="Q257" s="22">
        <v>0</v>
      </c>
      <c r="R257" s="22" t="s">
        <v>7854</v>
      </c>
      <c r="S257" s="24">
        <v>0</v>
      </c>
      <c r="T257" s="24" t="s">
        <v>7854</v>
      </c>
      <c r="U257" t="s">
        <v>1853</v>
      </c>
    </row>
    <row r="258" spans="1:21" x14ac:dyDescent="0.25">
      <c r="A258">
        <v>261</v>
      </c>
      <c r="B258">
        <v>24263</v>
      </c>
      <c r="C258" t="s">
        <v>1854</v>
      </c>
      <c r="D258" t="s">
        <v>7071</v>
      </c>
      <c r="E258" t="s">
        <v>1856</v>
      </c>
      <c r="F258" t="s">
        <v>28</v>
      </c>
      <c r="G258" t="s">
        <v>1857</v>
      </c>
      <c r="H258" t="s">
        <v>43</v>
      </c>
      <c r="I258" s="12">
        <v>2347087622221</v>
      </c>
      <c r="J258" t="s">
        <v>31</v>
      </c>
      <c r="K258" t="s">
        <v>7879</v>
      </c>
      <c r="L258" t="s">
        <v>8028</v>
      </c>
      <c r="M258" t="s">
        <v>46</v>
      </c>
      <c r="N258" t="s">
        <v>33</v>
      </c>
      <c r="O258" s="17">
        <v>195000</v>
      </c>
      <c r="P258" s="17" t="s">
        <v>7854</v>
      </c>
      <c r="Q258" s="22">
        <v>0</v>
      </c>
      <c r="R258" s="22" t="s">
        <v>7854</v>
      </c>
      <c r="S258" s="24">
        <v>0</v>
      </c>
      <c r="T258" s="24" t="s">
        <v>7854</v>
      </c>
      <c r="U258" t="s">
        <v>1858</v>
      </c>
    </row>
    <row r="259" spans="1:21" x14ac:dyDescent="0.25">
      <c r="A259">
        <v>262</v>
      </c>
      <c r="B259">
        <v>11419</v>
      </c>
      <c r="C259" t="s">
        <v>1859</v>
      </c>
      <c r="D259" t="s">
        <v>7072</v>
      </c>
      <c r="E259" t="s">
        <v>1863</v>
      </c>
      <c r="F259" t="s">
        <v>28</v>
      </c>
      <c r="G259" t="s">
        <v>1864</v>
      </c>
      <c r="H259" t="s">
        <v>43</v>
      </c>
      <c r="I259" s="12">
        <v>7060994629</v>
      </c>
      <c r="J259" t="s">
        <v>45</v>
      </c>
      <c r="K259" t="s">
        <v>7881</v>
      </c>
      <c r="L259" t="s">
        <v>7940</v>
      </c>
      <c r="M259" t="s">
        <v>46</v>
      </c>
      <c r="N259" t="s">
        <v>33</v>
      </c>
      <c r="O259" s="17">
        <v>552500</v>
      </c>
      <c r="P259" s="17" t="s">
        <v>7854</v>
      </c>
      <c r="Q259" s="22">
        <v>0</v>
      </c>
      <c r="R259" s="22" t="s">
        <v>7854</v>
      </c>
      <c r="S259" s="24">
        <v>0</v>
      </c>
      <c r="T259" s="24" t="s">
        <v>7854</v>
      </c>
      <c r="U259" t="s">
        <v>1865</v>
      </c>
    </row>
    <row r="260" spans="1:21" x14ac:dyDescent="0.25">
      <c r="A260">
        <v>263</v>
      </c>
      <c r="B260">
        <v>18611</v>
      </c>
      <c r="C260" t="s">
        <v>1866</v>
      </c>
      <c r="D260" t="s">
        <v>7073</v>
      </c>
      <c r="E260" t="s">
        <v>1869</v>
      </c>
      <c r="F260" t="s">
        <v>53</v>
      </c>
      <c r="G260" t="s">
        <v>1870</v>
      </c>
      <c r="H260" t="s">
        <v>765</v>
      </c>
      <c r="I260" s="12">
        <v>23276128829</v>
      </c>
      <c r="J260" t="s">
        <v>31</v>
      </c>
      <c r="K260" t="s">
        <v>7881</v>
      </c>
      <c r="L260" t="s">
        <v>7893</v>
      </c>
      <c r="M260" t="s">
        <v>46</v>
      </c>
      <c r="N260" t="s">
        <v>33</v>
      </c>
      <c r="O260" s="17">
        <v>552500</v>
      </c>
      <c r="P260" s="17" t="s">
        <v>7854</v>
      </c>
      <c r="Q260" s="22">
        <v>0</v>
      </c>
      <c r="R260" s="22" t="s">
        <v>7854</v>
      </c>
      <c r="S260" s="24">
        <v>0</v>
      </c>
      <c r="T260" s="24" t="s">
        <v>7854</v>
      </c>
      <c r="U260" t="s">
        <v>1871</v>
      </c>
    </row>
    <row r="261" spans="1:21" x14ac:dyDescent="0.25">
      <c r="A261">
        <v>264</v>
      </c>
      <c r="B261">
        <v>5679</v>
      </c>
      <c r="C261" t="s">
        <v>1872</v>
      </c>
      <c r="D261" t="s">
        <v>7074</v>
      </c>
      <c r="E261" t="s">
        <v>1876</v>
      </c>
      <c r="F261" t="s">
        <v>53</v>
      </c>
      <c r="G261" t="s">
        <v>1877</v>
      </c>
      <c r="H261" t="s">
        <v>43</v>
      </c>
      <c r="I261" s="13" t="s">
        <v>1878</v>
      </c>
      <c r="J261" t="s">
        <v>31</v>
      </c>
      <c r="K261" t="s">
        <v>7886</v>
      </c>
      <c r="L261" t="s">
        <v>7940</v>
      </c>
      <c r="M261" t="s">
        <v>63</v>
      </c>
      <c r="N261" t="s">
        <v>33</v>
      </c>
      <c r="O261" s="17">
        <v>812500</v>
      </c>
      <c r="P261" s="17" t="s">
        <v>7854</v>
      </c>
      <c r="Q261" s="22">
        <v>0</v>
      </c>
      <c r="R261" s="22" t="s">
        <v>7854</v>
      </c>
      <c r="S261" s="24">
        <v>162500</v>
      </c>
      <c r="T261" s="24" t="s">
        <v>7854</v>
      </c>
      <c r="U261" t="s">
        <v>1879</v>
      </c>
    </row>
    <row r="262" spans="1:21" x14ac:dyDescent="0.25">
      <c r="A262">
        <v>265</v>
      </c>
      <c r="B262">
        <v>3787</v>
      </c>
      <c r="C262" t="s">
        <v>1880</v>
      </c>
      <c r="D262" t="s">
        <v>7075</v>
      </c>
      <c r="E262" t="s">
        <v>1884</v>
      </c>
      <c r="F262" t="s">
        <v>28</v>
      </c>
      <c r="G262" t="s">
        <v>778</v>
      </c>
      <c r="H262" t="s">
        <v>43</v>
      </c>
      <c r="I262" s="13" t="s">
        <v>1885</v>
      </c>
      <c r="J262" t="s">
        <v>31</v>
      </c>
      <c r="K262" t="s">
        <v>7886</v>
      </c>
      <c r="L262" t="s">
        <v>7981</v>
      </c>
      <c r="M262" t="s">
        <v>46</v>
      </c>
      <c r="N262" t="s">
        <v>33</v>
      </c>
      <c r="O262" s="17">
        <v>812500</v>
      </c>
      <c r="P262" s="17" t="s">
        <v>7854</v>
      </c>
      <c r="Q262" s="22">
        <v>0</v>
      </c>
      <c r="R262" s="22" t="s">
        <v>7854</v>
      </c>
      <c r="S262" s="24">
        <v>162500</v>
      </c>
      <c r="T262" s="24" t="s">
        <v>7854</v>
      </c>
      <c r="U262" t="s">
        <v>1886</v>
      </c>
    </row>
    <row r="263" spans="1:21" x14ac:dyDescent="0.25">
      <c r="A263">
        <v>266</v>
      </c>
      <c r="B263">
        <v>24317</v>
      </c>
      <c r="C263" t="s">
        <v>1887</v>
      </c>
      <c r="D263" t="s">
        <v>7076</v>
      </c>
      <c r="E263" t="s">
        <v>1890</v>
      </c>
      <c r="F263" t="s">
        <v>28</v>
      </c>
      <c r="G263" t="s">
        <v>1891</v>
      </c>
      <c r="H263" t="s">
        <v>43</v>
      </c>
      <c r="I263" s="13" t="s">
        <v>1892</v>
      </c>
      <c r="J263" t="s">
        <v>31</v>
      </c>
      <c r="K263" t="s">
        <v>7879</v>
      </c>
      <c r="L263" t="s">
        <v>7940</v>
      </c>
      <c r="M263" t="s">
        <v>46</v>
      </c>
      <c r="N263" t="s">
        <v>33</v>
      </c>
      <c r="O263" s="17">
        <v>195000</v>
      </c>
      <c r="P263" s="17" t="s">
        <v>7854</v>
      </c>
      <c r="Q263" s="22">
        <v>0</v>
      </c>
      <c r="R263" s="22" t="s">
        <v>7854</v>
      </c>
      <c r="S263" s="24">
        <v>0</v>
      </c>
      <c r="T263" s="24" t="s">
        <v>7854</v>
      </c>
      <c r="U263" t="s">
        <v>1893</v>
      </c>
    </row>
    <row r="264" spans="1:21" x14ac:dyDescent="0.25">
      <c r="A264">
        <v>267</v>
      </c>
      <c r="B264">
        <v>24088</v>
      </c>
      <c r="C264" t="s">
        <v>1894</v>
      </c>
      <c r="D264" t="s">
        <v>7077</v>
      </c>
      <c r="E264" t="s">
        <v>1897</v>
      </c>
      <c r="F264" t="s">
        <v>28</v>
      </c>
      <c r="G264" t="s">
        <v>1898</v>
      </c>
      <c r="H264" t="s">
        <v>43</v>
      </c>
      <c r="I264" s="13" t="s">
        <v>1899</v>
      </c>
      <c r="J264" t="s">
        <v>31</v>
      </c>
      <c r="K264" t="s">
        <v>7879</v>
      </c>
      <c r="L264" t="s">
        <v>7940</v>
      </c>
      <c r="M264" t="s">
        <v>63</v>
      </c>
      <c r="N264" t="s">
        <v>33</v>
      </c>
      <c r="O264" s="17">
        <v>195000</v>
      </c>
      <c r="P264" s="17" t="s">
        <v>7854</v>
      </c>
      <c r="Q264" s="22">
        <v>0</v>
      </c>
      <c r="R264" s="22" t="s">
        <v>7854</v>
      </c>
      <c r="S264" s="24">
        <v>0</v>
      </c>
      <c r="T264" s="24" t="s">
        <v>7854</v>
      </c>
      <c r="U264" t="s">
        <v>1900</v>
      </c>
    </row>
    <row r="265" spans="1:21" x14ac:dyDescent="0.25">
      <c r="A265">
        <v>268</v>
      </c>
      <c r="B265">
        <v>24249</v>
      </c>
      <c r="C265" t="s">
        <v>1901</v>
      </c>
      <c r="D265" t="s">
        <v>7078</v>
      </c>
      <c r="E265" t="s">
        <v>1903</v>
      </c>
      <c r="F265" t="s">
        <v>53</v>
      </c>
      <c r="G265" t="s">
        <v>1904</v>
      </c>
      <c r="H265" t="s">
        <v>453</v>
      </c>
      <c r="I265" s="12">
        <v>233557092338</v>
      </c>
      <c r="J265" t="s">
        <v>31</v>
      </c>
      <c r="K265" t="s">
        <v>7879</v>
      </c>
      <c r="L265" t="s">
        <v>7940</v>
      </c>
      <c r="M265" t="s">
        <v>455</v>
      </c>
      <c r="N265" t="s">
        <v>130</v>
      </c>
      <c r="O265" s="17" t="s">
        <v>7854</v>
      </c>
      <c r="P265" s="17">
        <v>150</v>
      </c>
      <c r="Q265" s="22" t="s">
        <v>7854</v>
      </c>
      <c r="R265" s="22">
        <v>0</v>
      </c>
      <c r="S265" s="24" t="s">
        <v>7854</v>
      </c>
      <c r="T265" s="24">
        <v>0</v>
      </c>
      <c r="U265" t="s">
        <v>1905</v>
      </c>
    </row>
    <row r="266" spans="1:21" x14ac:dyDescent="0.25">
      <c r="A266">
        <v>269</v>
      </c>
      <c r="B266">
        <v>18341</v>
      </c>
      <c r="C266" t="s">
        <v>1906</v>
      </c>
      <c r="D266" t="s">
        <v>7079</v>
      </c>
      <c r="E266" t="s">
        <v>1909</v>
      </c>
      <c r="F266" t="s">
        <v>28</v>
      </c>
      <c r="G266" t="s">
        <v>1910</v>
      </c>
      <c r="H266" t="s">
        <v>43</v>
      </c>
      <c r="I266" s="13" t="s">
        <v>1911</v>
      </c>
      <c r="J266" t="s">
        <v>31</v>
      </c>
      <c r="K266" t="s">
        <v>7881</v>
      </c>
      <c r="L266" t="s">
        <v>7893</v>
      </c>
      <c r="M266" t="s">
        <v>46</v>
      </c>
      <c r="N266" t="s">
        <v>33</v>
      </c>
      <c r="O266" s="17">
        <v>552500</v>
      </c>
      <c r="P266" s="17" t="s">
        <v>7854</v>
      </c>
      <c r="Q266" s="22">
        <v>0</v>
      </c>
      <c r="R266" s="22" t="s">
        <v>7854</v>
      </c>
      <c r="S266" s="24">
        <v>0</v>
      </c>
      <c r="T266" s="24" t="s">
        <v>7854</v>
      </c>
      <c r="U266" t="s">
        <v>1912</v>
      </c>
    </row>
    <row r="267" spans="1:21" x14ac:dyDescent="0.25">
      <c r="A267">
        <v>270</v>
      </c>
      <c r="B267">
        <v>24321</v>
      </c>
      <c r="C267" t="s">
        <v>1913</v>
      </c>
      <c r="D267" t="s">
        <v>7080</v>
      </c>
      <c r="E267" t="s">
        <v>1916</v>
      </c>
      <c r="F267" t="s">
        <v>28</v>
      </c>
      <c r="G267" t="s">
        <v>1917</v>
      </c>
      <c r="H267" t="s">
        <v>43</v>
      </c>
      <c r="I267" s="13" t="s">
        <v>1918</v>
      </c>
      <c r="J267" t="s">
        <v>31</v>
      </c>
      <c r="K267" t="s">
        <v>7879</v>
      </c>
      <c r="L267" t="s">
        <v>7893</v>
      </c>
      <c r="M267" t="s">
        <v>46</v>
      </c>
      <c r="N267" t="s">
        <v>33</v>
      </c>
      <c r="O267" s="17">
        <v>195000</v>
      </c>
      <c r="P267" s="17" t="s">
        <v>7854</v>
      </c>
      <c r="Q267" s="22">
        <v>0</v>
      </c>
      <c r="R267" s="22" t="s">
        <v>7854</v>
      </c>
      <c r="S267" s="24">
        <v>0</v>
      </c>
      <c r="T267" s="24" t="s">
        <v>7854</v>
      </c>
      <c r="U267" t="s">
        <v>1919</v>
      </c>
    </row>
    <row r="268" spans="1:21" x14ac:dyDescent="0.25">
      <c r="A268">
        <v>271</v>
      </c>
      <c r="B268">
        <v>5238</v>
      </c>
      <c r="C268" t="s">
        <v>1920</v>
      </c>
      <c r="D268" t="s">
        <v>7081</v>
      </c>
      <c r="E268" t="s">
        <v>7907</v>
      </c>
      <c r="F268" t="s">
        <v>28</v>
      </c>
      <c r="G268" t="s">
        <v>1923</v>
      </c>
      <c r="H268" t="s">
        <v>43</v>
      </c>
      <c r="I268" s="13" t="s">
        <v>1924</v>
      </c>
      <c r="J268" t="s">
        <v>45</v>
      </c>
      <c r="K268" t="s">
        <v>7881</v>
      </c>
      <c r="L268" t="s">
        <v>7893</v>
      </c>
      <c r="M268" t="s">
        <v>46</v>
      </c>
      <c r="N268" t="s">
        <v>33</v>
      </c>
      <c r="O268" s="17">
        <v>552500</v>
      </c>
      <c r="P268" s="17" t="s">
        <v>7854</v>
      </c>
      <c r="Q268" s="22">
        <v>0</v>
      </c>
      <c r="R268" s="22" t="s">
        <v>7854</v>
      </c>
      <c r="S268" s="24">
        <v>0</v>
      </c>
      <c r="T268" s="24" t="s">
        <v>7854</v>
      </c>
      <c r="U268" t="s">
        <v>1925</v>
      </c>
    </row>
    <row r="269" spans="1:21" x14ac:dyDescent="0.25">
      <c r="A269">
        <v>272</v>
      </c>
      <c r="B269">
        <v>19038</v>
      </c>
      <c r="C269" t="s">
        <v>1926</v>
      </c>
      <c r="D269" t="s">
        <v>7082</v>
      </c>
      <c r="E269" t="s">
        <v>1930</v>
      </c>
      <c r="F269" t="s">
        <v>53</v>
      </c>
      <c r="G269" t="s">
        <v>1931</v>
      </c>
      <c r="H269" t="s">
        <v>765</v>
      </c>
      <c r="I269" s="12" t="s">
        <v>1932</v>
      </c>
      <c r="J269" t="s">
        <v>31</v>
      </c>
      <c r="K269" t="s">
        <v>7881</v>
      </c>
      <c r="L269" t="s">
        <v>7893</v>
      </c>
      <c r="M269" t="s">
        <v>455</v>
      </c>
      <c r="N269" t="s">
        <v>130</v>
      </c>
      <c r="O269" s="17" t="s">
        <v>7854</v>
      </c>
      <c r="P269" s="17">
        <v>425</v>
      </c>
      <c r="Q269" s="22" t="s">
        <v>7854</v>
      </c>
      <c r="R269" s="22">
        <v>0</v>
      </c>
      <c r="S269" s="24" t="s">
        <v>7854</v>
      </c>
      <c r="T269" s="24">
        <v>0</v>
      </c>
      <c r="U269" t="s">
        <v>1933</v>
      </c>
    </row>
    <row r="270" spans="1:21" x14ac:dyDescent="0.25">
      <c r="A270">
        <v>273</v>
      </c>
      <c r="B270">
        <v>24003</v>
      </c>
      <c r="C270" t="s">
        <v>1934</v>
      </c>
      <c r="D270" t="s">
        <v>7083</v>
      </c>
      <c r="E270" t="s">
        <v>1938</v>
      </c>
      <c r="F270" t="s">
        <v>28</v>
      </c>
      <c r="G270" t="s">
        <v>236</v>
      </c>
      <c r="H270" t="s">
        <v>43</v>
      </c>
      <c r="I270" s="13" t="s">
        <v>1939</v>
      </c>
      <c r="J270" t="s">
        <v>31</v>
      </c>
      <c r="K270" t="s">
        <v>7879</v>
      </c>
      <c r="L270" t="s">
        <v>7893</v>
      </c>
      <c r="M270" t="s">
        <v>46</v>
      </c>
      <c r="N270" t="s">
        <v>33</v>
      </c>
      <c r="O270" s="17">
        <v>195000</v>
      </c>
      <c r="P270" s="17" t="s">
        <v>7854</v>
      </c>
      <c r="Q270" s="22">
        <v>0</v>
      </c>
      <c r="R270" s="22" t="s">
        <v>7854</v>
      </c>
      <c r="S270" s="24">
        <v>0</v>
      </c>
      <c r="T270" s="24" t="s">
        <v>7854</v>
      </c>
      <c r="U270" t="s">
        <v>1940</v>
      </c>
    </row>
    <row r="271" spans="1:21" x14ac:dyDescent="0.25">
      <c r="A271">
        <v>274</v>
      </c>
      <c r="B271">
        <v>18691</v>
      </c>
      <c r="C271" t="s">
        <v>1941</v>
      </c>
      <c r="D271" t="s">
        <v>7084</v>
      </c>
      <c r="E271" t="s">
        <v>1944</v>
      </c>
      <c r="F271" t="s">
        <v>53</v>
      </c>
      <c r="G271" t="s">
        <v>1945</v>
      </c>
      <c r="H271" t="s">
        <v>43</v>
      </c>
      <c r="I271" s="13" t="s">
        <v>1946</v>
      </c>
      <c r="J271" t="s">
        <v>31</v>
      </c>
      <c r="K271" t="s">
        <v>7881</v>
      </c>
      <c r="L271" t="s">
        <v>7888</v>
      </c>
      <c r="M271" t="s">
        <v>46</v>
      </c>
      <c r="N271" t="s">
        <v>33</v>
      </c>
      <c r="O271" s="17">
        <v>552500</v>
      </c>
      <c r="P271" s="17" t="s">
        <v>7854</v>
      </c>
      <c r="Q271" s="22">
        <v>110500</v>
      </c>
      <c r="R271" s="22" t="s">
        <v>7854</v>
      </c>
      <c r="S271" s="24">
        <v>0</v>
      </c>
      <c r="T271" s="24" t="s">
        <v>7854</v>
      </c>
      <c r="U271" t="s">
        <v>1947</v>
      </c>
    </row>
    <row r="272" spans="1:21" x14ac:dyDescent="0.25">
      <c r="A272">
        <v>275</v>
      </c>
      <c r="B272">
        <v>24190</v>
      </c>
      <c r="C272" t="s">
        <v>1948</v>
      </c>
      <c r="D272" t="s">
        <v>7085</v>
      </c>
      <c r="E272" t="s">
        <v>1952</v>
      </c>
      <c r="F272" t="s">
        <v>28</v>
      </c>
      <c r="G272" t="s">
        <v>1953</v>
      </c>
      <c r="H272" t="s">
        <v>43</v>
      </c>
      <c r="I272" s="13" t="s">
        <v>1954</v>
      </c>
      <c r="J272" t="s">
        <v>31</v>
      </c>
      <c r="K272" t="s">
        <v>7879</v>
      </c>
      <c r="L272" t="s">
        <v>7940</v>
      </c>
      <c r="M272" t="s">
        <v>46</v>
      </c>
      <c r="N272" t="s">
        <v>33</v>
      </c>
      <c r="O272" s="17">
        <v>195000</v>
      </c>
      <c r="P272" s="17" t="s">
        <v>7854</v>
      </c>
      <c r="Q272" s="22">
        <v>0</v>
      </c>
      <c r="R272" s="22" t="s">
        <v>7854</v>
      </c>
      <c r="S272" s="24">
        <v>0</v>
      </c>
      <c r="T272" s="24" t="s">
        <v>7854</v>
      </c>
      <c r="U272" t="s">
        <v>1955</v>
      </c>
    </row>
    <row r="273" spans="1:21" ht="273" customHeight="1" x14ac:dyDescent="0.25">
      <c r="A273">
        <v>276</v>
      </c>
      <c r="B273">
        <v>3301</v>
      </c>
      <c r="C273" t="s">
        <v>1957</v>
      </c>
      <c r="D273" t="s">
        <v>7086</v>
      </c>
      <c r="E273" t="s">
        <v>1961</v>
      </c>
      <c r="F273" t="s">
        <v>53</v>
      </c>
      <c r="G273" t="s">
        <v>1962</v>
      </c>
      <c r="H273" t="s">
        <v>43</v>
      </c>
      <c r="I273" s="12">
        <v>8056102887</v>
      </c>
      <c r="J273" t="s">
        <v>45</v>
      </c>
      <c r="K273" t="s">
        <v>7886</v>
      </c>
      <c r="L273" t="s">
        <v>7940</v>
      </c>
      <c r="M273" t="s">
        <v>63</v>
      </c>
      <c r="N273" t="s">
        <v>33</v>
      </c>
      <c r="O273" s="17">
        <v>812500</v>
      </c>
      <c r="P273" s="17" t="s">
        <v>7854</v>
      </c>
      <c r="Q273" s="22">
        <v>110500</v>
      </c>
      <c r="R273" s="22" t="s">
        <v>7854</v>
      </c>
      <c r="S273" s="24">
        <v>162500</v>
      </c>
      <c r="T273" s="24" t="s">
        <v>7854</v>
      </c>
      <c r="U273" t="s">
        <v>1963</v>
      </c>
    </row>
    <row r="274" spans="1:21" x14ac:dyDescent="0.25">
      <c r="A274">
        <v>277</v>
      </c>
      <c r="B274">
        <v>24222</v>
      </c>
      <c r="C274" t="s">
        <v>1964</v>
      </c>
      <c r="D274" t="s">
        <v>7087</v>
      </c>
      <c r="E274" t="s">
        <v>1968</v>
      </c>
      <c r="F274" t="s">
        <v>28</v>
      </c>
      <c r="G274" t="s">
        <v>1969</v>
      </c>
      <c r="H274" t="s">
        <v>43</v>
      </c>
      <c r="I274" s="13" t="s">
        <v>1970</v>
      </c>
      <c r="J274" t="s">
        <v>31</v>
      </c>
      <c r="K274" t="s">
        <v>7879</v>
      </c>
      <c r="L274" t="s">
        <v>8028</v>
      </c>
      <c r="M274" t="s">
        <v>87</v>
      </c>
      <c r="N274" t="s">
        <v>33</v>
      </c>
      <c r="O274" s="17">
        <v>195000</v>
      </c>
      <c r="P274" s="17" t="s">
        <v>7854</v>
      </c>
      <c r="Q274" s="22">
        <v>0</v>
      </c>
      <c r="R274" s="22" t="s">
        <v>7854</v>
      </c>
      <c r="S274" s="24">
        <v>0</v>
      </c>
      <c r="T274" s="24" t="s">
        <v>7854</v>
      </c>
      <c r="U274" t="s">
        <v>1971</v>
      </c>
    </row>
    <row r="275" spans="1:21" x14ac:dyDescent="0.25">
      <c r="A275">
        <v>278</v>
      </c>
      <c r="B275">
        <v>24262</v>
      </c>
      <c r="C275" t="s">
        <v>1972</v>
      </c>
      <c r="D275" t="s">
        <v>7088</v>
      </c>
      <c r="E275" t="s">
        <v>1974</v>
      </c>
      <c r="F275" t="s">
        <v>28</v>
      </c>
      <c r="G275" t="s">
        <v>1975</v>
      </c>
      <c r="H275" t="s">
        <v>43</v>
      </c>
      <c r="I275" s="12">
        <v>2348164973810</v>
      </c>
      <c r="J275" t="s">
        <v>31</v>
      </c>
      <c r="K275" t="s">
        <v>7879</v>
      </c>
      <c r="L275" t="s">
        <v>8028</v>
      </c>
      <c r="M275" t="s">
        <v>46</v>
      </c>
      <c r="N275" t="s">
        <v>33</v>
      </c>
      <c r="O275" s="17">
        <v>195000</v>
      </c>
      <c r="P275" s="17" t="s">
        <v>7854</v>
      </c>
      <c r="Q275" s="22">
        <v>0</v>
      </c>
      <c r="R275" s="22" t="s">
        <v>7854</v>
      </c>
      <c r="S275" s="24">
        <v>0</v>
      </c>
      <c r="T275" s="24" t="s">
        <v>7854</v>
      </c>
      <c r="U275" t="s">
        <v>1976</v>
      </c>
    </row>
    <row r="276" spans="1:21" x14ac:dyDescent="0.25">
      <c r="A276">
        <v>279</v>
      </c>
      <c r="B276">
        <v>22153</v>
      </c>
      <c r="C276" t="s">
        <v>1977</v>
      </c>
      <c r="D276" t="s">
        <v>7089</v>
      </c>
      <c r="E276" t="s">
        <v>1980</v>
      </c>
      <c r="F276" t="s">
        <v>53</v>
      </c>
      <c r="G276" t="s">
        <v>1981</v>
      </c>
      <c r="H276" t="s">
        <v>43</v>
      </c>
      <c r="I276" s="12">
        <v>2348031843444</v>
      </c>
      <c r="J276" t="s">
        <v>45</v>
      </c>
      <c r="K276" t="s">
        <v>7879</v>
      </c>
      <c r="L276" t="s">
        <v>7893</v>
      </c>
      <c r="M276" t="s">
        <v>46</v>
      </c>
      <c r="N276" t="s">
        <v>33</v>
      </c>
      <c r="O276" s="17">
        <v>195000</v>
      </c>
      <c r="P276" s="17" t="s">
        <v>7854</v>
      </c>
      <c r="Q276" s="22">
        <v>0</v>
      </c>
      <c r="R276" s="22" t="s">
        <v>7854</v>
      </c>
      <c r="S276" s="24">
        <v>0</v>
      </c>
      <c r="T276" s="24" t="s">
        <v>7854</v>
      </c>
      <c r="U276" t="s">
        <v>1982</v>
      </c>
    </row>
    <row r="277" spans="1:21" x14ac:dyDescent="0.25">
      <c r="A277">
        <v>280</v>
      </c>
      <c r="B277">
        <v>24309</v>
      </c>
      <c r="C277" t="s">
        <v>1983</v>
      </c>
      <c r="D277" t="s">
        <v>7090</v>
      </c>
      <c r="E277" t="s">
        <v>1986</v>
      </c>
      <c r="F277" t="s">
        <v>28</v>
      </c>
      <c r="G277" t="s">
        <v>1987</v>
      </c>
      <c r="H277" t="s">
        <v>43</v>
      </c>
      <c r="I277" s="13" t="s">
        <v>1988</v>
      </c>
      <c r="J277" t="s">
        <v>31</v>
      </c>
      <c r="K277" t="s">
        <v>7879</v>
      </c>
      <c r="L277" t="s">
        <v>7981</v>
      </c>
      <c r="M277" t="s">
        <v>63</v>
      </c>
      <c r="N277" t="s">
        <v>33</v>
      </c>
      <c r="O277" s="17">
        <v>195000</v>
      </c>
      <c r="P277" s="17" t="s">
        <v>7854</v>
      </c>
      <c r="Q277" s="22">
        <v>0</v>
      </c>
      <c r="R277" s="22" t="s">
        <v>7854</v>
      </c>
      <c r="S277" s="24">
        <v>0</v>
      </c>
      <c r="T277" s="24" t="s">
        <v>7854</v>
      </c>
      <c r="U277" t="s">
        <v>1989</v>
      </c>
    </row>
    <row r="278" spans="1:21" x14ac:dyDescent="0.25">
      <c r="A278">
        <v>281</v>
      </c>
      <c r="B278">
        <v>21527</v>
      </c>
      <c r="C278" t="s">
        <v>1990</v>
      </c>
      <c r="D278" t="s">
        <v>7091</v>
      </c>
      <c r="E278" t="s">
        <v>1993</v>
      </c>
      <c r="F278" t="s">
        <v>28</v>
      </c>
      <c r="G278" t="s">
        <v>1994</v>
      </c>
      <c r="H278" t="s">
        <v>43</v>
      </c>
      <c r="I278" s="13" t="s">
        <v>1995</v>
      </c>
      <c r="J278" t="s">
        <v>45</v>
      </c>
      <c r="K278" t="s">
        <v>7879</v>
      </c>
      <c r="L278" t="s">
        <v>7888</v>
      </c>
      <c r="M278" t="s">
        <v>46</v>
      </c>
      <c r="N278" t="s">
        <v>33</v>
      </c>
      <c r="O278" s="17">
        <v>195000</v>
      </c>
      <c r="P278" s="17" t="s">
        <v>7854</v>
      </c>
      <c r="Q278" s="22">
        <v>0</v>
      </c>
      <c r="R278" s="22" t="s">
        <v>7854</v>
      </c>
      <c r="S278" s="24">
        <v>0</v>
      </c>
      <c r="T278" s="24" t="s">
        <v>7854</v>
      </c>
      <c r="U278" t="s">
        <v>1996</v>
      </c>
    </row>
    <row r="279" spans="1:21" x14ac:dyDescent="0.25">
      <c r="A279">
        <v>282</v>
      </c>
      <c r="B279">
        <v>23407</v>
      </c>
      <c r="C279" t="s">
        <v>1997</v>
      </c>
      <c r="D279" t="s">
        <v>7092</v>
      </c>
      <c r="E279" t="s">
        <v>2000</v>
      </c>
      <c r="F279" t="s">
        <v>28</v>
      </c>
      <c r="G279" t="s">
        <v>2001</v>
      </c>
      <c r="H279" t="s">
        <v>43</v>
      </c>
      <c r="I279" s="13" t="s">
        <v>2002</v>
      </c>
      <c r="J279" t="s">
        <v>31</v>
      </c>
      <c r="K279" t="s">
        <v>7879</v>
      </c>
      <c r="L279" t="s">
        <v>7888</v>
      </c>
      <c r="M279" t="s">
        <v>46</v>
      </c>
      <c r="N279" t="s">
        <v>33</v>
      </c>
      <c r="O279" s="17">
        <v>195000</v>
      </c>
      <c r="P279" s="17" t="s">
        <v>7854</v>
      </c>
      <c r="Q279" s="22">
        <v>0</v>
      </c>
      <c r="R279" s="22" t="s">
        <v>7854</v>
      </c>
      <c r="S279" s="24">
        <v>0</v>
      </c>
      <c r="T279" s="24" t="s">
        <v>7854</v>
      </c>
      <c r="U279" t="s">
        <v>2003</v>
      </c>
    </row>
    <row r="280" spans="1:21" x14ac:dyDescent="0.25">
      <c r="A280">
        <v>283</v>
      </c>
      <c r="B280">
        <v>23674</v>
      </c>
      <c r="C280" t="s">
        <v>2004</v>
      </c>
      <c r="D280" t="s">
        <v>7093</v>
      </c>
      <c r="E280" t="s">
        <v>2007</v>
      </c>
      <c r="F280" t="s">
        <v>28</v>
      </c>
      <c r="G280" t="s">
        <v>2008</v>
      </c>
      <c r="H280" t="s">
        <v>43</v>
      </c>
      <c r="I280" s="13" t="s">
        <v>2009</v>
      </c>
      <c r="J280" t="s">
        <v>31</v>
      </c>
      <c r="K280" t="s">
        <v>7879</v>
      </c>
      <c r="L280" t="s">
        <v>7893</v>
      </c>
      <c r="M280" t="s">
        <v>46</v>
      </c>
      <c r="N280" t="s">
        <v>33</v>
      </c>
      <c r="O280" s="17">
        <v>195000</v>
      </c>
      <c r="P280" s="17" t="s">
        <v>7854</v>
      </c>
      <c r="Q280" s="22">
        <v>0</v>
      </c>
      <c r="R280" s="22" t="s">
        <v>7854</v>
      </c>
      <c r="S280" s="24">
        <v>0</v>
      </c>
      <c r="T280" s="24" t="s">
        <v>7854</v>
      </c>
      <c r="U280" t="s">
        <v>2010</v>
      </c>
    </row>
    <row r="281" spans="1:21" x14ac:dyDescent="0.25">
      <c r="A281">
        <v>284</v>
      </c>
      <c r="B281">
        <v>24329</v>
      </c>
      <c r="C281" t="s">
        <v>2011</v>
      </c>
      <c r="D281" t="s">
        <v>7094</v>
      </c>
      <c r="E281" t="s">
        <v>2014</v>
      </c>
      <c r="F281" t="s">
        <v>28</v>
      </c>
      <c r="G281" t="s">
        <v>2015</v>
      </c>
      <c r="H281" t="s">
        <v>43</v>
      </c>
      <c r="I281" s="13" t="s">
        <v>2016</v>
      </c>
      <c r="J281" t="s">
        <v>31</v>
      </c>
      <c r="K281" t="s">
        <v>7879</v>
      </c>
      <c r="L281" t="s">
        <v>7893</v>
      </c>
      <c r="M281" t="s">
        <v>87</v>
      </c>
      <c r="N281" t="s">
        <v>33</v>
      </c>
      <c r="O281" s="17">
        <v>195000</v>
      </c>
      <c r="P281" s="17" t="s">
        <v>7854</v>
      </c>
      <c r="Q281" s="22">
        <v>0</v>
      </c>
      <c r="R281" s="22" t="s">
        <v>7854</v>
      </c>
      <c r="S281" s="24">
        <v>0</v>
      </c>
      <c r="T281" s="24" t="s">
        <v>7854</v>
      </c>
      <c r="U281" t="s">
        <v>2017</v>
      </c>
    </row>
    <row r="282" spans="1:21" x14ac:dyDescent="0.25">
      <c r="A282">
        <v>285</v>
      </c>
      <c r="B282">
        <v>20255</v>
      </c>
      <c r="C282" t="s">
        <v>2018</v>
      </c>
      <c r="D282" t="s">
        <v>7095</v>
      </c>
      <c r="E282" t="s">
        <v>2021</v>
      </c>
      <c r="F282" t="s">
        <v>53</v>
      </c>
      <c r="G282" t="s">
        <v>2022</v>
      </c>
      <c r="H282" t="s">
        <v>43</v>
      </c>
      <c r="I282" s="13" t="s">
        <v>2023</v>
      </c>
      <c r="J282" t="s">
        <v>45</v>
      </c>
      <c r="K282" t="s">
        <v>7881</v>
      </c>
      <c r="L282" t="s">
        <v>7981</v>
      </c>
      <c r="M282" t="s">
        <v>46</v>
      </c>
      <c r="N282" t="s">
        <v>33</v>
      </c>
      <c r="O282" s="17">
        <v>552500</v>
      </c>
      <c r="P282" s="17" t="s">
        <v>7854</v>
      </c>
      <c r="Q282" s="22">
        <v>0</v>
      </c>
      <c r="R282" s="22" t="s">
        <v>7854</v>
      </c>
      <c r="S282" s="24">
        <v>0</v>
      </c>
      <c r="T282" s="24" t="s">
        <v>7854</v>
      </c>
      <c r="U282" t="s">
        <v>2024</v>
      </c>
    </row>
    <row r="283" spans="1:21" x14ac:dyDescent="0.25">
      <c r="A283">
        <v>286</v>
      </c>
      <c r="B283">
        <v>24208</v>
      </c>
      <c r="C283" t="s">
        <v>2025</v>
      </c>
      <c r="D283" t="s">
        <v>7096</v>
      </c>
      <c r="E283" t="s">
        <v>2029</v>
      </c>
      <c r="F283" t="s">
        <v>53</v>
      </c>
      <c r="G283" t="s">
        <v>2030</v>
      </c>
      <c r="H283" t="s">
        <v>43</v>
      </c>
      <c r="I283" s="13" t="s">
        <v>2031</v>
      </c>
      <c r="J283" t="s">
        <v>31</v>
      </c>
      <c r="K283" t="s">
        <v>7879</v>
      </c>
      <c r="L283" t="s">
        <v>7940</v>
      </c>
      <c r="M283" t="s">
        <v>63</v>
      </c>
      <c r="N283" t="s">
        <v>33</v>
      </c>
      <c r="O283" s="17">
        <v>195000</v>
      </c>
      <c r="P283" s="17" t="s">
        <v>7854</v>
      </c>
      <c r="Q283" s="22">
        <v>0</v>
      </c>
      <c r="R283" s="22" t="s">
        <v>7854</v>
      </c>
      <c r="S283" s="24">
        <v>0</v>
      </c>
      <c r="T283" s="24" t="s">
        <v>7854</v>
      </c>
      <c r="U283" t="s">
        <v>2032</v>
      </c>
    </row>
    <row r="284" spans="1:21" x14ac:dyDescent="0.25">
      <c r="A284">
        <v>287</v>
      </c>
      <c r="B284">
        <v>11287</v>
      </c>
      <c r="C284" t="s">
        <v>2033</v>
      </c>
      <c r="D284" t="s">
        <v>7097</v>
      </c>
      <c r="E284" t="s">
        <v>2036</v>
      </c>
      <c r="F284" t="s">
        <v>28</v>
      </c>
      <c r="G284" t="s">
        <v>2037</v>
      </c>
      <c r="H284" t="s">
        <v>43</v>
      </c>
      <c r="I284" s="13" t="s">
        <v>2038</v>
      </c>
      <c r="J284" t="s">
        <v>31</v>
      </c>
      <c r="K284" t="s">
        <v>7881</v>
      </c>
      <c r="L284" t="s">
        <v>7893</v>
      </c>
      <c r="M284" t="s">
        <v>63</v>
      </c>
      <c r="N284" t="s">
        <v>33</v>
      </c>
      <c r="O284" s="17">
        <v>552500</v>
      </c>
      <c r="P284" s="17" t="s">
        <v>7854</v>
      </c>
      <c r="Q284" s="22">
        <v>0</v>
      </c>
      <c r="R284" s="22" t="s">
        <v>7854</v>
      </c>
      <c r="S284" s="24">
        <v>0</v>
      </c>
      <c r="T284" s="24" t="s">
        <v>7854</v>
      </c>
      <c r="U284" t="s">
        <v>2039</v>
      </c>
    </row>
    <row r="285" spans="1:21" x14ac:dyDescent="0.25">
      <c r="A285">
        <v>288</v>
      </c>
      <c r="B285">
        <v>24189</v>
      </c>
      <c r="C285" t="s">
        <v>2040</v>
      </c>
      <c r="D285" t="s">
        <v>7098</v>
      </c>
      <c r="E285" t="s">
        <v>2043</v>
      </c>
      <c r="F285" t="s">
        <v>28</v>
      </c>
      <c r="G285" t="s">
        <v>2044</v>
      </c>
      <c r="H285" t="s">
        <v>43</v>
      </c>
      <c r="I285" s="13" t="s">
        <v>2045</v>
      </c>
      <c r="J285" t="s">
        <v>31</v>
      </c>
      <c r="K285" t="s">
        <v>7879</v>
      </c>
      <c r="L285" t="s">
        <v>7893</v>
      </c>
      <c r="M285" t="s">
        <v>63</v>
      </c>
      <c r="N285" t="s">
        <v>33</v>
      </c>
      <c r="O285" s="17">
        <v>195000</v>
      </c>
      <c r="P285" s="17" t="s">
        <v>7854</v>
      </c>
      <c r="Q285" s="22">
        <v>0</v>
      </c>
      <c r="R285" s="22" t="s">
        <v>7854</v>
      </c>
      <c r="S285" s="24">
        <v>0</v>
      </c>
      <c r="T285" s="24" t="s">
        <v>7854</v>
      </c>
      <c r="U285" t="s">
        <v>2046</v>
      </c>
    </row>
    <row r="286" spans="1:21" x14ac:dyDescent="0.25">
      <c r="A286">
        <v>289</v>
      </c>
      <c r="B286">
        <v>18555</v>
      </c>
      <c r="C286" t="s">
        <v>2047</v>
      </c>
      <c r="D286" t="s">
        <v>7099</v>
      </c>
      <c r="E286" t="s">
        <v>2050</v>
      </c>
      <c r="F286" t="s">
        <v>28</v>
      </c>
      <c r="G286" t="s">
        <v>2051</v>
      </c>
      <c r="H286" t="s">
        <v>43</v>
      </c>
      <c r="I286" s="13" t="s">
        <v>2052</v>
      </c>
      <c r="J286" t="s">
        <v>31</v>
      </c>
      <c r="K286" t="s">
        <v>7881</v>
      </c>
      <c r="L286" t="s">
        <v>7888</v>
      </c>
      <c r="M286" t="s">
        <v>63</v>
      </c>
      <c r="N286" t="s">
        <v>33</v>
      </c>
      <c r="O286" s="17">
        <v>552500</v>
      </c>
      <c r="P286" s="17" t="s">
        <v>7854</v>
      </c>
      <c r="Q286" s="22">
        <v>110500</v>
      </c>
      <c r="R286" s="22" t="s">
        <v>7854</v>
      </c>
      <c r="S286" s="24">
        <v>0</v>
      </c>
      <c r="T286" s="24" t="s">
        <v>7854</v>
      </c>
      <c r="U286" t="s">
        <v>2053</v>
      </c>
    </row>
    <row r="287" spans="1:21" x14ac:dyDescent="0.25">
      <c r="A287">
        <v>290</v>
      </c>
      <c r="B287">
        <v>19944</v>
      </c>
      <c r="C287" t="s">
        <v>2054</v>
      </c>
      <c r="D287" t="s">
        <v>7100</v>
      </c>
      <c r="E287" t="s">
        <v>2058</v>
      </c>
      <c r="F287" t="s">
        <v>53</v>
      </c>
      <c r="G287" t="s">
        <v>772</v>
      </c>
      <c r="H287" t="s">
        <v>43</v>
      </c>
      <c r="I287" s="13" t="s">
        <v>2059</v>
      </c>
      <c r="J287" t="s">
        <v>31</v>
      </c>
      <c r="K287" t="s">
        <v>7879</v>
      </c>
      <c r="L287" t="s">
        <v>7893</v>
      </c>
      <c r="M287" t="s">
        <v>46</v>
      </c>
      <c r="N287" t="s">
        <v>33</v>
      </c>
      <c r="O287" s="17">
        <v>195000</v>
      </c>
      <c r="P287" s="17" t="s">
        <v>7854</v>
      </c>
      <c r="Q287" s="22">
        <v>0</v>
      </c>
      <c r="R287" s="22" t="s">
        <v>7854</v>
      </c>
      <c r="S287" s="24">
        <v>0</v>
      </c>
      <c r="T287" s="24" t="s">
        <v>7854</v>
      </c>
      <c r="U287" t="s">
        <v>2060</v>
      </c>
    </row>
    <row r="288" spans="1:21" x14ac:dyDescent="0.25">
      <c r="A288">
        <v>291</v>
      </c>
      <c r="B288">
        <v>24000</v>
      </c>
      <c r="C288" t="s">
        <v>2061</v>
      </c>
      <c r="D288" t="s">
        <v>7101</v>
      </c>
      <c r="E288" t="s">
        <v>2063</v>
      </c>
      <c r="F288" t="s">
        <v>28</v>
      </c>
      <c r="G288" t="s">
        <v>2064</v>
      </c>
      <c r="H288" t="s">
        <v>43</v>
      </c>
      <c r="I288" s="13" t="s">
        <v>2065</v>
      </c>
      <c r="J288" t="s">
        <v>31</v>
      </c>
      <c r="K288" t="s">
        <v>7879</v>
      </c>
      <c r="L288" t="s">
        <v>7893</v>
      </c>
      <c r="M288" t="s">
        <v>46</v>
      </c>
      <c r="N288" t="s">
        <v>33</v>
      </c>
      <c r="O288" s="17">
        <v>195000</v>
      </c>
      <c r="P288" s="17" t="s">
        <v>7854</v>
      </c>
      <c r="Q288" s="22">
        <v>0</v>
      </c>
      <c r="R288" s="22" t="s">
        <v>7854</v>
      </c>
      <c r="S288" s="24">
        <v>0</v>
      </c>
      <c r="T288" s="24" t="s">
        <v>7854</v>
      </c>
      <c r="U288" t="s">
        <v>2066</v>
      </c>
    </row>
    <row r="289" spans="1:21" x14ac:dyDescent="0.25">
      <c r="A289">
        <v>292</v>
      </c>
      <c r="B289">
        <v>23389</v>
      </c>
      <c r="C289" t="s">
        <v>2067</v>
      </c>
      <c r="D289" t="s">
        <v>7102</v>
      </c>
      <c r="E289" t="s">
        <v>2071</v>
      </c>
      <c r="F289" t="s">
        <v>28</v>
      </c>
      <c r="G289" t="s">
        <v>2072</v>
      </c>
      <c r="H289" t="s">
        <v>43</v>
      </c>
      <c r="I289" s="13" t="s">
        <v>2073</v>
      </c>
      <c r="J289" t="s">
        <v>45</v>
      </c>
      <c r="K289" t="s">
        <v>7879</v>
      </c>
      <c r="L289" t="s">
        <v>7893</v>
      </c>
      <c r="M289" t="s">
        <v>87</v>
      </c>
      <c r="N289" t="s">
        <v>33</v>
      </c>
      <c r="O289" s="17">
        <v>195000</v>
      </c>
      <c r="P289" s="17" t="s">
        <v>7854</v>
      </c>
      <c r="Q289" s="22">
        <v>0</v>
      </c>
      <c r="R289" s="22" t="s">
        <v>7854</v>
      </c>
      <c r="S289" s="24">
        <v>0</v>
      </c>
      <c r="T289" s="24" t="s">
        <v>7854</v>
      </c>
      <c r="U289" t="s">
        <v>2074</v>
      </c>
    </row>
    <row r="290" spans="1:21" x14ac:dyDescent="0.25">
      <c r="A290">
        <v>293</v>
      </c>
      <c r="B290">
        <v>24193</v>
      </c>
      <c r="C290" t="s">
        <v>2075</v>
      </c>
      <c r="D290" t="s">
        <v>7103</v>
      </c>
      <c r="E290" t="s">
        <v>2079</v>
      </c>
      <c r="F290" t="s">
        <v>28</v>
      </c>
      <c r="G290" t="s">
        <v>289</v>
      </c>
      <c r="H290" t="s">
        <v>43</v>
      </c>
      <c r="I290" s="13" t="s">
        <v>2080</v>
      </c>
      <c r="J290" t="s">
        <v>31</v>
      </c>
      <c r="K290" t="s">
        <v>7879</v>
      </c>
      <c r="L290" t="s">
        <v>7981</v>
      </c>
      <c r="M290" t="s">
        <v>87</v>
      </c>
      <c r="N290" t="s">
        <v>33</v>
      </c>
      <c r="O290" s="17">
        <v>195000</v>
      </c>
      <c r="P290" s="17" t="s">
        <v>7854</v>
      </c>
      <c r="Q290" s="22">
        <v>0</v>
      </c>
      <c r="R290" s="22" t="s">
        <v>7854</v>
      </c>
      <c r="S290" s="24">
        <v>0</v>
      </c>
      <c r="T290" s="24" t="s">
        <v>7854</v>
      </c>
      <c r="U290" t="s">
        <v>2081</v>
      </c>
    </row>
    <row r="291" spans="1:21" x14ac:dyDescent="0.25">
      <c r="A291">
        <v>294</v>
      </c>
      <c r="B291">
        <v>11184</v>
      </c>
      <c r="C291" t="s">
        <v>2082</v>
      </c>
      <c r="D291" t="s">
        <v>7104</v>
      </c>
      <c r="E291" t="s">
        <v>2085</v>
      </c>
      <c r="F291" t="s">
        <v>28</v>
      </c>
      <c r="G291" t="s">
        <v>2086</v>
      </c>
      <c r="H291" t="s">
        <v>43</v>
      </c>
      <c r="I291" s="13" t="s">
        <v>2087</v>
      </c>
      <c r="J291" t="s">
        <v>45</v>
      </c>
      <c r="K291" t="s">
        <v>7881</v>
      </c>
      <c r="L291" t="s">
        <v>7981</v>
      </c>
      <c r="M291" t="s">
        <v>63</v>
      </c>
      <c r="N291" t="s">
        <v>33</v>
      </c>
      <c r="O291" s="17">
        <v>552500</v>
      </c>
      <c r="P291" s="17" t="s">
        <v>7854</v>
      </c>
      <c r="Q291" s="22">
        <v>0</v>
      </c>
      <c r="R291" s="22" t="s">
        <v>7854</v>
      </c>
      <c r="S291" s="24">
        <v>0</v>
      </c>
      <c r="T291" s="24" t="s">
        <v>7854</v>
      </c>
      <c r="U291" t="s">
        <v>2088</v>
      </c>
    </row>
    <row r="292" spans="1:21" x14ac:dyDescent="0.25">
      <c r="A292">
        <v>295</v>
      </c>
      <c r="B292">
        <v>9069</v>
      </c>
      <c r="C292" t="s">
        <v>2089</v>
      </c>
      <c r="D292" t="s">
        <v>7105</v>
      </c>
      <c r="E292" t="s">
        <v>7947</v>
      </c>
      <c r="F292" t="s">
        <v>28</v>
      </c>
      <c r="G292" t="s">
        <v>2093</v>
      </c>
      <c r="H292" t="s">
        <v>43</v>
      </c>
      <c r="I292" s="12">
        <v>8065666897</v>
      </c>
      <c r="J292" t="s">
        <v>1207</v>
      </c>
      <c r="K292" t="s">
        <v>7886</v>
      </c>
      <c r="L292" t="s">
        <v>7940</v>
      </c>
      <c r="M292" t="s">
        <v>46</v>
      </c>
      <c r="N292" t="s">
        <v>33</v>
      </c>
      <c r="O292" s="17">
        <v>812500</v>
      </c>
      <c r="P292" s="17" t="s">
        <v>7854</v>
      </c>
      <c r="Q292" s="22">
        <v>0</v>
      </c>
      <c r="R292" s="22" t="s">
        <v>7854</v>
      </c>
      <c r="S292" s="24">
        <v>162500</v>
      </c>
      <c r="T292" s="24" t="s">
        <v>7854</v>
      </c>
      <c r="U292" t="s">
        <v>2094</v>
      </c>
    </row>
    <row r="293" spans="1:21" x14ac:dyDescent="0.25">
      <c r="A293">
        <v>296</v>
      </c>
      <c r="B293">
        <v>24273</v>
      </c>
      <c r="C293" t="s">
        <v>2095</v>
      </c>
      <c r="D293" t="s">
        <v>7106</v>
      </c>
      <c r="E293" t="s">
        <v>2099</v>
      </c>
      <c r="F293" t="s">
        <v>53</v>
      </c>
      <c r="G293" t="s">
        <v>2100</v>
      </c>
      <c r="H293" t="s">
        <v>43</v>
      </c>
      <c r="I293" s="12">
        <v>2348060709361</v>
      </c>
      <c r="J293" t="s">
        <v>31</v>
      </c>
      <c r="K293" t="s">
        <v>7879</v>
      </c>
      <c r="L293" t="s">
        <v>7893</v>
      </c>
      <c r="M293" t="s">
        <v>63</v>
      </c>
      <c r="N293" t="s">
        <v>33</v>
      </c>
      <c r="O293" s="17">
        <v>195000</v>
      </c>
      <c r="P293" s="17" t="s">
        <v>7854</v>
      </c>
      <c r="Q293" s="22">
        <v>0</v>
      </c>
      <c r="R293" s="22" t="s">
        <v>7854</v>
      </c>
      <c r="S293" s="24">
        <v>0</v>
      </c>
      <c r="T293" s="24" t="s">
        <v>7854</v>
      </c>
      <c r="U293" t="s">
        <v>2101</v>
      </c>
    </row>
    <row r="294" spans="1:21" x14ac:dyDescent="0.25">
      <c r="A294">
        <v>297</v>
      </c>
      <c r="B294">
        <v>24289</v>
      </c>
      <c r="C294" t="s">
        <v>2102</v>
      </c>
      <c r="D294" t="s">
        <v>7107</v>
      </c>
      <c r="E294" t="s">
        <v>2105</v>
      </c>
      <c r="F294" t="s">
        <v>28</v>
      </c>
      <c r="G294" t="s">
        <v>2106</v>
      </c>
      <c r="H294" t="s">
        <v>43</v>
      </c>
      <c r="I294" s="12">
        <v>2348135096970</v>
      </c>
      <c r="J294" t="s">
        <v>31</v>
      </c>
      <c r="K294" t="s">
        <v>7879</v>
      </c>
      <c r="L294" t="s">
        <v>7940</v>
      </c>
      <c r="M294" t="s">
        <v>87</v>
      </c>
      <c r="N294" t="s">
        <v>33</v>
      </c>
      <c r="O294" s="17">
        <v>195000</v>
      </c>
      <c r="P294" s="17" t="s">
        <v>7854</v>
      </c>
      <c r="Q294" s="22">
        <v>0</v>
      </c>
      <c r="R294" s="22" t="s">
        <v>7854</v>
      </c>
      <c r="S294" s="24">
        <v>0</v>
      </c>
      <c r="T294" s="24" t="s">
        <v>7854</v>
      </c>
      <c r="U294" t="s">
        <v>2107</v>
      </c>
    </row>
    <row r="295" spans="1:21" x14ac:dyDescent="0.25">
      <c r="A295">
        <v>298</v>
      </c>
      <c r="B295">
        <v>18121</v>
      </c>
      <c r="C295" t="s">
        <v>2108</v>
      </c>
      <c r="D295" t="s">
        <v>7108</v>
      </c>
      <c r="E295" t="s">
        <v>2110</v>
      </c>
      <c r="F295" t="s">
        <v>53</v>
      </c>
      <c r="G295" t="s">
        <v>2110</v>
      </c>
      <c r="H295" t="s">
        <v>43</v>
      </c>
      <c r="I295" s="13" t="s">
        <v>2111</v>
      </c>
      <c r="J295" t="s">
        <v>31</v>
      </c>
      <c r="K295" t="s">
        <v>7879</v>
      </c>
      <c r="L295" t="s">
        <v>7888</v>
      </c>
      <c r="M295" t="s">
        <v>46</v>
      </c>
      <c r="N295" t="s">
        <v>33</v>
      </c>
      <c r="O295" s="17">
        <v>195000</v>
      </c>
      <c r="P295" s="17" t="s">
        <v>7854</v>
      </c>
      <c r="Q295" s="22">
        <v>0</v>
      </c>
      <c r="R295" s="22" t="s">
        <v>7854</v>
      </c>
      <c r="S295" s="24">
        <v>0</v>
      </c>
      <c r="T295" s="24" t="s">
        <v>7854</v>
      </c>
      <c r="U295" t="s">
        <v>2112</v>
      </c>
    </row>
    <row r="296" spans="1:21" x14ac:dyDescent="0.25">
      <c r="A296">
        <v>299</v>
      </c>
      <c r="B296">
        <v>24343</v>
      </c>
      <c r="C296" t="s">
        <v>2113</v>
      </c>
      <c r="D296" t="s">
        <v>7109</v>
      </c>
      <c r="E296" t="s">
        <v>2116</v>
      </c>
      <c r="F296" t="s">
        <v>28</v>
      </c>
      <c r="G296" t="s">
        <v>2117</v>
      </c>
      <c r="H296" t="s">
        <v>43</v>
      </c>
      <c r="I296" s="13" t="s">
        <v>2118</v>
      </c>
      <c r="J296" t="s">
        <v>31</v>
      </c>
      <c r="K296" t="s">
        <v>7879</v>
      </c>
      <c r="L296" t="s">
        <v>7940</v>
      </c>
      <c r="M296" t="s">
        <v>63</v>
      </c>
      <c r="N296" t="s">
        <v>33</v>
      </c>
      <c r="O296" s="17">
        <v>195000</v>
      </c>
      <c r="P296" s="17" t="s">
        <v>7854</v>
      </c>
      <c r="Q296" s="22">
        <v>0</v>
      </c>
      <c r="R296" s="22" t="s">
        <v>7854</v>
      </c>
      <c r="S296" s="24">
        <v>0</v>
      </c>
      <c r="T296" s="24" t="s">
        <v>7854</v>
      </c>
      <c r="U296" t="s">
        <v>2119</v>
      </c>
    </row>
    <row r="297" spans="1:21" x14ac:dyDescent="0.25">
      <c r="A297">
        <v>300</v>
      </c>
      <c r="B297">
        <v>24318</v>
      </c>
      <c r="C297" t="s">
        <v>2120</v>
      </c>
      <c r="D297" t="s">
        <v>7110</v>
      </c>
      <c r="E297" t="s">
        <v>2123</v>
      </c>
      <c r="F297" t="s">
        <v>53</v>
      </c>
      <c r="G297" t="s">
        <v>2124</v>
      </c>
      <c r="H297" t="s">
        <v>43</v>
      </c>
      <c r="I297" s="13" t="s">
        <v>2125</v>
      </c>
      <c r="J297" t="s">
        <v>31</v>
      </c>
      <c r="K297" t="s">
        <v>7879</v>
      </c>
      <c r="L297" t="s">
        <v>7940</v>
      </c>
      <c r="M297" t="s">
        <v>46</v>
      </c>
      <c r="N297" t="s">
        <v>33</v>
      </c>
      <c r="O297" s="17">
        <v>195000</v>
      </c>
      <c r="P297" s="17" t="s">
        <v>7854</v>
      </c>
      <c r="Q297" s="22">
        <v>0</v>
      </c>
      <c r="R297" s="22" t="s">
        <v>7854</v>
      </c>
      <c r="S297" s="24">
        <v>0</v>
      </c>
      <c r="T297" s="24" t="s">
        <v>7854</v>
      </c>
      <c r="U297" t="s">
        <v>2126</v>
      </c>
    </row>
    <row r="298" spans="1:21" x14ac:dyDescent="0.25">
      <c r="A298">
        <v>301</v>
      </c>
      <c r="B298">
        <v>24256</v>
      </c>
      <c r="C298" t="s">
        <v>2127</v>
      </c>
      <c r="D298" t="s">
        <v>7111</v>
      </c>
      <c r="E298" t="s">
        <v>2131</v>
      </c>
      <c r="F298" t="s">
        <v>28</v>
      </c>
      <c r="G298" t="s">
        <v>2132</v>
      </c>
      <c r="H298" t="s">
        <v>43</v>
      </c>
      <c r="I298" s="13" t="s">
        <v>2133</v>
      </c>
      <c r="J298" t="s">
        <v>31</v>
      </c>
      <c r="K298" t="s">
        <v>7879</v>
      </c>
      <c r="L298" t="s">
        <v>7893</v>
      </c>
      <c r="M298" t="s">
        <v>63</v>
      </c>
      <c r="N298" t="s">
        <v>33</v>
      </c>
      <c r="O298" s="17">
        <v>195000</v>
      </c>
      <c r="P298" s="17" t="s">
        <v>7854</v>
      </c>
      <c r="Q298" s="22">
        <v>0</v>
      </c>
      <c r="R298" s="22" t="s">
        <v>7854</v>
      </c>
      <c r="S298" s="24">
        <v>0</v>
      </c>
      <c r="T298" s="24" t="s">
        <v>7854</v>
      </c>
      <c r="U298" t="s">
        <v>2134</v>
      </c>
    </row>
    <row r="299" spans="1:21" x14ac:dyDescent="0.25">
      <c r="A299">
        <v>302</v>
      </c>
      <c r="B299">
        <v>24336</v>
      </c>
      <c r="C299" t="s">
        <v>2135</v>
      </c>
      <c r="D299" t="s">
        <v>7112</v>
      </c>
      <c r="E299" t="s">
        <v>2139</v>
      </c>
      <c r="F299" t="s">
        <v>28</v>
      </c>
      <c r="G299" t="s">
        <v>2140</v>
      </c>
      <c r="H299" t="s">
        <v>43</v>
      </c>
      <c r="I299" s="13" t="s">
        <v>2141</v>
      </c>
      <c r="J299" t="s">
        <v>31</v>
      </c>
      <c r="K299" t="s">
        <v>7879</v>
      </c>
      <c r="L299" t="s">
        <v>7981</v>
      </c>
      <c r="M299" t="s">
        <v>46</v>
      </c>
      <c r="N299" t="s">
        <v>33</v>
      </c>
      <c r="O299" s="17">
        <v>195000</v>
      </c>
      <c r="P299" s="17" t="s">
        <v>7854</v>
      </c>
      <c r="Q299" s="22">
        <v>0</v>
      </c>
      <c r="R299" s="22" t="s">
        <v>7854</v>
      </c>
      <c r="S299" s="24">
        <v>0</v>
      </c>
      <c r="T299" s="24" t="s">
        <v>7854</v>
      </c>
      <c r="U299" t="s">
        <v>2142</v>
      </c>
    </row>
    <row r="300" spans="1:21" x14ac:dyDescent="0.25">
      <c r="A300">
        <v>303</v>
      </c>
      <c r="B300">
        <v>22641</v>
      </c>
      <c r="C300" t="s">
        <v>2143</v>
      </c>
      <c r="D300" t="s">
        <v>7113</v>
      </c>
      <c r="E300" t="s">
        <v>2146</v>
      </c>
      <c r="F300" t="s">
        <v>53</v>
      </c>
      <c r="G300" t="s">
        <v>2147</v>
      </c>
      <c r="H300" t="s">
        <v>43</v>
      </c>
      <c r="I300" s="12">
        <v>2347030101515</v>
      </c>
      <c r="J300" t="s">
        <v>31</v>
      </c>
      <c r="K300" t="s">
        <v>7879</v>
      </c>
      <c r="L300" t="s">
        <v>7893</v>
      </c>
      <c r="M300" t="s">
        <v>46</v>
      </c>
      <c r="N300" t="s">
        <v>33</v>
      </c>
      <c r="O300" s="17">
        <v>195000</v>
      </c>
      <c r="P300" s="17" t="s">
        <v>7854</v>
      </c>
      <c r="Q300" s="22">
        <v>0</v>
      </c>
      <c r="R300" s="22" t="s">
        <v>7854</v>
      </c>
      <c r="S300" s="24">
        <v>0</v>
      </c>
      <c r="T300" s="24" t="s">
        <v>7854</v>
      </c>
      <c r="U300" t="s">
        <v>2148</v>
      </c>
    </row>
    <row r="301" spans="1:21" x14ac:dyDescent="0.25">
      <c r="A301">
        <v>304</v>
      </c>
      <c r="B301">
        <v>20026</v>
      </c>
      <c r="C301" t="s">
        <v>2149</v>
      </c>
      <c r="D301" t="s">
        <v>7114</v>
      </c>
      <c r="E301" t="s">
        <v>2153</v>
      </c>
      <c r="F301" t="s">
        <v>28</v>
      </c>
      <c r="G301" t="s">
        <v>289</v>
      </c>
      <c r="H301" t="s">
        <v>43</v>
      </c>
      <c r="I301" s="13" t="s">
        <v>2154</v>
      </c>
      <c r="J301" t="s">
        <v>31</v>
      </c>
      <c r="K301" t="s">
        <v>7881</v>
      </c>
      <c r="L301" t="s">
        <v>7940</v>
      </c>
      <c r="M301" t="s">
        <v>63</v>
      </c>
      <c r="N301" t="s">
        <v>33</v>
      </c>
      <c r="O301" s="17">
        <v>552500</v>
      </c>
      <c r="P301" s="17" t="s">
        <v>7854</v>
      </c>
      <c r="Q301" s="22">
        <v>0</v>
      </c>
      <c r="R301" s="22" t="s">
        <v>7854</v>
      </c>
      <c r="S301" s="24">
        <v>0</v>
      </c>
      <c r="T301" s="24" t="s">
        <v>7854</v>
      </c>
      <c r="U301" t="s">
        <v>2155</v>
      </c>
    </row>
    <row r="302" spans="1:21" x14ac:dyDescent="0.25">
      <c r="A302">
        <v>305</v>
      </c>
      <c r="B302">
        <v>7190</v>
      </c>
      <c r="C302" t="s">
        <v>2156</v>
      </c>
      <c r="D302" t="s">
        <v>7115</v>
      </c>
      <c r="E302" t="s">
        <v>2160</v>
      </c>
      <c r="F302" t="s">
        <v>53</v>
      </c>
      <c r="G302" t="s">
        <v>2161</v>
      </c>
      <c r="H302" t="s">
        <v>43</v>
      </c>
      <c r="I302" s="12">
        <v>7083469647</v>
      </c>
      <c r="J302" t="s">
        <v>45</v>
      </c>
      <c r="K302" t="s">
        <v>7881</v>
      </c>
      <c r="L302" t="s">
        <v>7893</v>
      </c>
      <c r="M302" t="s">
        <v>46</v>
      </c>
      <c r="N302" t="s">
        <v>33</v>
      </c>
      <c r="O302" s="17">
        <v>552500</v>
      </c>
      <c r="P302" s="17" t="s">
        <v>7854</v>
      </c>
      <c r="Q302" s="22">
        <v>0</v>
      </c>
      <c r="R302" s="22" t="s">
        <v>7854</v>
      </c>
      <c r="S302" s="24">
        <v>0</v>
      </c>
      <c r="T302" s="24" t="s">
        <v>7854</v>
      </c>
      <c r="U302" t="s">
        <v>2162</v>
      </c>
    </row>
    <row r="303" spans="1:21" x14ac:dyDescent="0.25">
      <c r="A303">
        <v>306</v>
      </c>
      <c r="B303">
        <v>23216</v>
      </c>
      <c r="C303" t="s">
        <v>2163</v>
      </c>
      <c r="D303" t="s">
        <v>7116</v>
      </c>
      <c r="E303" t="s">
        <v>2166</v>
      </c>
      <c r="F303" t="s">
        <v>28</v>
      </c>
      <c r="G303" t="s">
        <v>1152</v>
      </c>
      <c r="H303" t="s">
        <v>30</v>
      </c>
      <c r="I303" s="12">
        <v>3132333</v>
      </c>
      <c r="J303" t="s">
        <v>31</v>
      </c>
      <c r="K303" t="s">
        <v>7879</v>
      </c>
      <c r="L303" t="s">
        <v>7940</v>
      </c>
      <c r="M303" t="s">
        <v>32</v>
      </c>
      <c r="N303" t="s">
        <v>130</v>
      </c>
      <c r="O303" s="17" t="s">
        <v>7854</v>
      </c>
      <c r="P303" s="17">
        <v>150</v>
      </c>
      <c r="Q303" s="22" t="s">
        <v>7854</v>
      </c>
      <c r="R303" s="22">
        <v>0</v>
      </c>
      <c r="S303" s="24" t="s">
        <v>7854</v>
      </c>
      <c r="T303" s="24">
        <v>0</v>
      </c>
      <c r="U303" t="s">
        <v>2167</v>
      </c>
    </row>
    <row r="304" spans="1:21" x14ac:dyDescent="0.25">
      <c r="A304">
        <v>307</v>
      </c>
      <c r="B304">
        <v>23550</v>
      </c>
      <c r="C304" t="s">
        <v>2168</v>
      </c>
      <c r="D304" t="s">
        <v>7117</v>
      </c>
      <c r="E304" t="s">
        <v>2172</v>
      </c>
      <c r="F304" t="s">
        <v>28</v>
      </c>
      <c r="G304" t="s">
        <v>2173</v>
      </c>
      <c r="H304" t="s">
        <v>43</v>
      </c>
      <c r="I304" s="12">
        <v>2348070522436</v>
      </c>
      <c r="J304" t="s">
        <v>45</v>
      </c>
      <c r="K304" t="s">
        <v>7879</v>
      </c>
      <c r="L304" t="s">
        <v>7940</v>
      </c>
      <c r="M304" t="s">
        <v>46</v>
      </c>
      <c r="N304" t="s">
        <v>33</v>
      </c>
      <c r="O304" s="17">
        <v>195000</v>
      </c>
      <c r="P304" s="17" t="s">
        <v>7854</v>
      </c>
      <c r="Q304" s="22">
        <v>0</v>
      </c>
      <c r="R304" s="22" t="s">
        <v>7854</v>
      </c>
      <c r="S304" s="24">
        <v>0</v>
      </c>
      <c r="T304" s="24" t="s">
        <v>7854</v>
      </c>
      <c r="U304" t="s">
        <v>2174</v>
      </c>
    </row>
    <row r="305" spans="1:21" x14ac:dyDescent="0.25">
      <c r="A305">
        <v>308</v>
      </c>
      <c r="B305">
        <v>24245</v>
      </c>
      <c r="C305" t="s">
        <v>2175</v>
      </c>
      <c r="D305" t="s">
        <v>7118</v>
      </c>
      <c r="E305" t="s">
        <v>2179</v>
      </c>
      <c r="F305" t="s">
        <v>53</v>
      </c>
      <c r="G305" t="s">
        <v>2180</v>
      </c>
      <c r="H305" t="s">
        <v>43</v>
      </c>
      <c r="I305" s="13" t="s">
        <v>2181</v>
      </c>
      <c r="J305" t="s">
        <v>31</v>
      </c>
      <c r="K305" t="s">
        <v>7879</v>
      </c>
      <c r="L305" t="s">
        <v>7940</v>
      </c>
      <c r="M305" t="s">
        <v>87</v>
      </c>
      <c r="N305" t="s">
        <v>33</v>
      </c>
      <c r="O305" s="17">
        <v>195000</v>
      </c>
      <c r="P305" s="17" t="s">
        <v>7854</v>
      </c>
      <c r="Q305" s="22">
        <v>0</v>
      </c>
      <c r="R305" s="22" t="s">
        <v>7854</v>
      </c>
      <c r="S305" s="24">
        <v>0</v>
      </c>
      <c r="T305" s="24" t="s">
        <v>7854</v>
      </c>
      <c r="U305" t="s">
        <v>2182</v>
      </c>
    </row>
    <row r="306" spans="1:21" x14ac:dyDescent="0.25">
      <c r="A306">
        <v>309</v>
      </c>
      <c r="B306">
        <v>1118</v>
      </c>
      <c r="C306" t="s">
        <v>2183</v>
      </c>
      <c r="D306" t="s">
        <v>7119</v>
      </c>
      <c r="E306" t="s">
        <v>7908</v>
      </c>
      <c r="F306" t="s">
        <v>53</v>
      </c>
      <c r="G306" t="s">
        <v>2186</v>
      </c>
      <c r="H306" t="s">
        <v>43</v>
      </c>
      <c r="I306" s="12">
        <v>2348035233130</v>
      </c>
      <c r="J306" t="s">
        <v>244</v>
      </c>
      <c r="K306" t="s">
        <v>7886</v>
      </c>
      <c r="L306" t="s">
        <v>7893</v>
      </c>
      <c r="M306" t="s">
        <v>63</v>
      </c>
      <c r="N306" t="s">
        <v>33</v>
      </c>
      <c r="O306" s="17">
        <v>812500</v>
      </c>
      <c r="P306" s="17" t="s">
        <v>7854</v>
      </c>
      <c r="Q306" s="22">
        <v>0</v>
      </c>
      <c r="R306" s="22" t="s">
        <v>7854</v>
      </c>
      <c r="S306" s="24">
        <v>0</v>
      </c>
      <c r="T306" s="24" t="s">
        <v>7854</v>
      </c>
      <c r="U306" t="s">
        <v>2187</v>
      </c>
    </row>
    <row r="307" spans="1:21" x14ac:dyDescent="0.25">
      <c r="A307">
        <v>310</v>
      </c>
      <c r="B307">
        <v>18025</v>
      </c>
      <c r="C307" t="s">
        <v>2188</v>
      </c>
      <c r="D307" t="s">
        <v>7120</v>
      </c>
      <c r="E307" t="s">
        <v>7909</v>
      </c>
      <c r="F307" t="s">
        <v>53</v>
      </c>
      <c r="G307" t="s">
        <v>7909</v>
      </c>
      <c r="H307" t="s">
        <v>43</v>
      </c>
      <c r="I307" s="13" t="s">
        <v>2192</v>
      </c>
      <c r="J307" t="s">
        <v>31</v>
      </c>
      <c r="K307" t="s">
        <v>7881</v>
      </c>
      <c r="L307" t="s">
        <v>7893</v>
      </c>
      <c r="M307" t="s">
        <v>87</v>
      </c>
      <c r="N307" t="s">
        <v>33</v>
      </c>
      <c r="O307" s="17">
        <v>552500</v>
      </c>
      <c r="P307" s="17" t="s">
        <v>7854</v>
      </c>
      <c r="Q307" s="22">
        <v>0</v>
      </c>
      <c r="R307" s="22" t="s">
        <v>7854</v>
      </c>
      <c r="S307" s="24">
        <v>0</v>
      </c>
      <c r="T307" s="24" t="s">
        <v>7854</v>
      </c>
      <c r="U307" t="s">
        <v>2193</v>
      </c>
    </row>
    <row r="308" spans="1:21" x14ac:dyDescent="0.25">
      <c r="A308">
        <v>311</v>
      </c>
      <c r="B308">
        <v>11177</v>
      </c>
      <c r="C308" t="s">
        <v>2194</v>
      </c>
      <c r="D308" t="s">
        <v>7121</v>
      </c>
      <c r="E308" t="s">
        <v>2196</v>
      </c>
      <c r="F308" t="s">
        <v>28</v>
      </c>
      <c r="G308" t="s">
        <v>2197</v>
      </c>
      <c r="H308" t="s">
        <v>43</v>
      </c>
      <c r="I308" s="12">
        <v>8036543484</v>
      </c>
      <c r="J308" t="s">
        <v>31</v>
      </c>
      <c r="K308" t="s">
        <v>7881</v>
      </c>
      <c r="L308" t="s">
        <v>7893</v>
      </c>
      <c r="M308" t="s">
        <v>46</v>
      </c>
      <c r="N308" t="s">
        <v>33</v>
      </c>
      <c r="O308" s="17">
        <v>552500</v>
      </c>
      <c r="P308" s="17" t="s">
        <v>7854</v>
      </c>
      <c r="Q308" s="22">
        <v>0</v>
      </c>
      <c r="R308" s="22" t="s">
        <v>7854</v>
      </c>
      <c r="S308" s="24">
        <v>0</v>
      </c>
      <c r="T308" s="24" t="s">
        <v>7854</v>
      </c>
      <c r="U308" t="s">
        <v>2198</v>
      </c>
    </row>
    <row r="309" spans="1:21" x14ac:dyDescent="0.25">
      <c r="A309">
        <v>313</v>
      </c>
      <c r="B309">
        <v>19298</v>
      </c>
      <c r="C309" t="s">
        <v>2202</v>
      </c>
      <c r="D309" t="s">
        <v>7122</v>
      </c>
      <c r="E309" t="s">
        <v>2204</v>
      </c>
      <c r="F309" t="s">
        <v>28</v>
      </c>
      <c r="G309" t="s">
        <v>2205</v>
      </c>
      <c r="H309" t="s">
        <v>43</v>
      </c>
      <c r="I309" s="13" t="s">
        <v>2206</v>
      </c>
      <c r="J309" t="s">
        <v>45</v>
      </c>
      <c r="K309" t="s">
        <v>7881</v>
      </c>
      <c r="L309" t="s">
        <v>7981</v>
      </c>
      <c r="M309" t="s">
        <v>46</v>
      </c>
      <c r="N309" t="s">
        <v>33</v>
      </c>
      <c r="O309" s="17">
        <v>552500</v>
      </c>
      <c r="P309" s="17" t="s">
        <v>7854</v>
      </c>
      <c r="Q309" s="22">
        <v>0</v>
      </c>
      <c r="R309" s="22" t="s">
        <v>7854</v>
      </c>
      <c r="S309" s="24">
        <v>0</v>
      </c>
      <c r="T309" s="24" t="s">
        <v>7854</v>
      </c>
      <c r="U309" t="s">
        <v>2207</v>
      </c>
    </row>
    <row r="310" spans="1:21" x14ac:dyDescent="0.25">
      <c r="A310">
        <v>314</v>
      </c>
      <c r="B310">
        <v>20751</v>
      </c>
      <c r="C310" t="s">
        <v>2208</v>
      </c>
      <c r="D310" t="s">
        <v>7123</v>
      </c>
      <c r="E310" t="s">
        <v>2211</v>
      </c>
      <c r="F310" t="s">
        <v>28</v>
      </c>
      <c r="G310" t="s">
        <v>2212</v>
      </c>
      <c r="H310" t="s">
        <v>43</v>
      </c>
      <c r="I310" s="13" t="s">
        <v>2213</v>
      </c>
      <c r="J310" t="s">
        <v>31</v>
      </c>
      <c r="K310" t="s">
        <v>7881</v>
      </c>
      <c r="L310" t="s">
        <v>7893</v>
      </c>
      <c r="M310" t="s">
        <v>87</v>
      </c>
      <c r="N310" t="s">
        <v>33</v>
      </c>
      <c r="O310" s="17">
        <v>552500</v>
      </c>
      <c r="P310" s="17" t="s">
        <v>7854</v>
      </c>
      <c r="Q310" s="22">
        <v>0</v>
      </c>
      <c r="R310" s="22" t="s">
        <v>7854</v>
      </c>
      <c r="S310" s="24">
        <v>0</v>
      </c>
      <c r="T310" s="24" t="s">
        <v>7854</v>
      </c>
      <c r="U310" t="s">
        <v>2214</v>
      </c>
    </row>
    <row r="311" spans="1:21" x14ac:dyDescent="0.25">
      <c r="A311">
        <v>315</v>
      </c>
      <c r="B311">
        <v>24337</v>
      </c>
      <c r="C311" t="s">
        <v>2215</v>
      </c>
      <c r="D311" t="s">
        <v>7124</v>
      </c>
      <c r="E311" t="s">
        <v>2219</v>
      </c>
      <c r="F311" t="s">
        <v>28</v>
      </c>
      <c r="G311" t="s">
        <v>2220</v>
      </c>
      <c r="H311" t="s">
        <v>43</v>
      </c>
      <c r="I311" s="12">
        <v>2348037848480</v>
      </c>
      <c r="J311" t="s">
        <v>31</v>
      </c>
      <c r="K311" t="s">
        <v>7879</v>
      </c>
      <c r="L311" t="s">
        <v>7888</v>
      </c>
      <c r="M311" t="s">
        <v>87</v>
      </c>
      <c r="N311" t="s">
        <v>33</v>
      </c>
      <c r="O311" s="17">
        <v>195000</v>
      </c>
      <c r="P311" s="17" t="s">
        <v>7854</v>
      </c>
      <c r="Q311" s="22">
        <v>0</v>
      </c>
      <c r="R311" s="22" t="s">
        <v>7854</v>
      </c>
      <c r="S311" s="24">
        <v>0</v>
      </c>
      <c r="T311" s="24" t="s">
        <v>7854</v>
      </c>
      <c r="U311" t="s">
        <v>2221</v>
      </c>
    </row>
    <row r="312" spans="1:21" x14ac:dyDescent="0.25">
      <c r="A312">
        <v>316</v>
      </c>
      <c r="B312">
        <v>20824</v>
      </c>
      <c r="C312" t="s">
        <v>2222</v>
      </c>
      <c r="D312" t="s">
        <v>7125</v>
      </c>
      <c r="E312" t="s">
        <v>2226</v>
      </c>
      <c r="F312" t="s">
        <v>53</v>
      </c>
      <c r="G312" t="s">
        <v>2227</v>
      </c>
      <c r="H312" t="s">
        <v>43</v>
      </c>
      <c r="I312" s="12">
        <v>2347063609161</v>
      </c>
      <c r="J312" t="s">
        <v>31</v>
      </c>
      <c r="K312" t="s">
        <v>7881</v>
      </c>
      <c r="L312" t="s">
        <v>7893</v>
      </c>
      <c r="M312" t="s">
        <v>87</v>
      </c>
      <c r="N312" t="s">
        <v>33</v>
      </c>
      <c r="O312" s="17">
        <v>552500</v>
      </c>
      <c r="P312" s="17" t="s">
        <v>7854</v>
      </c>
      <c r="Q312" s="22">
        <v>0</v>
      </c>
      <c r="R312" s="22" t="s">
        <v>7854</v>
      </c>
      <c r="S312" s="24">
        <v>0</v>
      </c>
      <c r="T312" s="24" t="s">
        <v>7854</v>
      </c>
      <c r="U312" t="s">
        <v>2228</v>
      </c>
    </row>
    <row r="313" spans="1:21" x14ac:dyDescent="0.25">
      <c r="A313">
        <v>317</v>
      </c>
      <c r="B313">
        <v>5088</v>
      </c>
      <c r="C313" t="s">
        <v>2229</v>
      </c>
      <c r="D313" t="s">
        <v>7126</v>
      </c>
      <c r="E313" t="s">
        <v>2232</v>
      </c>
      <c r="F313" t="s">
        <v>53</v>
      </c>
      <c r="G313" t="s">
        <v>2233</v>
      </c>
      <c r="H313" t="s">
        <v>43</v>
      </c>
      <c r="I313" s="12">
        <v>8036593895</v>
      </c>
      <c r="J313" t="s">
        <v>31</v>
      </c>
      <c r="K313" t="s">
        <v>7886</v>
      </c>
      <c r="L313" t="s">
        <v>7940</v>
      </c>
      <c r="M313" t="s">
        <v>46</v>
      </c>
      <c r="N313" t="s">
        <v>33</v>
      </c>
      <c r="O313" s="17">
        <v>812500</v>
      </c>
      <c r="P313" s="17" t="s">
        <v>7854</v>
      </c>
      <c r="Q313" s="22">
        <v>0</v>
      </c>
      <c r="R313" s="22" t="s">
        <v>7854</v>
      </c>
      <c r="S313" s="24">
        <v>162500</v>
      </c>
      <c r="T313" s="24" t="s">
        <v>7854</v>
      </c>
      <c r="U313" t="s">
        <v>2234</v>
      </c>
    </row>
    <row r="314" spans="1:21" x14ac:dyDescent="0.25">
      <c r="A314">
        <v>318</v>
      </c>
      <c r="B314">
        <v>24287</v>
      </c>
      <c r="C314" t="s">
        <v>2235</v>
      </c>
      <c r="D314" t="s">
        <v>7127</v>
      </c>
      <c r="E314" s="2" t="s">
        <v>2238</v>
      </c>
      <c r="F314" t="s">
        <v>28</v>
      </c>
      <c r="G314" t="s">
        <v>2239</v>
      </c>
      <c r="H314" t="s">
        <v>43</v>
      </c>
      <c r="I314" s="13" t="s">
        <v>2238</v>
      </c>
      <c r="J314" t="s">
        <v>31</v>
      </c>
      <c r="K314" t="s">
        <v>7879</v>
      </c>
      <c r="L314" t="s">
        <v>7940</v>
      </c>
      <c r="M314" t="s">
        <v>46</v>
      </c>
      <c r="N314" t="s">
        <v>33</v>
      </c>
      <c r="O314" s="17">
        <v>195000</v>
      </c>
      <c r="P314" s="17" t="s">
        <v>7854</v>
      </c>
      <c r="Q314" s="22">
        <v>0</v>
      </c>
      <c r="R314" s="22" t="s">
        <v>7854</v>
      </c>
      <c r="S314" s="24">
        <v>0</v>
      </c>
      <c r="T314" s="24" t="s">
        <v>7854</v>
      </c>
      <c r="U314" t="s">
        <v>2240</v>
      </c>
    </row>
    <row r="315" spans="1:21" x14ac:dyDescent="0.25">
      <c r="A315">
        <v>319</v>
      </c>
      <c r="B315">
        <v>18429</v>
      </c>
      <c r="C315" t="s">
        <v>2241</v>
      </c>
      <c r="D315" t="s">
        <v>7128</v>
      </c>
      <c r="E315" t="s">
        <v>2244</v>
      </c>
      <c r="F315" t="s">
        <v>53</v>
      </c>
      <c r="G315" t="s">
        <v>2245</v>
      </c>
      <c r="H315" t="s">
        <v>43</v>
      </c>
      <c r="I315" s="13" t="s">
        <v>2246</v>
      </c>
      <c r="J315" t="s">
        <v>31</v>
      </c>
      <c r="K315" t="s">
        <v>7879</v>
      </c>
      <c r="L315" t="s">
        <v>7940</v>
      </c>
      <c r="M315" t="s">
        <v>63</v>
      </c>
      <c r="N315" t="s">
        <v>33</v>
      </c>
      <c r="O315" s="17">
        <v>195000</v>
      </c>
      <c r="P315" s="17" t="s">
        <v>7854</v>
      </c>
      <c r="Q315" s="22">
        <v>0</v>
      </c>
      <c r="R315" s="22" t="s">
        <v>7854</v>
      </c>
      <c r="S315" s="24">
        <v>0</v>
      </c>
      <c r="T315" s="24" t="s">
        <v>7854</v>
      </c>
      <c r="U315" t="s">
        <v>2247</v>
      </c>
    </row>
    <row r="316" spans="1:21" x14ac:dyDescent="0.25">
      <c r="A316">
        <v>320</v>
      </c>
      <c r="B316">
        <v>24361</v>
      </c>
      <c r="C316" t="s">
        <v>2248</v>
      </c>
      <c r="D316" t="s">
        <v>7129</v>
      </c>
      <c r="E316" t="s">
        <v>2252</v>
      </c>
      <c r="F316" t="s">
        <v>53</v>
      </c>
      <c r="G316" t="s">
        <v>2253</v>
      </c>
      <c r="H316" t="s">
        <v>43</v>
      </c>
      <c r="I316" s="13" t="s">
        <v>2254</v>
      </c>
      <c r="J316" t="s">
        <v>31</v>
      </c>
      <c r="K316" t="s">
        <v>7879</v>
      </c>
      <c r="L316" t="s">
        <v>7893</v>
      </c>
      <c r="M316" t="s">
        <v>87</v>
      </c>
      <c r="N316" t="s">
        <v>33</v>
      </c>
      <c r="O316" s="17">
        <v>195000</v>
      </c>
      <c r="P316" s="17" t="s">
        <v>7854</v>
      </c>
      <c r="Q316" s="22">
        <v>0</v>
      </c>
      <c r="R316" s="22" t="s">
        <v>7854</v>
      </c>
      <c r="S316" s="24">
        <v>0</v>
      </c>
      <c r="T316" s="24" t="s">
        <v>7854</v>
      </c>
      <c r="U316" t="s">
        <v>2255</v>
      </c>
    </row>
    <row r="317" spans="1:21" x14ac:dyDescent="0.25">
      <c r="A317">
        <v>321</v>
      </c>
      <c r="B317">
        <v>24365</v>
      </c>
      <c r="C317" t="s">
        <v>2256</v>
      </c>
      <c r="D317" t="s">
        <v>7130</v>
      </c>
      <c r="E317" t="s">
        <v>2260</v>
      </c>
      <c r="F317" t="s">
        <v>28</v>
      </c>
      <c r="G317" t="s">
        <v>2261</v>
      </c>
      <c r="H317" t="s">
        <v>43</v>
      </c>
      <c r="I317" s="13" t="s">
        <v>2262</v>
      </c>
      <c r="J317" t="s">
        <v>31</v>
      </c>
      <c r="K317" t="s">
        <v>7879</v>
      </c>
      <c r="L317" t="s">
        <v>7893</v>
      </c>
      <c r="M317" t="s">
        <v>46</v>
      </c>
      <c r="N317" t="s">
        <v>33</v>
      </c>
      <c r="O317" s="17">
        <v>195000</v>
      </c>
      <c r="P317" s="17" t="s">
        <v>7854</v>
      </c>
      <c r="Q317" s="22">
        <v>0</v>
      </c>
      <c r="R317" s="22" t="s">
        <v>7854</v>
      </c>
      <c r="S317" s="24">
        <v>0</v>
      </c>
      <c r="T317" s="24" t="s">
        <v>7854</v>
      </c>
      <c r="U317" t="s">
        <v>2263</v>
      </c>
    </row>
    <row r="318" spans="1:21" x14ac:dyDescent="0.25">
      <c r="A318">
        <v>322</v>
      </c>
      <c r="B318">
        <v>24322</v>
      </c>
      <c r="C318" t="s">
        <v>2264</v>
      </c>
      <c r="D318" t="s">
        <v>7131</v>
      </c>
      <c r="E318" t="s">
        <v>2268</v>
      </c>
      <c r="F318" t="s">
        <v>28</v>
      </c>
      <c r="G318" t="s">
        <v>2269</v>
      </c>
      <c r="H318" t="s">
        <v>43</v>
      </c>
      <c r="I318" s="13" t="s">
        <v>2270</v>
      </c>
      <c r="J318" t="s">
        <v>31</v>
      </c>
      <c r="K318" t="s">
        <v>7879</v>
      </c>
      <c r="L318" t="s">
        <v>7893</v>
      </c>
      <c r="M318" t="s">
        <v>63</v>
      </c>
      <c r="N318" t="s">
        <v>33</v>
      </c>
      <c r="O318" s="17">
        <v>195000</v>
      </c>
      <c r="P318" s="17" t="s">
        <v>7854</v>
      </c>
      <c r="Q318" s="22">
        <v>0</v>
      </c>
      <c r="R318" s="22" t="s">
        <v>7854</v>
      </c>
      <c r="S318" s="24">
        <v>0</v>
      </c>
      <c r="T318" s="24" t="s">
        <v>7854</v>
      </c>
      <c r="U318" t="s">
        <v>2271</v>
      </c>
    </row>
    <row r="319" spans="1:21" x14ac:dyDescent="0.25">
      <c r="A319">
        <v>323</v>
      </c>
      <c r="B319">
        <v>24106</v>
      </c>
      <c r="C319" t="s">
        <v>2272</v>
      </c>
      <c r="D319" t="s">
        <v>7132</v>
      </c>
      <c r="E319" t="s">
        <v>2276</v>
      </c>
      <c r="F319" t="s">
        <v>28</v>
      </c>
      <c r="G319" t="s">
        <v>923</v>
      </c>
      <c r="H319" t="s">
        <v>43</v>
      </c>
      <c r="I319" s="13" t="s">
        <v>2277</v>
      </c>
      <c r="J319" t="s">
        <v>31</v>
      </c>
      <c r="K319" t="s">
        <v>7879</v>
      </c>
      <c r="L319" t="s">
        <v>7981</v>
      </c>
      <c r="M319" t="s">
        <v>46</v>
      </c>
      <c r="N319" t="s">
        <v>33</v>
      </c>
      <c r="O319" s="17">
        <v>195000</v>
      </c>
      <c r="P319" s="17" t="s">
        <v>7854</v>
      </c>
      <c r="Q319" s="22">
        <v>0</v>
      </c>
      <c r="R319" s="22" t="s">
        <v>7854</v>
      </c>
      <c r="S319" s="24">
        <v>0</v>
      </c>
      <c r="T319" s="24" t="s">
        <v>7854</v>
      </c>
      <c r="U319" t="s">
        <v>2278</v>
      </c>
    </row>
    <row r="320" spans="1:21" x14ac:dyDescent="0.25">
      <c r="A320">
        <v>324</v>
      </c>
      <c r="B320">
        <v>19129</v>
      </c>
      <c r="C320" t="s">
        <v>2279</v>
      </c>
      <c r="D320" t="s">
        <v>7133</v>
      </c>
      <c r="E320" t="s">
        <v>2282</v>
      </c>
      <c r="F320" t="s">
        <v>53</v>
      </c>
      <c r="G320" t="s">
        <v>2283</v>
      </c>
      <c r="H320" t="s">
        <v>43</v>
      </c>
      <c r="I320" s="13" t="s">
        <v>2284</v>
      </c>
      <c r="J320" t="s">
        <v>31</v>
      </c>
      <c r="K320" t="s">
        <v>7881</v>
      </c>
      <c r="L320" t="s">
        <v>7893</v>
      </c>
      <c r="M320" t="s">
        <v>46</v>
      </c>
      <c r="N320" t="s">
        <v>33</v>
      </c>
      <c r="O320" s="17">
        <v>552500</v>
      </c>
      <c r="P320" s="17" t="s">
        <v>7854</v>
      </c>
      <c r="Q320" s="22">
        <v>0</v>
      </c>
      <c r="R320" s="22" t="s">
        <v>7854</v>
      </c>
      <c r="S320" s="24">
        <v>0</v>
      </c>
      <c r="T320" s="24" t="s">
        <v>7854</v>
      </c>
      <c r="U320" t="s">
        <v>2285</v>
      </c>
    </row>
    <row r="321" spans="1:21" x14ac:dyDescent="0.25">
      <c r="A321">
        <v>325</v>
      </c>
      <c r="B321">
        <v>5695</v>
      </c>
      <c r="C321" t="s">
        <v>2286</v>
      </c>
      <c r="D321" t="s">
        <v>7134</v>
      </c>
      <c r="E321" t="s">
        <v>7910</v>
      </c>
      <c r="F321" t="s">
        <v>28</v>
      </c>
      <c r="G321" t="s">
        <v>717</v>
      </c>
      <c r="H321" t="s">
        <v>43</v>
      </c>
      <c r="I321" s="12">
        <v>8035503524</v>
      </c>
      <c r="J321" t="s">
        <v>244</v>
      </c>
      <c r="K321" t="s">
        <v>7886</v>
      </c>
      <c r="L321" t="s">
        <v>7893</v>
      </c>
      <c r="M321" t="s">
        <v>46</v>
      </c>
      <c r="N321" t="s">
        <v>33</v>
      </c>
      <c r="O321" s="17">
        <v>812500</v>
      </c>
      <c r="P321" s="17" t="s">
        <v>7854</v>
      </c>
      <c r="Q321" s="22">
        <v>0</v>
      </c>
      <c r="R321" s="22" t="s">
        <v>7854</v>
      </c>
      <c r="S321" s="24">
        <v>0</v>
      </c>
      <c r="T321" s="24" t="s">
        <v>7854</v>
      </c>
      <c r="U321" t="s">
        <v>2290</v>
      </c>
    </row>
    <row r="322" spans="1:21" x14ac:dyDescent="0.25">
      <c r="A322">
        <v>326</v>
      </c>
      <c r="B322">
        <v>20745</v>
      </c>
      <c r="C322" t="s">
        <v>2291</v>
      </c>
      <c r="D322" t="s">
        <v>7135</v>
      </c>
      <c r="E322" t="s">
        <v>2294</v>
      </c>
      <c r="F322" t="s">
        <v>28</v>
      </c>
      <c r="G322" t="s">
        <v>2295</v>
      </c>
      <c r="H322" t="s">
        <v>43</v>
      </c>
      <c r="I322" s="13" t="s">
        <v>2296</v>
      </c>
      <c r="J322" t="s">
        <v>31</v>
      </c>
      <c r="K322" t="s">
        <v>7881</v>
      </c>
      <c r="L322" t="s">
        <v>7888</v>
      </c>
      <c r="M322" t="s">
        <v>63</v>
      </c>
      <c r="N322" t="s">
        <v>33</v>
      </c>
      <c r="O322" s="17">
        <v>552500</v>
      </c>
      <c r="P322" s="17" t="s">
        <v>7854</v>
      </c>
      <c r="Q322" s="22">
        <v>110500</v>
      </c>
      <c r="R322" s="22" t="s">
        <v>7854</v>
      </c>
      <c r="S322" s="24">
        <v>0</v>
      </c>
      <c r="T322" s="24" t="s">
        <v>7854</v>
      </c>
      <c r="U322" t="s">
        <v>2297</v>
      </c>
    </row>
    <row r="323" spans="1:21" x14ac:dyDescent="0.25">
      <c r="A323">
        <v>327</v>
      </c>
      <c r="B323">
        <v>20040</v>
      </c>
      <c r="C323" t="s">
        <v>2298</v>
      </c>
      <c r="D323" t="s">
        <v>7136</v>
      </c>
      <c r="E323" t="s">
        <v>2302</v>
      </c>
      <c r="F323" t="s">
        <v>28</v>
      </c>
      <c r="G323" t="s">
        <v>2303</v>
      </c>
      <c r="H323" t="s">
        <v>43</v>
      </c>
      <c r="I323" s="13" t="s">
        <v>2304</v>
      </c>
      <c r="J323" t="s">
        <v>45</v>
      </c>
      <c r="K323" t="s">
        <v>7881</v>
      </c>
      <c r="L323" t="s">
        <v>7893</v>
      </c>
      <c r="M323" t="s">
        <v>46</v>
      </c>
      <c r="N323" t="s">
        <v>33</v>
      </c>
      <c r="O323" s="17">
        <v>552500</v>
      </c>
      <c r="P323" s="17" t="s">
        <v>7854</v>
      </c>
      <c r="Q323" s="22">
        <v>0</v>
      </c>
      <c r="R323" s="22" t="s">
        <v>7854</v>
      </c>
      <c r="S323" s="24">
        <v>0</v>
      </c>
      <c r="T323" s="24" t="s">
        <v>7854</v>
      </c>
      <c r="U323" t="s">
        <v>2305</v>
      </c>
    </row>
    <row r="324" spans="1:21" x14ac:dyDescent="0.25">
      <c r="A324">
        <v>328</v>
      </c>
      <c r="B324">
        <v>18517</v>
      </c>
      <c r="C324" t="s">
        <v>2306</v>
      </c>
      <c r="D324" t="s">
        <v>7137</v>
      </c>
      <c r="E324" t="s">
        <v>2310</v>
      </c>
      <c r="F324" t="s">
        <v>28</v>
      </c>
      <c r="G324" t="s">
        <v>2311</v>
      </c>
      <c r="H324" t="s">
        <v>43</v>
      </c>
      <c r="I324" s="13" t="s">
        <v>2312</v>
      </c>
      <c r="J324" t="s">
        <v>45</v>
      </c>
      <c r="K324" t="s">
        <v>7881</v>
      </c>
      <c r="L324" t="s">
        <v>7981</v>
      </c>
      <c r="M324" t="s">
        <v>63</v>
      </c>
      <c r="N324" t="s">
        <v>33</v>
      </c>
      <c r="O324" s="17">
        <v>552500</v>
      </c>
      <c r="P324" s="17" t="s">
        <v>7854</v>
      </c>
      <c r="Q324" s="22">
        <v>0</v>
      </c>
      <c r="R324" s="22" t="s">
        <v>7854</v>
      </c>
      <c r="S324" s="24">
        <v>0</v>
      </c>
      <c r="T324" s="24" t="s">
        <v>7854</v>
      </c>
      <c r="U324" t="s">
        <v>2313</v>
      </c>
    </row>
    <row r="325" spans="1:21" x14ac:dyDescent="0.25">
      <c r="A325">
        <v>329</v>
      </c>
      <c r="B325">
        <v>24355</v>
      </c>
      <c r="C325" t="s">
        <v>2314</v>
      </c>
      <c r="D325" t="s">
        <v>7138</v>
      </c>
      <c r="E325" t="s">
        <v>2317</v>
      </c>
      <c r="F325" t="s">
        <v>28</v>
      </c>
      <c r="G325" t="s">
        <v>2318</v>
      </c>
      <c r="H325" t="s">
        <v>43</v>
      </c>
      <c r="I325" s="13" t="s">
        <v>2319</v>
      </c>
      <c r="J325" t="s">
        <v>31</v>
      </c>
      <c r="K325" t="s">
        <v>7879</v>
      </c>
      <c r="L325" t="s">
        <v>7888</v>
      </c>
      <c r="M325" t="s">
        <v>63</v>
      </c>
      <c r="N325" t="s">
        <v>33</v>
      </c>
      <c r="O325" s="17">
        <v>195000</v>
      </c>
      <c r="P325" s="17" t="s">
        <v>7854</v>
      </c>
      <c r="Q325" s="22">
        <v>0</v>
      </c>
      <c r="R325" s="22" t="s">
        <v>7854</v>
      </c>
      <c r="S325" s="24">
        <v>0</v>
      </c>
      <c r="T325" s="24" t="s">
        <v>7854</v>
      </c>
      <c r="U325" t="s">
        <v>2320</v>
      </c>
    </row>
    <row r="326" spans="1:21" x14ac:dyDescent="0.25">
      <c r="A326">
        <v>330</v>
      </c>
      <c r="B326">
        <v>368</v>
      </c>
      <c r="C326" t="s">
        <v>2321</v>
      </c>
      <c r="D326" t="s">
        <v>7139</v>
      </c>
      <c r="E326" t="s">
        <v>2324</v>
      </c>
      <c r="F326" t="s">
        <v>53</v>
      </c>
      <c r="G326" t="s">
        <v>2325</v>
      </c>
      <c r="H326" t="s">
        <v>43</v>
      </c>
      <c r="I326" s="12">
        <v>23408034998746</v>
      </c>
      <c r="J326" t="s">
        <v>31</v>
      </c>
      <c r="K326" t="s">
        <v>7886</v>
      </c>
      <c r="L326" t="s">
        <v>7888</v>
      </c>
      <c r="M326" t="s">
        <v>46</v>
      </c>
      <c r="N326" t="s">
        <v>33</v>
      </c>
      <c r="O326" s="17">
        <v>812500</v>
      </c>
      <c r="P326" s="17" t="s">
        <v>7854</v>
      </c>
      <c r="Q326" s="22">
        <v>0</v>
      </c>
      <c r="R326" s="22" t="s">
        <v>7854</v>
      </c>
      <c r="S326" s="24">
        <v>162500</v>
      </c>
      <c r="T326" s="24" t="s">
        <v>7854</v>
      </c>
      <c r="U326" t="s">
        <v>2326</v>
      </c>
    </row>
    <row r="327" spans="1:21" x14ac:dyDescent="0.25">
      <c r="A327">
        <v>331</v>
      </c>
      <c r="B327">
        <v>3097</v>
      </c>
      <c r="C327" t="s">
        <v>2327</v>
      </c>
      <c r="D327" t="s">
        <v>7140</v>
      </c>
      <c r="E327" t="s">
        <v>7911</v>
      </c>
      <c r="F327" t="s">
        <v>53</v>
      </c>
      <c r="G327" t="s">
        <v>2331</v>
      </c>
      <c r="H327" t="s">
        <v>43</v>
      </c>
      <c r="I327" s="13" t="s">
        <v>2332</v>
      </c>
      <c r="J327" t="s">
        <v>2333</v>
      </c>
      <c r="K327" t="s">
        <v>7886</v>
      </c>
      <c r="L327" t="s">
        <v>7893</v>
      </c>
      <c r="M327" t="s">
        <v>63</v>
      </c>
      <c r="N327" t="s">
        <v>33</v>
      </c>
      <c r="O327" s="17">
        <v>812500</v>
      </c>
      <c r="P327" s="17" t="s">
        <v>7854</v>
      </c>
      <c r="Q327" s="22">
        <v>0</v>
      </c>
      <c r="R327" s="22" t="s">
        <v>7854</v>
      </c>
      <c r="S327" s="24">
        <v>162500</v>
      </c>
      <c r="T327" s="24" t="s">
        <v>7854</v>
      </c>
      <c r="U327" t="s">
        <v>2334</v>
      </c>
    </row>
    <row r="328" spans="1:21" x14ac:dyDescent="0.25">
      <c r="A328">
        <v>332</v>
      </c>
      <c r="B328">
        <v>24370</v>
      </c>
      <c r="C328" t="s">
        <v>2335</v>
      </c>
      <c r="D328" t="s">
        <v>7141</v>
      </c>
      <c r="E328" t="s">
        <v>2339</v>
      </c>
      <c r="F328" t="s">
        <v>28</v>
      </c>
      <c r="G328" t="s">
        <v>2340</v>
      </c>
      <c r="H328" t="s">
        <v>43</v>
      </c>
      <c r="I328" s="13" t="s">
        <v>2341</v>
      </c>
      <c r="J328" t="s">
        <v>31</v>
      </c>
      <c r="K328" t="s">
        <v>7879</v>
      </c>
      <c r="L328" t="s">
        <v>7893</v>
      </c>
      <c r="M328" t="s">
        <v>46</v>
      </c>
      <c r="N328" t="s">
        <v>33</v>
      </c>
      <c r="O328" s="17">
        <v>195000</v>
      </c>
      <c r="P328" s="17" t="s">
        <v>7854</v>
      </c>
      <c r="Q328" s="22">
        <v>0</v>
      </c>
      <c r="R328" s="22" t="s">
        <v>7854</v>
      </c>
      <c r="S328" s="24">
        <v>0</v>
      </c>
      <c r="T328" s="24" t="s">
        <v>7854</v>
      </c>
      <c r="U328" t="s">
        <v>2342</v>
      </c>
    </row>
    <row r="329" spans="1:21" x14ac:dyDescent="0.25">
      <c r="A329">
        <v>333</v>
      </c>
      <c r="B329">
        <v>19427</v>
      </c>
      <c r="C329" t="s">
        <v>2343</v>
      </c>
      <c r="D329" t="s">
        <v>7142</v>
      </c>
      <c r="E329" t="s">
        <v>2347</v>
      </c>
      <c r="F329" t="s">
        <v>28</v>
      </c>
      <c r="G329" t="s">
        <v>393</v>
      </c>
      <c r="H329" t="s">
        <v>43</v>
      </c>
      <c r="I329" s="13" t="s">
        <v>2348</v>
      </c>
      <c r="J329" t="s">
        <v>31</v>
      </c>
      <c r="K329" t="s">
        <v>7881</v>
      </c>
      <c r="L329" t="s">
        <v>7888</v>
      </c>
      <c r="M329" t="s">
        <v>63</v>
      </c>
      <c r="N329" t="s">
        <v>33</v>
      </c>
      <c r="O329" s="17">
        <v>552500</v>
      </c>
      <c r="P329" s="17" t="s">
        <v>7854</v>
      </c>
      <c r="Q329" s="22">
        <v>110500</v>
      </c>
      <c r="R329" s="22" t="s">
        <v>7854</v>
      </c>
      <c r="S329" s="24">
        <v>0</v>
      </c>
      <c r="T329" s="24" t="s">
        <v>7854</v>
      </c>
      <c r="U329" t="s">
        <v>2349</v>
      </c>
    </row>
    <row r="330" spans="1:21" x14ac:dyDescent="0.25">
      <c r="A330">
        <v>334</v>
      </c>
      <c r="B330">
        <v>2933</v>
      </c>
      <c r="C330" t="s">
        <v>2350</v>
      </c>
      <c r="D330" t="s">
        <v>7143</v>
      </c>
      <c r="E330" t="s">
        <v>2352</v>
      </c>
      <c r="F330" t="s">
        <v>28</v>
      </c>
      <c r="G330" t="s">
        <v>2353</v>
      </c>
      <c r="H330" t="s">
        <v>43</v>
      </c>
      <c r="I330" s="13" t="s">
        <v>2354</v>
      </c>
      <c r="J330" t="s">
        <v>31</v>
      </c>
      <c r="K330" t="s">
        <v>7879</v>
      </c>
      <c r="L330" t="s">
        <v>7981</v>
      </c>
      <c r="M330" t="s">
        <v>63</v>
      </c>
      <c r="N330" t="s">
        <v>33</v>
      </c>
      <c r="O330" s="17">
        <v>195000</v>
      </c>
      <c r="P330" s="17" t="s">
        <v>7854</v>
      </c>
      <c r="Q330" s="22">
        <v>0</v>
      </c>
      <c r="R330" s="22" t="s">
        <v>7854</v>
      </c>
      <c r="S330" s="24">
        <v>0</v>
      </c>
      <c r="T330" s="24" t="s">
        <v>7854</v>
      </c>
      <c r="U330" t="s">
        <v>2355</v>
      </c>
    </row>
    <row r="331" spans="1:21" x14ac:dyDescent="0.25">
      <c r="A331">
        <v>335</v>
      </c>
      <c r="B331">
        <v>24211</v>
      </c>
      <c r="C331" t="s">
        <v>2356</v>
      </c>
      <c r="D331" t="s">
        <v>7144</v>
      </c>
      <c r="E331" t="s">
        <v>2360</v>
      </c>
      <c r="F331" t="s">
        <v>28</v>
      </c>
      <c r="G331" t="s">
        <v>2361</v>
      </c>
      <c r="H331" t="s">
        <v>43</v>
      </c>
      <c r="I331" s="13" t="s">
        <v>2362</v>
      </c>
      <c r="J331" t="s">
        <v>31</v>
      </c>
      <c r="K331" t="s">
        <v>7879</v>
      </c>
      <c r="L331" t="s">
        <v>7893</v>
      </c>
      <c r="M331" t="s">
        <v>63</v>
      </c>
      <c r="N331" t="s">
        <v>33</v>
      </c>
      <c r="O331" s="17">
        <v>195000</v>
      </c>
      <c r="P331" s="17" t="s">
        <v>7854</v>
      </c>
      <c r="Q331" s="22">
        <v>0</v>
      </c>
      <c r="R331" s="22" t="s">
        <v>7854</v>
      </c>
      <c r="S331" s="24">
        <v>0</v>
      </c>
      <c r="T331" s="24" t="s">
        <v>7854</v>
      </c>
      <c r="U331" t="s">
        <v>2363</v>
      </c>
    </row>
    <row r="332" spans="1:21" x14ac:dyDescent="0.25">
      <c r="A332">
        <v>336</v>
      </c>
      <c r="B332">
        <v>23948</v>
      </c>
      <c r="C332" t="s">
        <v>2364</v>
      </c>
      <c r="D332" t="s">
        <v>7145</v>
      </c>
      <c r="E332" t="s">
        <v>2367</v>
      </c>
      <c r="F332" t="s">
        <v>28</v>
      </c>
      <c r="G332" t="s">
        <v>2368</v>
      </c>
      <c r="H332" t="s">
        <v>43</v>
      </c>
      <c r="I332" s="13" t="s">
        <v>2369</v>
      </c>
      <c r="J332" t="s">
        <v>31</v>
      </c>
      <c r="K332" t="s">
        <v>7879</v>
      </c>
      <c r="L332" t="s">
        <v>7940</v>
      </c>
      <c r="M332" t="s">
        <v>87</v>
      </c>
      <c r="N332" t="s">
        <v>33</v>
      </c>
      <c r="O332" s="17">
        <v>195000</v>
      </c>
      <c r="P332" s="17" t="s">
        <v>7854</v>
      </c>
      <c r="Q332" s="22">
        <v>0</v>
      </c>
      <c r="R332" s="22" t="s">
        <v>7854</v>
      </c>
      <c r="S332" s="24">
        <v>0</v>
      </c>
      <c r="T332" s="24" t="s">
        <v>7854</v>
      </c>
      <c r="U332" t="s">
        <v>2370</v>
      </c>
    </row>
    <row r="333" spans="1:21" x14ac:dyDescent="0.25">
      <c r="A333">
        <v>337</v>
      </c>
      <c r="B333">
        <v>6630</v>
      </c>
      <c r="C333" t="s">
        <v>2371</v>
      </c>
      <c r="D333" t="s">
        <v>7146</v>
      </c>
      <c r="E333" t="s">
        <v>2374</v>
      </c>
      <c r="F333" t="s">
        <v>53</v>
      </c>
      <c r="G333" t="s">
        <v>2375</v>
      </c>
      <c r="H333" t="s">
        <v>43</v>
      </c>
      <c r="I333" s="13" t="s">
        <v>2376</v>
      </c>
      <c r="J333" t="s">
        <v>45</v>
      </c>
      <c r="K333" t="s">
        <v>7881</v>
      </c>
      <c r="L333" t="s">
        <v>7893</v>
      </c>
      <c r="M333" t="s">
        <v>46</v>
      </c>
      <c r="N333" t="s">
        <v>33</v>
      </c>
      <c r="O333" s="17">
        <v>552500</v>
      </c>
      <c r="P333" s="17" t="s">
        <v>7854</v>
      </c>
      <c r="Q333" s="22">
        <v>0</v>
      </c>
      <c r="R333" s="22" t="s">
        <v>7854</v>
      </c>
      <c r="S333" s="24">
        <v>0</v>
      </c>
      <c r="T333" s="24" t="s">
        <v>7854</v>
      </c>
      <c r="U333" t="s">
        <v>2377</v>
      </c>
    </row>
    <row r="334" spans="1:21" x14ac:dyDescent="0.25">
      <c r="A334">
        <v>338</v>
      </c>
      <c r="B334">
        <v>21307</v>
      </c>
      <c r="C334" t="s">
        <v>2378</v>
      </c>
      <c r="D334" t="s">
        <v>7147</v>
      </c>
      <c r="E334" t="s">
        <v>2380</v>
      </c>
      <c r="F334" t="s">
        <v>28</v>
      </c>
      <c r="G334" t="s">
        <v>2381</v>
      </c>
      <c r="H334" t="s">
        <v>43</v>
      </c>
      <c r="I334" s="13" t="s">
        <v>2382</v>
      </c>
      <c r="J334" t="s">
        <v>45</v>
      </c>
      <c r="K334" t="s">
        <v>7879</v>
      </c>
      <c r="L334" t="s">
        <v>7893</v>
      </c>
      <c r="M334" t="s">
        <v>46</v>
      </c>
      <c r="N334" t="s">
        <v>33</v>
      </c>
      <c r="O334" s="17">
        <v>195000</v>
      </c>
      <c r="P334" s="17" t="s">
        <v>7854</v>
      </c>
      <c r="Q334" s="22">
        <v>0</v>
      </c>
      <c r="R334" s="22" t="s">
        <v>7854</v>
      </c>
      <c r="S334" s="24">
        <v>0</v>
      </c>
      <c r="T334" s="24" t="s">
        <v>7854</v>
      </c>
      <c r="U334" t="s">
        <v>2383</v>
      </c>
    </row>
    <row r="335" spans="1:21" x14ac:dyDescent="0.25">
      <c r="A335">
        <v>339</v>
      </c>
      <c r="B335">
        <v>24040</v>
      </c>
      <c r="C335" t="s">
        <v>2384</v>
      </c>
      <c r="D335" t="s">
        <v>7148</v>
      </c>
      <c r="E335" t="s">
        <v>2386</v>
      </c>
      <c r="F335" t="s">
        <v>28</v>
      </c>
      <c r="G335" t="s">
        <v>2387</v>
      </c>
      <c r="H335" t="s">
        <v>43</v>
      </c>
      <c r="I335" s="13" t="s">
        <v>2388</v>
      </c>
      <c r="J335" t="s">
        <v>31</v>
      </c>
      <c r="K335" t="s">
        <v>7879</v>
      </c>
      <c r="L335" t="s">
        <v>7893</v>
      </c>
      <c r="M335" t="s">
        <v>87</v>
      </c>
      <c r="N335" t="s">
        <v>33</v>
      </c>
      <c r="O335" s="17">
        <v>195000</v>
      </c>
      <c r="P335" s="17" t="s">
        <v>7854</v>
      </c>
      <c r="Q335" s="22">
        <v>0</v>
      </c>
      <c r="R335" s="22" t="s">
        <v>7854</v>
      </c>
      <c r="S335" s="24">
        <v>0</v>
      </c>
      <c r="T335" s="24" t="s">
        <v>7854</v>
      </c>
      <c r="U335" t="s">
        <v>2389</v>
      </c>
    </row>
    <row r="336" spans="1:21" x14ac:dyDescent="0.25">
      <c r="A336">
        <v>340</v>
      </c>
      <c r="B336">
        <v>24331</v>
      </c>
      <c r="C336" t="s">
        <v>2390</v>
      </c>
      <c r="D336" t="s">
        <v>7149</v>
      </c>
      <c r="E336" t="s">
        <v>2394</v>
      </c>
      <c r="F336" t="s">
        <v>53</v>
      </c>
      <c r="G336" t="s">
        <v>2395</v>
      </c>
      <c r="H336" t="s">
        <v>43</v>
      </c>
      <c r="I336" s="13" t="s">
        <v>2396</v>
      </c>
      <c r="J336" t="s">
        <v>31</v>
      </c>
      <c r="K336" t="s">
        <v>7879</v>
      </c>
      <c r="L336" t="s">
        <v>7893</v>
      </c>
      <c r="M336" t="s">
        <v>63</v>
      </c>
      <c r="N336" t="s">
        <v>33</v>
      </c>
      <c r="O336" s="17">
        <v>195000</v>
      </c>
      <c r="P336" s="17" t="s">
        <v>7854</v>
      </c>
      <c r="Q336" s="22">
        <v>0</v>
      </c>
      <c r="R336" s="22" t="s">
        <v>7854</v>
      </c>
      <c r="S336" s="24">
        <v>0</v>
      </c>
      <c r="T336" s="24" t="s">
        <v>7854</v>
      </c>
      <c r="U336" t="s">
        <v>2397</v>
      </c>
    </row>
    <row r="337" spans="1:21" x14ac:dyDescent="0.25">
      <c r="A337">
        <v>341</v>
      </c>
      <c r="B337">
        <v>24232</v>
      </c>
      <c r="C337" t="s">
        <v>2398</v>
      </c>
      <c r="D337" t="s">
        <v>7150</v>
      </c>
      <c r="E337" t="s">
        <v>2400</v>
      </c>
      <c r="F337" t="s">
        <v>28</v>
      </c>
      <c r="G337" t="s">
        <v>2401</v>
      </c>
      <c r="H337" t="s">
        <v>43</v>
      </c>
      <c r="I337" s="13" t="s">
        <v>2402</v>
      </c>
      <c r="J337" t="s">
        <v>31</v>
      </c>
      <c r="K337" t="s">
        <v>7879</v>
      </c>
      <c r="L337" t="s">
        <v>7940</v>
      </c>
      <c r="M337" t="s">
        <v>87</v>
      </c>
      <c r="N337" t="s">
        <v>33</v>
      </c>
      <c r="O337" s="17">
        <v>195000</v>
      </c>
      <c r="P337" s="17" t="s">
        <v>7854</v>
      </c>
      <c r="Q337" s="22">
        <v>0</v>
      </c>
      <c r="R337" s="22" t="s">
        <v>7854</v>
      </c>
      <c r="S337" s="24">
        <v>0</v>
      </c>
      <c r="T337" s="24" t="s">
        <v>7854</v>
      </c>
      <c r="U337" t="s">
        <v>2403</v>
      </c>
    </row>
    <row r="338" spans="1:21" x14ac:dyDescent="0.25">
      <c r="A338">
        <v>342</v>
      </c>
      <c r="B338">
        <v>18684</v>
      </c>
      <c r="C338" t="s">
        <v>2404</v>
      </c>
      <c r="D338" t="s">
        <v>7151</v>
      </c>
      <c r="E338" t="s">
        <v>2408</v>
      </c>
      <c r="F338" t="s">
        <v>28</v>
      </c>
      <c r="G338" t="s">
        <v>2409</v>
      </c>
      <c r="H338" t="s">
        <v>43</v>
      </c>
      <c r="I338" s="13" t="s">
        <v>2410</v>
      </c>
      <c r="J338" t="s">
        <v>31</v>
      </c>
      <c r="K338" t="s">
        <v>7881</v>
      </c>
      <c r="L338" t="s">
        <v>7981</v>
      </c>
      <c r="M338" t="s">
        <v>46</v>
      </c>
      <c r="N338" t="s">
        <v>33</v>
      </c>
      <c r="O338" s="17">
        <v>552500</v>
      </c>
      <c r="P338" s="17" t="s">
        <v>7854</v>
      </c>
      <c r="Q338" s="22">
        <v>0</v>
      </c>
      <c r="R338" s="22" t="s">
        <v>7854</v>
      </c>
      <c r="S338" s="24">
        <v>0</v>
      </c>
      <c r="T338" s="24" t="s">
        <v>7854</v>
      </c>
      <c r="U338" t="s">
        <v>2411</v>
      </c>
    </row>
    <row r="339" spans="1:21" x14ac:dyDescent="0.25">
      <c r="A339">
        <v>343</v>
      </c>
      <c r="B339">
        <v>23968</v>
      </c>
      <c r="C339" t="s">
        <v>2412</v>
      </c>
      <c r="D339" t="s">
        <v>7152</v>
      </c>
      <c r="E339" t="s">
        <v>2414</v>
      </c>
      <c r="F339" t="s">
        <v>53</v>
      </c>
      <c r="G339" t="s">
        <v>2415</v>
      </c>
      <c r="H339" t="s">
        <v>43</v>
      </c>
      <c r="I339" s="13" t="s">
        <v>2416</v>
      </c>
      <c r="J339" t="s">
        <v>31</v>
      </c>
      <c r="K339" t="s">
        <v>7879</v>
      </c>
      <c r="L339" t="s">
        <v>7893</v>
      </c>
      <c r="M339" t="s">
        <v>46</v>
      </c>
      <c r="N339" t="s">
        <v>33</v>
      </c>
      <c r="O339" s="17">
        <v>195000</v>
      </c>
      <c r="P339" s="17" t="s">
        <v>7854</v>
      </c>
      <c r="Q339" s="22">
        <v>0</v>
      </c>
      <c r="R339" s="22" t="s">
        <v>7854</v>
      </c>
      <c r="S339" s="24">
        <v>0</v>
      </c>
      <c r="T339" s="24" t="s">
        <v>7854</v>
      </c>
      <c r="U339" t="s">
        <v>2417</v>
      </c>
    </row>
    <row r="340" spans="1:21" x14ac:dyDescent="0.25">
      <c r="A340">
        <v>344</v>
      </c>
      <c r="B340">
        <v>24330</v>
      </c>
      <c r="C340" t="s">
        <v>2418</v>
      </c>
      <c r="D340" t="s">
        <v>7153</v>
      </c>
      <c r="E340" t="s">
        <v>2421</v>
      </c>
      <c r="F340" t="s">
        <v>28</v>
      </c>
      <c r="G340" t="s">
        <v>923</v>
      </c>
      <c r="H340" t="s">
        <v>43</v>
      </c>
      <c r="I340" s="13" t="s">
        <v>2422</v>
      </c>
      <c r="J340" t="s">
        <v>31</v>
      </c>
      <c r="K340" t="s">
        <v>7879</v>
      </c>
      <c r="L340" t="s">
        <v>7893</v>
      </c>
      <c r="M340" t="s">
        <v>46</v>
      </c>
      <c r="N340" t="s">
        <v>33</v>
      </c>
      <c r="O340" s="17">
        <v>195000</v>
      </c>
      <c r="P340" s="17" t="s">
        <v>7854</v>
      </c>
      <c r="Q340" s="22">
        <v>0</v>
      </c>
      <c r="R340" s="22" t="s">
        <v>7854</v>
      </c>
      <c r="S340" s="24">
        <v>0</v>
      </c>
      <c r="T340" s="24" t="s">
        <v>7854</v>
      </c>
      <c r="U340" t="s">
        <v>2423</v>
      </c>
    </row>
    <row r="341" spans="1:21" x14ac:dyDescent="0.25">
      <c r="A341">
        <v>345</v>
      </c>
      <c r="B341">
        <v>24280</v>
      </c>
      <c r="C341" t="s">
        <v>2424</v>
      </c>
      <c r="D341" t="s">
        <v>7154</v>
      </c>
      <c r="E341" t="s">
        <v>2428</v>
      </c>
      <c r="F341" t="s">
        <v>53</v>
      </c>
      <c r="G341" t="s">
        <v>2429</v>
      </c>
      <c r="H341" t="s">
        <v>43</v>
      </c>
      <c r="I341" s="13" t="s">
        <v>2430</v>
      </c>
      <c r="J341" t="s">
        <v>31</v>
      </c>
      <c r="K341" t="s">
        <v>7879</v>
      </c>
      <c r="L341" t="s">
        <v>7940</v>
      </c>
      <c r="M341" t="s">
        <v>87</v>
      </c>
      <c r="N341" t="s">
        <v>33</v>
      </c>
      <c r="O341" s="17">
        <v>195000</v>
      </c>
      <c r="P341" s="17" t="s">
        <v>7854</v>
      </c>
      <c r="Q341" s="22">
        <v>0</v>
      </c>
      <c r="R341" s="22" t="s">
        <v>7854</v>
      </c>
      <c r="S341" s="24">
        <v>0</v>
      </c>
      <c r="T341" s="24" t="s">
        <v>7854</v>
      </c>
      <c r="U341" t="s">
        <v>2431</v>
      </c>
    </row>
    <row r="342" spans="1:21" x14ac:dyDescent="0.25">
      <c r="A342">
        <v>346</v>
      </c>
      <c r="B342">
        <v>12218</v>
      </c>
      <c r="C342" t="s">
        <v>2432</v>
      </c>
      <c r="D342" t="s">
        <v>7155</v>
      </c>
      <c r="E342" t="s">
        <v>2435</v>
      </c>
      <c r="F342" t="s">
        <v>53</v>
      </c>
      <c r="G342" t="s">
        <v>2436</v>
      </c>
      <c r="H342" t="s">
        <v>43</v>
      </c>
      <c r="I342" s="13" t="s">
        <v>2437</v>
      </c>
      <c r="J342" t="s">
        <v>31</v>
      </c>
      <c r="K342" t="s">
        <v>7886</v>
      </c>
      <c r="L342" t="s">
        <v>7888</v>
      </c>
      <c r="M342" t="s">
        <v>63</v>
      </c>
      <c r="N342" t="s">
        <v>33</v>
      </c>
      <c r="O342" s="17">
        <v>812500</v>
      </c>
      <c r="P342" s="17" t="s">
        <v>7854</v>
      </c>
      <c r="Q342" s="22">
        <v>0</v>
      </c>
      <c r="R342" s="22" t="s">
        <v>7854</v>
      </c>
      <c r="S342" s="24">
        <v>162500</v>
      </c>
      <c r="T342" s="24" t="s">
        <v>7854</v>
      </c>
      <c r="U342" t="s">
        <v>2438</v>
      </c>
    </row>
    <row r="343" spans="1:21" x14ac:dyDescent="0.25">
      <c r="A343">
        <v>347</v>
      </c>
      <c r="B343">
        <v>4098</v>
      </c>
      <c r="C343" t="s">
        <v>2439</v>
      </c>
      <c r="D343" t="s">
        <v>7156</v>
      </c>
      <c r="E343" t="s">
        <v>7912</v>
      </c>
      <c r="F343" t="s">
        <v>28</v>
      </c>
      <c r="G343" t="s">
        <v>2443</v>
      </c>
      <c r="H343" t="s">
        <v>43</v>
      </c>
      <c r="I343" s="12">
        <v>8037330054</v>
      </c>
      <c r="J343" t="s">
        <v>31</v>
      </c>
      <c r="K343" t="s">
        <v>7886</v>
      </c>
      <c r="L343" t="s">
        <v>7893</v>
      </c>
      <c r="M343" t="s">
        <v>46</v>
      </c>
      <c r="N343" t="s">
        <v>33</v>
      </c>
      <c r="O343" s="17">
        <v>812500</v>
      </c>
      <c r="P343" s="17" t="s">
        <v>7854</v>
      </c>
      <c r="Q343" s="22">
        <v>0</v>
      </c>
      <c r="R343" s="22" t="s">
        <v>7854</v>
      </c>
      <c r="S343" s="24">
        <v>162500</v>
      </c>
      <c r="T343" s="24" t="s">
        <v>7854</v>
      </c>
      <c r="U343" t="s">
        <v>2444</v>
      </c>
    </row>
    <row r="344" spans="1:21" x14ac:dyDescent="0.25">
      <c r="A344">
        <v>348</v>
      </c>
      <c r="B344">
        <v>24133</v>
      </c>
      <c r="C344" t="s">
        <v>2445</v>
      </c>
      <c r="D344" t="s">
        <v>7157</v>
      </c>
      <c r="E344">
        <v>2347032821160</v>
      </c>
      <c r="F344" t="s">
        <v>28</v>
      </c>
      <c r="G344" t="s">
        <v>2448</v>
      </c>
      <c r="H344" t="s">
        <v>43</v>
      </c>
      <c r="I344" s="12">
        <v>2347032821160</v>
      </c>
      <c r="J344" t="s">
        <v>31</v>
      </c>
      <c r="K344" t="s">
        <v>7879</v>
      </c>
      <c r="L344" t="s">
        <v>7893</v>
      </c>
      <c r="M344" t="s">
        <v>46</v>
      </c>
      <c r="N344" t="s">
        <v>33</v>
      </c>
      <c r="O344" s="17">
        <v>195000</v>
      </c>
      <c r="P344" s="17" t="s">
        <v>7854</v>
      </c>
      <c r="Q344" s="22">
        <v>0</v>
      </c>
      <c r="R344" s="22" t="s">
        <v>7854</v>
      </c>
      <c r="S344" s="24">
        <v>0</v>
      </c>
      <c r="T344" s="24" t="s">
        <v>7854</v>
      </c>
      <c r="U344" t="s">
        <v>2449</v>
      </c>
    </row>
    <row r="345" spans="1:21" x14ac:dyDescent="0.25">
      <c r="A345">
        <v>349</v>
      </c>
      <c r="B345">
        <v>23362</v>
      </c>
      <c r="C345" t="s">
        <v>2450</v>
      </c>
      <c r="D345" t="s">
        <v>7158</v>
      </c>
      <c r="E345" t="s">
        <v>2454</v>
      </c>
      <c r="F345" t="s">
        <v>28</v>
      </c>
      <c r="G345" t="s">
        <v>2455</v>
      </c>
      <c r="H345" t="s">
        <v>43</v>
      </c>
      <c r="I345" s="13" t="s">
        <v>2456</v>
      </c>
      <c r="J345" t="s">
        <v>45</v>
      </c>
      <c r="K345" t="s">
        <v>7879</v>
      </c>
      <c r="L345" t="s">
        <v>7981</v>
      </c>
      <c r="M345" t="s">
        <v>87</v>
      </c>
      <c r="N345" t="s">
        <v>33</v>
      </c>
      <c r="O345" s="17">
        <v>195000</v>
      </c>
      <c r="P345" s="17" t="s">
        <v>7854</v>
      </c>
      <c r="Q345" s="22">
        <v>0</v>
      </c>
      <c r="R345" s="22" t="s">
        <v>7854</v>
      </c>
      <c r="S345" s="24">
        <v>0</v>
      </c>
      <c r="T345" s="24" t="s">
        <v>7854</v>
      </c>
      <c r="U345" t="s">
        <v>2457</v>
      </c>
    </row>
    <row r="346" spans="1:21" x14ac:dyDescent="0.25">
      <c r="A346">
        <v>350</v>
      </c>
      <c r="B346">
        <v>24243</v>
      </c>
      <c r="C346" t="s">
        <v>2458</v>
      </c>
      <c r="D346" t="s">
        <v>7159</v>
      </c>
      <c r="E346" t="s">
        <v>2462</v>
      </c>
      <c r="F346" t="s">
        <v>53</v>
      </c>
      <c r="G346" t="s">
        <v>2463</v>
      </c>
      <c r="H346" t="s">
        <v>43</v>
      </c>
      <c r="I346" s="13" t="s">
        <v>2464</v>
      </c>
      <c r="J346" t="s">
        <v>31</v>
      </c>
      <c r="K346" t="s">
        <v>7879</v>
      </c>
      <c r="L346" t="s">
        <v>7940</v>
      </c>
      <c r="M346" t="s">
        <v>63</v>
      </c>
      <c r="N346" t="s">
        <v>33</v>
      </c>
      <c r="O346" s="17">
        <v>195000</v>
      </c>
      <c r="P346" s="17" t="s">
        <v>7854</v>
      </c>
      <c r="Q346" s="22">
        <v>0</v>
      </c>
      <c r="R346" s="22" t="s">
        <v>7854</v>
      </c>
      <c r="S346" s="24">
        <v>0</v>
      </c>
      <c r="T346" s="24" t="s">
        <v>7854</v>
      </c>
      <c r="U346" t="s">
        <v>2465</v>
      </c>
    </row>
    <row r="347" spans="1:21" x14ac:dyDescent="0.25">
      <c r="A347">
        <v>351</v>
      </c>
      <c r="B347">
        <v>19615</v>
      </c>
      <c r="C347" t="s">
        <v>2466</v>
      </c>
      <c r="D347" t="s">
        <v>7160</v>
      </c>
      <c r="E347" t="s">
        <v>2469</v>
      </c>
      <c r="F347" t="s">
        <v>28</v>
      </c>
      <c r="G347" t="s">
        <v>2470</v>
      </c>
      <c r="H347" t="s">
        <v>43</v>
      </c>
      <c r="I347" s="12">
        <v>2348065007630</v>
      </c>
      <c r="J347" t="s">
        <v>31</v>
      </c>
      <c r="K347" t="s">
        <v>7881</v>
      </c>
      <c r="L347" t="s">
        <v>7888</v>
      </c>
      <c r="M347" t="s">
        <v>63</v>
      </c>
      <c r="N347" t="s">
        <v>33</v>
      </c>
      <c r="O347" s="17">
        <v>552500</v>
      </c>
      <c r="P347" s="17" t="s">
        <v>7854</v>
      </c>
      <c r="Q347" s="22">
        <v>110500</v>
      </c>
      <c r="R347" s="22" t="s">
        <v>7854</v>
      </c>
      <c r="S347" s="24">
        <v>0</v>
      </c>
      <c r="T347" s="24" t="s">
        <v>7854</v>
      </c>
      <c r="U347" t="s">
        <v>2471</v>
      </c>
    </row>
    <row r="348" spans="1:21" x14ac:dyDescent="0.25">
      <c r="A348">
        <v>352</v>
      </c>
      <c r="B348">
        <v>24209</v>
      </c>
      <c r="C348" t="s">
        <v>2472</v>
      </c>
      <c r="D348" t="s">
        <v>7161</v>
      </c>
      <c r="E348" t="s">
        <v>2475</v>
      </c>
      <c r="F348" t="s">
        <v>53</v>
      </c>
      <c r="G348" t="s">
        <v>2476</v>
      </c>
      <c r="H348" t="s">
        <v>43</v>
      </c>
      <c r="I348" s="12">
        <v>2349033355870</v>
      </c>
      <c r="J348" t="s">
        <v>31</v>
      </c>
      <c r="K348" t="s">
        <v>7879</v>
      </c>
      <c r="L348" t="s">
        <v>7940</v>
      </c>
      <c r="M348" t="s">
        <v>46</v>
      </c>
      <c r="N348" t="s">
        <v>33</v>
      </c>
      <c r="O348" s="17">
        <v>195000</v>
      </c>
      <c r="P348" s="17" t="s">
        <v>7854</v>
      </c>
      <c r="Q348" s="22">
        <v>0</v>
      </c>
      <c r="R348" s="22" t="s">
        <v>7854</v>
      </c>
      <c r="S348" s="24">
        <v>0</v>
      </c>
      <c r="T348" s="24" t="s">
        <v>7854</v>
      </c>
      <c r="U348" t="s">
        <v>2477</v>
      </c>
    </row>
    <row r="349" spans="1:21" x14ac:dyDescent="0.25">
      <c r="A349">
        <v>353</v>
      </c>
      <c r="B349">
        <v>24381</v>
      </c>
      <c r="C349" t="s">
        <v>2478</v>
      </c>
      <c r="D349" t="s">
        <v>7162</v>
      </c>
      <c r="E349" t="s">
        <v>2482</v>
      </c>
      <c r="F349" t="s">
        <v>28</v>
      </c>
      <c r="G349" t="s">
        <v>2483</v>
      </c>
      <c r="H349" t="s">
        <v>43</v>
      </c>
      <c r="I349" s="12">
        <v>2348133817280</v>
      </c>
      <c r="J349" t="s">
        <v>31</v>
      </c>
      <c r="K349" t="s">
        <v>7879</v>
      </c>
      <c r="L349" t="s">
        <v>8028</v>
      </c>
      <c r="M349" t="s">
        <v>46</v>
      </c>
      <c r="N349" t="s">
        <v>33</v>
      </c>
      <c r="O349" s="17">
        <v>195000</v>
      </c>
      <c r="P349" s="17" t="s">
        <v>7854</v>
      </c>
      <c r="Q349" s="22">
        <v>0</v>
      </c>
      <c r="R349" s="22" t="s">
        <v>7854</v>
      </c>
      <c r="S349" s="24">
        <v>0</v>
      </c>
      <c r="T349" s="24" t="s">
        <v>7854</v>
      </c>
      <c r="U349" t="s">
        <v>2484</v>
      </c>
    </row>
    <row r="350" spans="1:21" x14ac:dyDescent="0.25">
      <c r="A350">
        <v>354</v>
      </c>
      <c r="B350">
        <v>9398</v>
      </c>
      <c r="C350" t="s">
        <v>2485</v>
      </c>
      <c r="D350" t="s">
        <v>7163</v>
      </c>
      <c r="E350" t="s">
        <v>2489</v>
      </c>
      <c r="F350" t="s">
        <v>28</v>
      </c>
      <c r="G350" t="s">
        <v>2490</v>
      </c>
      <c r="H350" t="s">
        <v>43</v>
      </c>
      <c r="I350" s="12">
        <v>8160515771</v>
      </c>
      <c r="J350" t="s">
        <v>45</v>
      </c>
      <c r="K350" t="s">
        <v>7881</v>
      </c>
      <c r="L350" t="s">
        <v>7981</v>
      </c>
      <c r="M350" t="s">
        <v>46</v>
      </c>
      <c r="N350" t="s">
        <v>33</v>
      </c>
      <c r="O350" s="17">
        <v>552500</v>
      </c>
      <c r="P350" s="17" t="s">
        <v>7854</v>
      </c>
      <c r="Q350" s="22">
        <v>0</v>
      </c>
      <c r="R350" s="22" t="s">
        <v>7854</v>
      </c>
      <c r="S350" s="24">
        <v>0</v>
      </c>
      <c r="T350" s="24" t="s">
        <v>7854</v>
      </c>
      <c r="U350" t="s">
        <v>2491</v>
      </c>
    </row>
    <row r="351" spans="1:21" x14ac:dyDescent="0.25">
      <c r="A351">
        <v>355</v>
      </c>
      <c r="B351">
        <v>20584</v>
      </c>
      <c r="C351" t="s">
        <v>2492</v>
      </c>
      <c r="D351" t="s">
        <v>7164</v>
      </c>
      <c r="E351" t="s">
        <v>2495</v>
      </c>
      <c r="F351" t="s">
        <v>28</v>
      </c>
      <c r="G351" t="s">
        <v>2496</v>
      </c>
      <c r="H351" t="s">
        <v>43</v>
      </c>
      <c r="I351" s="13" t="s">
        <v>2497</v>
      </c>
      <c r="J351" t="s">
        <v>31</v>
      </c>
      <c r="K351" t="s">
        <v>7886</v>
      </c>
      <c r="L351" t="s">
        <v>7981</v>
      </c>
      <c r="M351" t="s">
        <v>46</v>
      </c>
      <c r="N351" t="s">
        <v>33</v>
      </c>
      <c r="O351" s="17">
        <v>812500</v>
      </c>
      <c r="P351" s="17" t="s">
        <v>7854</v>
      </c>
      <c r="Q351" s="22">
        <v>0</v>
      </c>
      <c r="R351" s="22" t="s">
        <v>7854</v>
      </c>
      <c r="S351" s="24">
        <v>162500</v>
      </c>
      <c r="T351" s="24" t="s">
        <v>7854</v>
      </c>
      <c r="U351" t="s">
        <v>2498</v>
      </c>
    </row>
    <row r="352" spans="1:21" x14ac:dyDescent="0.25">
      <c r="A352">
        <v>356</v>
      </c>
      <c r="B352">
        <v>21620</v>
      </c>
      <c r="C352" t="s">
        <v>2499</v>
      </c>
      <c r="D352" t="s">
        <v>7165</v>
      </c>
      <c r="E352" t="s">
        <v>2503</v>
      </c>
      <c r="F352" t="s">
        <v>53</v>
      </c>
      <c r="G352" t="s">
        <v>2504</v>
      </c>
      <c r="H352" t="s">
        <v>43</v>
      </c>
      <c r="I352" s="13" t="s">
        <v>2505</v>
      </c>
      <c r="J352" t="s">
        <v>31</v>
      </c>
      <c r="K352" t="s">
        <v>7881</v>
      </c>
      <c r="L352" t="s">
        <v>7888</v>
      </c>
      <c r="M352" t="s">
        <v>63</v>
      </c>
      <c r="N352" t="s">
        <v>33</v>
      </c>
      <c r="O352" s="17">
        <v>552500</v>
      </c>
      <c r="P352" s="17" t="s">
        <v>7854</v>
      </c>
      <c r="Q352" s="22">
        <v>110500</v>
      </c>
      <c r="R352" s="22" t="s">
        <v>7854</v>
      </c>
      <c r="S352" s="24">
        <v>0</v>
      </c>
      <c r="T352" s="24" t="s">
        <v>7854</v>
      </c>
      <c r="U352" t="s">
        <v>2506</v>
      </c>
    </row>
    <row r="353" spans="1:21" x14ac:dyDescent="0.25">
      <c r="A353">
        <v>357</v>
      </c>
      <c r="B353">
        <v>21959</v>
      </c>
      <c r="C353" t="s">
        <v>2507</v>
      </c>
      <c r="D353" t="s">
        <v>7166</v>
      </c>
      <c r="E353" t="s">
        <v>2511</v>
      </c>
      <c r="F353" t="s">
        <v>53</v>
      </c>
      <c r="G353" t="s">
        <v>2512</v>
      </c>
      <c r="H353" t="s">
        <v>43</v>
      </c>
      <c r="I353" s="13" t="s">
        <v>2513</v>
      </c>
      <c r="J353" t="s">
        <v>31</v>
      </c>
      <c r="K353" t="s">
        <v>7879</v>
      </c>
      <c r="L353" t="s">
        <v>7981</v>
      </c>
      <c r="M353" t="s">
        <v>63</v>
      </c>
      <c r="N353" t="s">
        <v>33</v>
      </c>
      <c r="O353" s="17">
        <v>195000</v>
      </c>
      <c r="P353" s="17" t="s">
        <v>7854</v>
      </c>
      <c r="Q353" s="22">
        <v>0</v>
      </c>
      <c r="R353" s="22" t="s">
        <v>7854</v>
      </c>
      <c r="S353" s="24">
        <v>0</v>
      </c>
      <c r="T353" s="24" t="s">
        <v>7854</v>
      </c>
      <c r="U353" t="s">
        <v>2514</v>
      </c>
    </row>
    <row r="354" spans="1:21" x14ac:dyDescent="0.25">
      <c r="A354">
        <v>358</v>
      </c>
      <c r="B354">
        <v>24281</v>
      </c>
      <c r="C354" t="s">
        <v>2515</v>
      </c>
      <c r="D354" t="s">
        <v>7167</v>
      </c>
      <c r="E354" t="s">
        <v>2519</v>
      </c>
      <c r="F354" t="s">
        <v>28</v>
      </c>
      <c r="G354" t="s">
        <v>2520</v>
      </c>
      <c r="H354" t="s">
        <v>43</v>
      </c>
      <c r="I354" s="13" t="s">
        <v>2521</v>
      </c>
      <c r="J354" t="s">
        <v>31</v>
      </c>
      <c r="K354" t="s">
        <v>7879</v>
      </c>
      <c r="L354" t="s">
        <v>7940</v>
      </c>
      <c r="M354" t="s">
        <v>63</v>
      </c>
      <c r="N354" t="s">
        <v>33</v>
      </c>
      <c r="O354" s="17">
        <v>195000</v>
      </c>
      <c r="P354" s="17" t="s">
        <v>7854</v>
      </c>
      <c r="Q354" s="22">
        <v>0</v>
      </c>
      <c r="R354" s="22" t="s">
        <v>7854</v>
      </c>
      <c r="S354" s="24">
        <v>0</v>
      </c>
      <c r="T354" s="24" t="s">
        <v>7854</v>
      </c>
      <c r="U354" t="s">
        <v>2522</v>
      </c>
    </row>
    <row r="355" spans="1:21" x14ac:dyDescent="0.25">
      <c r="A355">
        <v>359</v>
      </c>
      <c r="B355">
        <v>24319</v>
      </c>
      <c r="C355" t="s">
        <v>2523</v>
      </c>
      <c r="D355" t="s">
        <v>7168</v>
      </c>
      <c r="E355" t="s">
        <v>2526</v>
      </c>
      <c r="F355" t="s">
        <v>53</v>
      </c>
      <c r="G355" t="s">
        <v>2527</v>
      </c>
      <c r="H355" t="s">
        <v>453</v>
      </c>
      <c r="I355" s="13" t="s">
        <v>2528</v>
      </c>
      <c r="J355" t="s">
        <v>31</v>
      </c>
      <c r="K355" t="s">
        <v>7879</v>
      </c>
      <c r="L355" t="s">
        <v>7893</v>
      </c>
      <c r="M355" t="s">
        <v>455</v>
      </c>
      <c r="N355" t="s">
        <v>130</v>
      </c>
      <c r="O355" s="17" t="s">
        <v>7854</v>
      </c>
      <c r="P355" s="17">
        <v>150</v>
      </c>
      <c r="Q355" s="22" t="s">
        <v>7854</v>
      </c>
      <c r="R355" s="22">
        <v>0</v>
      </c>
      <c r="S355" s="24" t="s">
        <v>7854</v>
      </c>
      <c r="T355" s="24">
        <v>0</v>
      </c>
      <c r="U355" t="s">
        <v>2529</v>
      </c>
    </row>
    <row r="356" spans="1:21" x14ac:dyDescent="0.25">
      <c r="A356">
        <v>360</v>
      </c>
      <c r="B356">
        <v>8708</v>
      </c>
      <c r="C356" t="s">
        <v>2530</v>
      </c>
      <c r="D356" t="s">
        <v>7169</v>
      </c>
      <c r="E356" t="s">
        <v>2533</v>
      </c>
      <c r="F356" t="s">
        <v>28</v>
      </c>
      <c r="G356" t="s">
        <v>2534</v>
      </c>
      <c r="H356" t="s">
        <v>43</v>
      </c>
      <c r="I356" s="12">
        <v>7017046761</v>
      </c>
      <c r="J356" t="s">
        <v>31</v>
      </c>
      <c r="K356" t="s">
        <v>7881</v>
      </c>
      <c r="L356" t="s">
        <v>7981</v>
      </c>
      <c r="M356" t="s">
        <v>63</v>
      </c>
      <c r="N356" t="s">
        <v>33</v>
      </c>
      <c r="O356" s="17">
        <v>552500</v>
      </c>
      <c r="P356" s="17" t="s">
        <v>7854</v>
      </c>
      <c r="Q356" s="22">
        <v>0</v>
      </c>
      <c r="R356" s="22" t="s">
        <v>7854</v>
      </c>
      <c r="S356" s="24">
        <v>0</v>
      </c>
      <c r="T356" s="24" t="s">
        <v>7854</v>
      </c>
      <c r="U356" t="s">
        <v>2535</v>
      </c>
    </row>
    <row r="357" spans="1:21" x14ac:dyDescent="0.25">
      <c r="A357">
        <v>361</v>
      </c>
      <c r="B357">
        <v>24324</v>
      </c>
      <c r="C357" t="s">
        <v>2536</v>
      </c>
      <c r="D357" t="s">
        <v>7170</v>
      </c>
      <c r="E357" t="s">
        <v>2539</v>
      </c>
      <c r="F357" t="s">
        <v>53</v>
      </c>
      <c r="G357" t="s">
        <v>524</v>
      </c>
      <c r="H357" t="s">
        <v>43</v>
      </c>
      <c r="I357" s="13" t="s">
        <v>2540</v>
      </c>
      <c r="J357" t="s">
        <v>31</v>
      </c>
      <c r="K357" t="s">
        <v>7879</v>
      </c>
      <c r="L357" t="s">
        <v>7940</v>
      </c>
      <c r="M357" t="s">
        <v>87</v>
      </c>
      <c r="N357" t="s">
        <v>33</v>
      </c>
      <c r="O357" s="17">
        <v>195000</v>
      </c>
      <c r="P357" s="17" t="s">
        <v>7854</v>
      </c>
      <c r="Q357" s="22">
        <v>0</v>
      </c>
      <c r="R357" s="22" t="s">
        <v>7854</v>
      </c>
      <c r="S357" s="24">
        <v>0</v>
      </c>
      <c r="T357" s="24" t="s">
        <v>7854</v>
      </c>
      <c r="U357" t="s">
        <v>2541</v>
      </c>
    </row>
    <row r="358" spans="1:21" x14ac:dyDescent="0.25">
      <c r="A358">
        <v>362</v>
      </c>
      <c r="B358">
        <v>24288</v>
      </c>
      <c r="C358" t="s">
        <v>2542</v>
      </c>
      <c r="D358" t="s">
        <v>7171</v>
      </c>
      <c r="E358" t="s">
        <v>2546</v>
      </c>
      <c r="F358" t="s">
        <v>28</v>
      </c>
      <c r="G358" t="s">
        <v>2547</v>
      </c>
      <c r="H358" t="s">
        <v>43</v>
      </c>
      <c r="I358" s="13" t="s">
        <v>2548</v>
      </c>
      <c r="J358" t="s">
        <v>31</v>
      </c>
      <c r="K358" t="s">
        <v>7879</v>
      </c>
      <c r="L358" t="s">
        <v>7981</v>
      </c>
      <c r="M358" t="s">
        <v>87</v>
      </c>
      <c r="N358" t="s">
        <v>33</v>
      </c>
      <c r="O358" s="17">
        <v>195000</v>
      </c>
      <c r="P358" s="17" t="s">
        <v>7854</v>
      </c>
      <c r="Q358" s="22">
        <v>0</v>
      </c>
      <c r="R358" s="22" t="s">
        <v>7854</v>
      </c>
      <c r="S358" s="24">
        <v>0</v>
      </c>
      <c r="T358" s="24" t="s">
        <v>7854</v>
      </c>
      <c r="U358" t="s">
        <v>2549</v>
      </c>
    </row>
    <row r="359" spans="1:21" x14ac:dyDescent="0.25">
      <c r="A359">
        <v>363</v>
      </c>
      <c r="B359">
        <v>1018</v>
      </c>
      <c r="C359" t="s">
        <v>2550</v>
      </c>
      <c r="D359" t="s">
        <v>7172</v>
      </c>
      <c r="E359" t="s">
        <v>2554</v>
      </c>
      <c r="F359" t="s">
        <v>53</v>
      </c>
      <c r="G359" t="s">
        <v>2555</v>
      </c>
      <c r="H359" t="s">
        <v>43</v>
      </c>
      <c r="I359" s="12">
        <v>8037829308</v>
      </c>
      <c r="J359" t="s">
        <v>31</v>
      </c>
      <c r="K359" t="s">
        <v>7886</v>
      </c>
      <c r="L359" t="s">
        <v>7893</v>
      </c>
      <c r="M359" t="s">
        <v>46</v>
      </c>
      <c r="N359" t="s">
        <v>33</v>
      </c>
      <c r="O359" s="17">
        <v>812500</v>
      </c>
      <c r="P359" s="17" t="s">
        <v>7854</v>
      </c>
      <c r="Q359" s="22">
        <v>0</v>
      </c>
      <c r="R359" s="22" t="s">
        <v>7854</v>
      </c>
      <c r="S359" s="24">
        <v>162500</v>
      </c>
      <c r="T359" s="24" t="s">
        <v>7854</v>
      </c>
      <c r="U359" t="s">
        <v>2556</v>
      </c>
    </row>
    <row r="360" spans="1:21" x14ac:dyDescent="0.25">
      <c r="A360">
        <v>364</v>
      </c>
      <c r="B360">
        <v>24391</v>
      </c>
      <c r="C360" t="s">
        <v>2557</v>
      </c>
      <c r="D360" t="s">
        <v>7173</v>
      </c>
      <c r="E360" t="s">
        <v>2561</v>
      </c>
      <c r="F360" t="s">
        <v>28</v>
      </c>
      <c r="G360" t="s">
        <v>378</v>
      </c>
      <c r="H360" t="s">
        <v>43</v>
      </c>
      <c r="I360" s="13" t="s">
        <v>2562</v>
      </c>
      <c r="J360" t="s">
        <v>31</v>
      </c>
      <c r="K360" t="s">
        <v>7879</v>
      </c>
      <c r="L360" t="s">
        <v>8028</v>
      </c>
      <c r="M360" t="s">
        <v>46</v>
      </c>
      <c r="N360" t="s">
        <v>33</v>
      </c>
      <c r="O360" s="17">
        <v>195000</v>
      </c>
      <c r="P360" s="17" t="s">
        <v>7854</v>
      </c>
      <c r="Q360" s="22">
        <v>0</v>
      </c>
      <c r="R360" s="22" t="s">
        <v>7854</v>
      </c>
      <c r="S360" s="24">
        <v>0</v>
      </c>
      <c r="T360" s="24" t="s">
        <v>7854</v>
      </c>
      <c r="U360" t="s">
        <v>2563</v>
      </c>
    </row>
    <row r="361" spans="1:21" x14ac:dyDescent="0.25">
      <c r="A361">
        <v>365</v>
      </c>
      <c r="B361">
        <v>5197</v>
      </c>
      <c r="C361" t="s">
        <v>2564</v>
      </c>
      <c r="D361" t="s">
        <v>7174</v>
      </c>
      <c r="E361" t="s">
        <v>7990</v>
      </c>
      <c r="F361" t="s">
        <v>53</v>
      </c>
      <c r="G361" t="s">
        <v>2568</v>
      </c>
      <c r="H361" t="s">
        <v>43</v>
      </c>
      <c r="I361" s="12">
        <v>8032646490</v>
      </c>
      <c r="J361" t="s">
        <v>2333</v>
      </c>
      <c r="K361" t="s">
        <v>7886</v>
      </c>
      <c r="L361" t="s">
        <v>7981</v>
      </c>
      <c r="M361" t="s">
        <v>46</v>
      </c>
      <c r="N361" t="s">
        <v>33</v>
      </c>
      <c r="O361" s="17">
        <v>812500</v>
      </c>
      <c r="P361" s="17" t="s">
        <v>7854</v>
      </c>
      <c r="Q361" s="22">
        <v>0</v>
      </c>
      <c r="R361" s="22" t="s">
        <v>7854</v>
      </c>
      <c r="S361" s="24">
        <v>162500</v>
      </c>
      <c r="T361" s="24" t="s">
        <v>7854</v>
      </c>
      <c r="U361" t="s">
        <v>2569</v>
      </c>
    </row>
    <row r="362" spans="1:21" x14ac:dyDescent="0.25">
      <c r="A362">
        <v>366</v>
      </c>
      <c r="B362">
        <v>19283</v>
      </c>
      <c r="C362" t="s">
        <v>2570</v>
      </c>
      <c r="D362" t="s">
        <v>7175</v>
      </c>
      <c r="E362" t="s">
        <v>2574</v>
      </c>
      <c r="F362" t="s">
        <v>28</v>
      </c>
      <c r="G362" t="s">
        <v>42</v>
      </c>
      <c r="H362" t="s">
        <v>43</v>
      </c>
      <c r="I362" s="13" t="s">
        <v>2575</v>
      </c>
      <c r="J362" t="s">
        <v>31</v>
      </c>
      <c r="K362" t="s">
        <v>7881</v>
      </c>
      <c r="L362" t="s">
        <v>8028</v>
      </c>
      <c r="M362" t="s">
        <v>46</v>
      </c>
      <c r="N362" t="s">
        <v>33</v>
      </c>
      <c r="O362" s="17">
        <v>552500</v>
      </c>
      <c r="P362" s="17" t="s">
        <v>7854</v>
      </c>
      <c r="Q362" s="22">
        <v>0</v>
      </c>
      <c r="R362" s="22" t="s">
        <v>7854</v>
      </c>
      <c r="S362" s="24">
        <v>0</v>
      </c>
      <c r="T362" s="24" t="s">
        <v>7854</v>
      </c>
      <c r="U362" t="s">
        <v>2576</v>
      </c>
    </row>
    <row r="363" spans="1:21" x14ac:dyDescent="0.25">
      <c r="A363">
        <v>367</v>
      </c>
      <c r="B363">
        <v>24308</v>
      </c>
      <c r="C363" t="s">
        <v>2577</v>
      </c>
      <c r="D363" t="s">
        <v>7176</v>
      </c>
      <c r="E363" t="s">
        <v>2581</v>
      </c>
      <c r="F363" t="s">
        <v>53</v>
      </c>
      <c r="G363" t="s">
        <v>2582</v>
      </c>
      <c r="H363" t="s">
        <v>43</v>
      </c>
      <c r="I363" s="13" t="s">
        <v>2583</v>
      </c>
      <c r="J363" t="s">
        <v>45</v>
      </c>
      <c r="K363" t="s">
        <v>7879</v>
      </c>
      <c r="L363" t="s">
        <v>7940</v>
      </c>
      <c r="M363" t="s">
        <v>46</v>
      </c>
      <c r="N363" t="s">
        <v>33</v>
      </c>
      <c r="O363" s="17">
        <v>195000</v>
      </c>
      <c r="P363" s="17" t="s">
        <v>7854</v>
      </c>
      <c r="Q363" s="22">
        <v>0</v>
      </c>
      <c r="R363" s="22" t="s">
        <v>7854</v>
      </c>
      <c r="S363" s="24">
        <v>0</v>
      </c>
      <c r="T363" s="24" t="s">
        <v>7854</v>
      </c>
      <c r="U363" t="s">
        <v>2584</v>
      </c>
    </row>
    <row r="364" spans="1:21" x14ac:dyDescent="0.25">
      <c r="A364">
        <v>368</v>
      </c>
      <c r="B364">
        <v>24366</v>
      </c>
      <c r="C364" t="s">
        <v>2585</v>
      </c>
      <c r="D364" t="s">
        <v>7177</v>
      </c>
      <c r="E364" t="s">
        <v>2588</v>
      </c>
      <c r="F364" t="s">
        <v>28</v>
      </c>
      <c r="G364" t="s">
        <v>2589</v>
      </c>
      <c r="H364" t="s">
        <v>43</v>
      </c>
      <c r="I364" s="13" t="s">
        <v>2590</v>
      </c>
      <c r="J364" t="s">
        <v>45</v>
      </c>
      <c r="K364" t="s">
        <v>7879</v>
      </c>
      <c r="L364" t="s">
        <v>7893</v>
      </c>
      <c r="M364" t="s">
        <v>63</v>
      </c>
      <c r="N364" t="s">
        <v>33</v>
      </c>
      <c r="O364" s="17">
        <v>195000</v>
      </c>
      <c r="P364" s="17" t="s">
        <v>7854</v>
      </c>
      <c r="Q364" s="22">
        <v>0</v>
      </c>
      <c r="R364" s="22" t="s">
        <v>7854</v>
      </c>
      <c r="S364" s="24">
        <v>0</v>
      </c>
      <c r="T364" s="24" t="s">
        <v>7854</v>
      </c>
      <c r="U364" t="s">
        <v>2591</v>
      </c>
    </row>
    <row r="365" spans="1:21" x14ac:dyDescent="0.25">
      <c r="A365">
        <v>369</v>
      </c>
      <c r="B365">
        <v>24155</v>
      </c>
      <c r="C365" t="s">
        <v>2592</v>
      </c>
      <c r="D365" t="s">
        <v>7178</v>
      </c>
      <c r="E365" t="s">
        <v>2595</v>
      </c>
      <c r="F365" t="s">
        <v>53</v>
      </c>
      <c r="G365" t="s">
        <v>2596</v>
      </c>
      <c r="H365" t="s">
        <v>43</v>
      </c>
      <c r="I365" s="13" t="s">
        <v>2597</v>
      </c>
      <c r="J365" t="s">
        <v>31</v>
      </c>
      <c r="K365" t="s">
        <v>7879</v>
      </c>
      <c r="L365" t="s">
        <v>7981</v>
      </c>
      <c r="M365" t="s">
        <v>63</v>
      </c>
      <c r="N365" t="s">
        <v>33</v>
      </c>
      <c r="O365" s="17">
        <v>195000</v>
      </c>
      <c r="P365" s="17" t="s">
        <v>7854</v>
      </c>
      <c r="Q365" s="22">
        <v>0</v>
      </c>
      <c r="R365" s="22" t="s">
        <v>7854</v>
      </c>
      <c r="S365" s="24">
        <v>0</v>
      </c>
      <c r="T365" s="24" t="s">
        <v>7854</v>
      </c>
      <c r="U365" t="s">
        <v>2598</v>
      </c>
    </row>
    <row r="366" spans="1:21" x14ac:dyDescent="0.25">
      <c r="A366">
        <v>370</v>
      </c>
      <c r="B366">
        <v>8313</v>
      </c>
      <c r="C366" t="s">
        <v>2599</v>
      </c>
      <c r="D366" t="s">
        <v>7179</v>
      </c>
      <c r="E366" t="s">
        <v>7948</v>
      </c>
      <c r="F366" t="s">
        <v>53</v>
      </c>
      <c r="G366" t="s">
        <v>517</v>
      </c>
      <c r="H366" t="s">
        <v>43</v>
      </c>
      <c r="I366" s="12">
        <v>8032164860</v>
      </c>
      <c r="J366" t="s">
        <v>1207</v>
      </c>
      <c r="K366" t="s">
        <v>7886</v>
      </c>
      <c r="L366" t="s">
        <v>7940</v>
      </c>
      <c r="M366" t="s">
        <v>46</v>
      </c>
      <c r="N366" t="s">
        <v>33</v>
      </c>
      <c r="O366" s="17">
        <v>812500</v>
      </c>
      <c r="P366" s="17" t="s">
        <v>7854</v>
      </c>
      <c r="Q366" s="22">
        <v>0</v>
      </c>
      <c r="R366" s="22" t="s">
        <v>7854</v>
      </c>
      <c r="S366" s="24">
        <v>162500</v>
      </c>
      <c r="T366" s="24" t="s">
        <v>7854</v>
      </c>
      <c r="U366" t="s">
        <v>2603</v>
      </c>
    </row>
    <row r="367" spans="1:21" x14ac:dyDescent="0.25">
      <c r="A367">
        <v>371</v>
      </c>
      <c r="B367">
        <v>24402</v>
      </c>
      <c r="C367" t="s">
        <v>2604</v>
      </c>
      <c r="D367" t="s">
        <v>7180</v>
      </c>
      <c r="E367" t="s">
        <v>2608</v>
      </c>
      <c r="F367" t="s">
        <v>28</v>
      </c>
      <c r="G367" t="s">
        <v>2568</v>
      </c>
      <c r="H367" t="s">
        <v>43</v>
      </c>
      <c r="I367" s="13" t="s">
        <v>2609</v>
      </c>
      <c r="J367" t="s">
        <v>31</v>
      </c>
      <c r="K367" t="s">
        <v>7879</v>
      </c>
      <c r="L367" t="s">
        <v>7940</v>
      </c>
      <c r="M367" t="s">
        <v>46</v>
      </c>
      <c r="N367" t="s">
        <v>33</v>
      </c>
      <c r="O367" s="17">
        <v>195000</v>
      </c>
      <c r="P367" s="17" t="s">
        <v>7854</v>
      </c>
      <c r="Q367" s="22">
        <v>0</v>
      </c>
      <c r="R367" s="22" t="s">
        <v>7854</v>
      </c>
      <c r="S367" s="24">
        <v>0</v>
      </c>
      <c r="T367" s="24" t="s">
        <v>7854</v>
      </c>
      <c r="U367" t="s">
        <v>2610</v>
      </c>
    </row>
    <row r="368" spans="1:21" x14ac:dyDescent="0.25">
      <c r="A368">
        <v>372</v>
      </c>
      <c r="B368">
        <v>21328</v>
      </c>
      <c r="C368" t="s">
        <v>2612</v>
      </c>
      <c r="D368" t="s">
        <v>7181</v>
      </c>
      <c r="E368" t="s">
        <v>2616</v>
      </c>
      <c r="F368" t="s">
        <v>28</v>
      </c>
      <c r="G368" t="s">
        <v>2617</v>
      </c>
      <c r="H368" t="s">
        <v>43</v>
      </c>
      <c r="I368" s="13" t="s">
        <v>2618</v>
      </c>
      <c r="J368" t="s">
        <v>45</v>
      </c>
      <c r="K368" t="s">
        <v>7879</v>
      </c>
      <c r="L368" t="s">
        <v>7981</v>
      </c>
      <c r="M368" t="s">
        <v>87</v>
      </c>
      <c r="N368" t="s">
        <v>33</v>
      </c>
      <c r="O368" s="17">
        <v>195000</v>
      </c>
      <c r="P368" s="17" t="s">
        <v>7854</v>
      </c>
      <c r="Q368" s="22">
        <v>0</v>
      </c>
      <c r="R368" s="22" t="s">
        <v>7854</v>
      </c>
      <c r="S368" s="24">
        <v>0</v>
      </c>
      <c r="T368" s="24" t="s">
        <v>7854</v>
      </c>
      <c r="U368" t="s">
        <v>2619</v>
      </c>
    </row>
    <row r="369" spans="1:21" x14ac:dyDescent="0.25">
      <c r="A369">
        <v>374</v>
      </c>
      <c r="B369">
        <v>20435</v>
      </c>
      <c r="C369" t="s">
        <v>2620</v>
      </c>
      <c r="D369" t="s">
        <v>7182</v>
      </c>
      <c r="E369" t="s">
        <v>2623</v>
      </c>
      <c r="F369" t="s">
        <v>28</v>
      </c>
      <c r="G369" t="s">
        <v>2624</v>
      </c>
      <c r="H369" t="s">
        <v>453</v>
      </c>
      <c r="I369" s="12" t="s">
        <v>2625</v>
      </c>
      <c r="J369" t="s">
        <v>31</v>
      </c>
      <c r="K369" t="s">
        <v>7879</v>
      </c>
      <c r="L369" t="s">
        <v>7981</v>
      </c>
      <c r="M369" t="s">
        <v>455</v>
      </c>
      <c r="N369" t="s">
        <v>130</v>
      </c>
      <c r="O369" s="17" t="s">
        <v>7854</v>
      </c>
      <c r="P369" s="17">
        <v>150</v>
      </c>
      <c r="Q369" s="22" t="s">
        <v>7854</v>
      </c>
      <c r="R369" s="22">
        <v>0</v>
      </c>
      <c r="S369" s="24" t="s">
        <v>7854</v>
      </c>
      <c r="T369" s="24">
        <v>0</v>
      </c>
      <c r="U369" t="s">
        <v>2626</v>
      </c>
    </row>
    <row r="370" spans="1:21" x14ac:dyDescent="0.25">
      <c r="A370">
        <v>375</v>
      </c>
      <c r="B370">
        <v>22533</v>
      </c>
      <c r="C370" t="s">
        <v>2627</v>
      </c>
      <c r="D370" t="s">
        <v>7183</v>
      </c>
      <c r="E370" t="s">
        <v>7914</v>
      </c>
      <c r="F370" t="s">
        <v>53</v>
      </c>
      <c r="G370" t="s">
        <v>2630</v>
      </c>
      <c r="H370" t="s">
        <v>43</v>
      </c>
      <c r="I370" s="13" t="s">
        <v>2631</v>
      </c>
      <c r="J370" t="s">
        <v>31</v>
      </c>
      <c r="K370" t="s">
        <v>7881</v>
      </c>
      <c r="L370" t="s">
        <v>7893</v>
      </c>
      <c r="M370" t="s">
        <v>46</v>
      </c>
      <c r="N370" t="s">
        <v>33</v>
      </c>
      <c r="O370" s="17">
        <v>552500</v>
      </c>
      <c r="P370" s="17" t="s">
        <v>7854</v>
      </c>
      <c r="Q370" s="22">
        <v>0</v>
      </c>
      <c r="R370" s="22" t="s">
        <v>7854</v>
      </c>
      <c r="S370" s="24">
        <v>0</v>
      </c>
      <c r="T370" s="24" t="s">
        <v>7854</v>
      </c>
      <c r="U370" t="s">
        <v>2632</v>
      </c>
    </row>
    <row r="371" spans="1:21" x14ac:dyDescent="0.25">
      <c r="A371">
        <v>376</v>
      </c>
      <c r="B371">
        <v>9326</v>
      </c>
      <c r="C371" t="s">
        <v>2633</v>
      </c>
      <c r="D371" t="s">
        <v>7184</v>
      </c>
      <c r="E371" t="s">
        <v>2636</v>
      </c>
      <c r="F371" t="s">
        <v>28</v>
      </c>
      <c r="G371" t="s">
        <v>2637</v>
      </c>
      <c r="H371" t="s">
        <v>43</v>
      </c>
      <c r="I371" s="12">
        <v>8130592038</v>
      </c>
      <c r="J371" t="s">
        <v>31</v>
      </c>
      <c r="K371" t="s">
        <v>7881</v>
      </c>
      <c r="L371" t="s">
        <v>7940</v>
      </c>
      <c r="M371" t="s">
        <v>63</v>
      </c>
      <c r="N371" t="s">
        <v>33</v>
      </c>
      <c r="O371" s="17">
        <v>552500</v>
      </c>
      <c r="P371" s="17" t="s">
        <v>7854</v>
      </c>
      <c r="Q371" s="22">
        <v>0</v>
      </c>
      <c r="R371" s="22" t="s">
        <v>7854</v>
      </c>
      <c r="S371" s="24">
        <v>0</v>
      </c>
      <c r="T371" s="24" t="s">
        <v>7854</v>
      </c>
      <c r="U371" t="s">
        <v>2638</v>
      </c>
    </row>
    <row r="372" spans="1:21" x14ac:dyDescent="0.25">
      <c r="A372">
        <v>377</v>
      </c>
      <c r="B372">
        <v>5336</v>
      </c>
      <c r="C372" t="s">
        <v>2639</v>
      </c>
      <c r="D372" t="s">
        <v>7185</v>
      </c>
      <c r="E372" t="s">
        <v>2641</v>
      </c>
      <c r="F372" t="s">
        <v>53</v>
      </c>
      <c r="G372" t="s">
        <v>2642</v>
      </c>
      <c r="H372" t="s">
        <v>43</v>
      </c>
      <c r="I372" s="12">
        <v>2348030890891</v>
      </c>
      <c r="J372" t="s">
        <v>244</v>
      </c>
      <c r="K372" t="s">
        <v>7886</v>
      </c>
      <c r="L372" t="s">
        <v>7888</v>
      </c>
      <c r="M372" t="s">
        <v>46</v>
      </c>
      <c r="N372" t="s">
        <v>33</v>
      </c>
      <c r="O372" s="17">
        <v>812500</v>
      </c>
      <c r="P372" s="17" t="s">
        <v>7854</v>
      </c>
      <c r="Q372" s="22">
        <v>0</v>
      </c>
      <c r="R372" s="22" t="s">
        <v>7854</v>
      </c>
      <c r="S372" s="24">
        <v>0</v>
      </c>
      <c r="T372" s="24" t="s">
        <v>7854</v>
      </c>
      <c r="U372" t="s">
        <v>2643</v>
      </c>
    </row>
    <row r="373" spans="1:21" x14ac:dyDescent="0.25">
      <c r="A373">
        <v>378</v>
      </c>
      <c r="B373">
        <v>24395</v>
      </c>
      <c r="C373" t="s">
        <v>2644</v>
      </c>
      <c r="D373" t="s">
        <v>7186</v>
      </c>
      <c r="E373" t="s">
        <v>2647</v>
      </c>
      <c r="F373" t="s">
        <v>28</v>
      </c>
      <c r="G373" t="s">
        <v>1244</v>
      </c>
      <c r="H373" t="s">
        <v>43</v>
      </c>
      <c r="I373" s="13" t="s">
        <v>2648</v>
      </c>
      <c r="J373" t="s">
        <v>31</v>
      </c>
      <c r="K373" t="s">
        <v>7879</v>
      </c>
      <c r="L373" t="s">
        <v>7893</v>
      </c>
      <c r="M373" t="s">
        <v>87</v>
      </c>
      <c r="N373" t="s">
        <v>33</v>
      </c>
      <c r="O373" s="17">
        <v>195000</v>
      </c>
      <c r="P373" s="17" t="s">
        <v>7854</v>
      </c>
      <c r="Q373" s="22">
        <v>0</v>
      </c>
      <c r="R373" s="22" t="s">
        <v>7854</v>
      </c>
      <c r="S373" s="24">
        <v>0</v>
      </c>
      <c r="T373" s="24" t="s">
        <v>7854</v>
      </c>
      <c r="U373" t="s">
        <v>2649</v>
      </c>
    </row>
    <row r="374" spans="1:21" x14ac:dyDescent="0.25">
      <c r="A374">
        <v>379</v>
      </c>
      <c r="B374">
        <v>24382</v>
      </c>
      <c r="C374" t="s">
        <v>2650</v>
      </c>
      <c r="D374" t="s">
        <v>7187</v>
      </c>
      <c r="E374" s="2" t="s">
        <v>2654</v>
      </c>
      <c r="F374" t="s">
        <v>53</v>
      </c>
      <c r="G374" t="s">
        <v>2655</v>
      </c>
      <c r="H374" t="s">
        <v>453</v>
      </c>
      <c r="I374" s="13" t="s">
        <v>2656</v>
      </c>
      <c r="J374" t="s">
        <v>31</v>
      </c>
      <c r="K374" t="s">
        <v>7879</v>
      </c>
      <c r="L374" t="s">
        <v>7893</v>
      </c>
      <c r="M374" t="s">
        <v>455</v>
      </c>
      <c r="N374" t="s">
        <v>33</v>
      </c>
      <c r="O374" s="17">
        <v>195000</v>
      </c>
      <c r="P374" s="17" t="s">
        <v>7854</v>
      </c>
      <c r="Q374" s="22">
        <v>0</v>
      </c>
      <c r="R374" s="22" t="s">
        <v>7854</v>
      </c>
      <c r="S374" s="24">
        <v>0</v>
      </c>
      <c r="T374" s="24" t="s">
        <v>7854</v>
      </c>
      <c r="U374" t="s">
        <v>2657</v>
      </c>
    </row>
    <row r="375" spans="1:21" x14ac:dyDescent="0.25">
      <c r="A375">
        <v>380</v>
      </c>
      <c r="B375">
        <v>10847</v>
      </c>
      <c r="C375" t="s">
        <v>2658</v>
      </c>
      <c r="D375" t="s">
        <v>7188</v>
      </c>
      <c r="E375" t="s">
        <v>2662</v>
      </c>
      <c r="F375" t="s">
        <v>28</v>
      </c>
      <c r="G375" t="s">
        <v>2663</v>
      </c>
      <c r="H375" t="s">
        <v>43</v>
      </c>
      <c r="I375" s="12">
        <v>8136058376</v>
      </c>
      <c r="J375" t="s">
        <v>31</v>
      </c>
      <c r="K375" t="s">
        <v>7881</v>
      </c>
      <c r="L375" t="s">
        <v>7940</v>
      </c>
      <c r="M375" t="s">
        <v>63</v>
      </c>
      <c r="N375" t="s">
        <v>33</v>
      </c>
      <c r="O375" s="17">
        <v>552500</v>
      </c>
      <c r="P375" s="17" t="s">
        <v>7854</v>
      </c>
      <c r="Q375" s="22">
        <v>0</v>
      </c>
      <c r="R375" s="22" t="s">
        <v>7854</v>
      </c>
      <c r="S375" s="24">
        <v>0</v>
      </c>
      <c r="T375" s="24" t="s">
        <v>7854</v>
      </c>
      <c r="U375" t="s">
        <v>2664</v>
      </c>
    </row>
    <row r="376" spans="1:21" x14ac:dyDescent="0.25">
      <c r="A376">
        <v>381</v>
      </c>
      <c r="B376">
        <v>24191</v>
      </c>
      <c r="C376" t="s">
        <v>2665</v>
      </c>
      <c r="D376" t="s">
        <v>7189</v>
      </c>
      <c r="E376" t="s">
        <v>2668</v>
      </c>
      <c r="F376" t="s">
        <v>28</v>
      </c>
      <c r="G376" t="s">
        <v>2669</v>
      </c>
      <c r="H376" t="s">
        <v>43</v>
      </c>
      <c r="I376" s="13" t="s">
        <v>2670</v>
      </c>
      <c r="J376" t="s">
        <v>31</v>
      </c>
      <c r="K376" t="s">
        <v>7879</v>
      </c>
      <c r="L376" t="s">
        <v>7940</v>
      </c>
      <c r="M376" t="s">
        <v>63</v>
      </c>
      <c r="N376" t="s">
        <v>33</v>
      </c>
      <c r="O376" s="17">
        <v>195000</v>
      </c>
      <c r="P376" s="17" t="s">
        <v>7854</v>
      </c>
      <c r="Q376" s="22">
        <v>0</v>
      </c>
      <c r="R376" s="22" t="s">
        <v>7854</v>
      </c>
      <c r="S376" s="24">
        <v>0</v>
      </c>
      <c r="T376" s="24" t="s">
        <v>7854</v>
      </c>
      <c r="U376" t="s">
        <v>2671</v>
      </c>
    </row>
    <row r="377" spans="1:21" x14ac:dyDescent="0.25">
      <c r="A377">
        <v>382</v>
      </c>
      <c r="B377">
        <v>23917</v>
      </c>
      <c r="C377" t="s">
        <v>2672</v>
      </c>
      <c r="D377" t="s">
        <v>7190</v>
      </c>
      <c r="E377" t="s">
        <v>2676</v>
      </c>
      <c r="F377" t="s">
        <v>53</v>
      </c>
      <c r="G377" t="s">
        <v>2677</v>
      </c>
      <c r="H377" t="s">
        <v>43</v>
      </c>
      <c r="I377" s="13" t="s">
        <v>2678</v>
      </c>
      <c r="J377" t="s">
        <v>31</v>
      </c>
      <c r="K377" t="s">
        <v>7879</v>
      </c>
      <c r="L377" t="s">
        <v>7893</v>
      </c>
      <c r="M377" t="s">
        <v>46</v>
      </c>
      <c r="N377" t="s">
        <v>33</v>
      </c>
      <c r="O377" s="17">
        <v>195000</v>
      </c>
      <c r="P377" s="17" t="s">
        <v>7854</v>
      </c>
      <c r="Q377" s="22">
        <v>0</v>
      </c>
      <c r="R377" s="22" t="s">
        <v>7854</v>
      </c>
      <c r="S377" s="24">
        <v>0</v>
      </c>
      <c r="T377" s="24" t="s">
        <v>7854</v>
      </c>
      <c r="U377" t="s">
        <v>2679</v>
      </c>
    </row>
    <row r="378" spans="1:21" x14ac:dyDescent="0.25">
      <c r="A378">
        <v>383</v>
      </c>
      <c r="B378">
        <v>24344</v>
      </c>
      <c r="C378" t="s">
        <v>2680</v>
      </c>
      <c r="D378" t="s">
        <v>7191</v>
      </c>
      <c r="E378" t="s">
        <v>2683</v>
      </c>
      <c r="F378" t="s">
        <v>53</v>
      </c>
      <c r="G378" t="s">
        <v>2684</v>
      </c>
      <c r="H378" t="s">
        <v>765</v>
      </c>
      <c r="I378" s="12">
        <v>23277695101</v>
      </c>
      <c r="J378" t="s">
        <v>31</v>
      </c>
      <c r="K378" t="s">
        <v>7879</v>
      </c>
      <c r="L378" t="s">
        <v>7940</v>
      </c>
      <c r="M378" t="s">
        <v>1480</v>
      </c>
      <c r="N378" t="s">
        <v>33</v>
      </c>
      <c r="O378" s="17">
        <v>195000</v>
      </c>
      <c r="P378" s="17" t="s">
        <v>7854</v>
      </c>
      <c r="Q378" s="22">
        <v>0</v>
      </c>
      <c r="R378" s="22" t="s">
        <v>7854</v>
      </c>
      <c r="S378" s="24">
        <v>0</v>
      </c>
      <c r="T378" s="24" t="s">
        <v>7854</v>
      </c>
      <c r="U378" t="s">
        <v>2685</v>
      </c>
    </row>
    <row r="379" spans="1:21" x14ac:dyDescent="0.25">
      <c r="A379">
        <v>384</v>
      </c>
      <c r="B379">
        <v>18774</v>
      </c>
      <c r="C379" t="s">
        <v>2686</v>
      </c>
      <c r="D379" t="s">
        <v>7192</v>
      </c>
      <c r="E379" t="s">
        <v>2690</v>
      </c>
      <c r="F379" t="s">
        <v>53</v>
      </c>
      <c r="G379" t="s">
        <v>2691</v>
      </c>
      <c r="H379" t="s">
        <v>43</v>
      </c>
      <c r="I379" s="12">
        <v>2348062685860</v>
      </c>
      <c r="J379" t="s">
        <v>31</v>
      </c>
      <c r="K379" t="s">
        <v>7886</v>
      </c>
      <c r="L379" t="s">
        <v>7888</v>
      </c>
      <c r="M379" t="s">
        <v>46</v>
      </c>
      <c r="N379" t="s">
        <v>33</v>
      </c>
      <c r="O379" s="17">
        <v>812500</v>
      </c>
      <c r="P379" s="17" t="s">
        <v>7854</v>
      </c>
      <c r="Q379" s="22">
        <v>0</v>
      </c>
      <c r="R379" s="22" t="s">
        <v>7854</v>
      </c>
      <c r="S379" s="24">
        <v>162500</v>
      </c>
      <c r="T379" s="24" t="s">
        <v>7854</v>
      </c>
      <c r="U379" t="s">
        <v>2692</v>
      </c>
    </row>
    <row r="380" spans="1:21" x14ac:dyDescent="0.25">
      <c r="A380">
        <v>385</v>
      </c>
      <c r="B380">
        <v>18356</v>
      </c>
      <c r="C380" t="s">
        <v>2693</v>
      </c>
      <c r="D380" t="s">
        <v>7193</v>
      </c>
      <c r="E380" t="s">
        <v>2697</v>
      </c>
      <c r="F380" t="s">
        <v>28</v>
      </c>
      <c r="G380" t="s">
        <v>2698</v>
      </c>
      <c r="H380" t="s">
        <v>43</v>
      </c>
      <c r="I380" s="13" t="s">
        <v>2699</v>
      </c>
      <c r="J380" t="s">
        <v>31</v>
      </c>
      <c r="K380" t="s">
        <v>7881</v>
      </c>
      <c r="L380" t="s">
        <v>7981</v>
      </c>
      <c r="M380" t="s">
        <v>46</v>
      </c>
      <c r="N380" t="s">
        <v>33</v>
      </c>
      <c r="O380" s="17">
        <v>552500</v>
      </c>
      <c r="P380" s="17" t="s">
        <v>7854</v>
      </c>
      <c r="Q380" s="22">
        <v>0</v>
      </c>
      <c r="R380" s="22" t="s">
        <v>7854</v>
      </c>
      <c r="S380" s="24">
        <v>0</v>
      </c>
      <c r="T380" s="24" t="s">
        <v>7854</v>
      </c>
      <c r="U380" t="s">
        <v>2700</v>
      </c>
    </row>
    <row r="381" spans="1:21" x14ac:dyDescent="0.25">
      <c r="A381">
        <v>386</v>
      </c>
      <c r="B381">
        <v>24230</v>
      </c>
      <c r="C381" t="s">
        <v>2701</v>
      </c>
      <c r="D381" t="s">
        <v>7194</v>
      </c>
      <c r="E381" t="s">
        <v>2704</v>
      </c>
      <c r="F381" t="s">
        <v>28</v>
      </c>
      <c r="G381" t="s">
        <v>364</v>
      </c>
      <c r="H381" t="s">
        <v>43</v>
      </c>
      <c r="I381" s="13" t="s">
        <v>2705</v>
      </c>
      <c r="J381" t="s">
        <v>31</v>
      </c>
      <c r="K381" t="s">
        <v>7879</v>
      </c>
      <c r="L381" t="s">
        <v>7940</v>
      </c>
      <c r="M381" t="s">
        <v>46</v>
      </c>
      <c r="N381" t="s">
        <v>33</v>
      </c>
      <c r="O381" s="17">
        <v>195000</v>
      </c>
      <c r="P381" s="17" t="s">
        <v>7854</v>
      </c>
      <c r="Q381" s="22">
        <v>0</v>
      </c>
      <c r="R381" s="22" t="s">
        <v>7854</v>
      </c>
      <c r="S381" s="24">
        <v>0</v>
      </c>
      <c r="T381" s="24" t="s">
        <v>7854</v>
      </c>
      <c r="U381" t="s">
        <v>2706</v>
      </c>
    </row>
    <row r="382" spans="1:21" x14ac:dyDescent="0.25">
      <c r="A382">
        <v>387</v>
      </c>
      <c r="B382">
        <v>24347</v>
      </c>
      <c r="C382" t="s">
        <v>2707</v>
      </c>
      <c r="D382" t="s">
        <v>7195</v>
      </c>
      <c r="E382" t="s">
        <v>2711</v>
      </c>
      <c r="F382" t="s">
        <v>53</v>
      </c>
      <c r="G382" t="s">
        <v>1395</v>
      </c>
      <c r="H382" t="s">
        <v>43</v>
      </c>
      <c r="I382" s="13" t="s">
        <v>2712</v>
      </c>
      <c r="J382" t="s">
        <v>31</v>
      </c>
      <c r="K382" t="s">
        <v>7879</v>
      </c>
      <c r="L382" t="s">
        <v>7940</v>
      </c>
      <c r="M382" t="s">
        <v>46</v>
      </c>
      <c r="N382" t="s">
        <v>33</v>
      </c>
      <c r="O382" s="17">
        <v>195000</v>
      </c>
      <c r="P382" s="17" t="s">
        <v>7854</v>
      </c>
      <c r="Q382" s="22">
        <v>0</v>
      </c>
      <c r="R382" s="22" t="s">
        <v>7854</v>
      </c>
      <c r="S382" s="24">
        <v>0</v>
      </c>
      <c r="T382" s="24" t="s">
        <v>7854</v>
      </c>
      <c r="U382" t="s">
        <v>2713</v>
      </c>
    </row>
    <row r="383" spans="1:21" x14ac:dyDescent="0.25">
      <c r="A383">
        <v>388</v>
      </c>
      <c r="B383">
        <v>24369</v>
      </c>
      <c r="C383" t="s">
        <v>2714</v>
      </c>
      <c r="D383" t="s">
        <v>7196</v>
      </c>
      <c r="E383" t="s">
        <v>2718</v>
      </c>
      <c r="F383" t="s">
        <v>28</v>
      </c>
      <c r="G383" t="s">
        <v>1395</v>
      </c>
      <c r="H383" t="s">
        <v>43</v>
      </c>
      <c r="I383" s="13" t="s">
        <v>2719</v>
      </c>
      <c r="J383" t="s">
        <v>31</v>
      </c>
      <c r="K383" t="s">
        <v>7879</v>
      </c>
      <c r="L383" t="s">
        <v>7893</v>
      </c>
      <c r="M383" t="s">
        <v>46</v>
      </c>
      <c r="N383" t="s">
        <v>33</v>
      </c>
      <c r="O383" s="17">
        <v>195000</v>
      </c>
      <c r="P383" s="17" t="s">
        <v>7854</v>
      </c>
      <c r="Q383" s="22">
        <v>0</v>
      </c>
      <c r="R383" s="22" t="s">
        <v>7854</v>
      </c>
      <c r="S383" s="24">
        <v>0</v>
      </c>
      <c r="T383" s="24" t="s">
        <v>7854</v>
      </c>
      <c r="U383" t="s">
        <v>2720</v>
      </c>
    </row>
    <row r="384" spans="1:21" x14ac:dyDescent="0.25">
      <c r="A384">
        <v>389</v>
      </c>
      <c r="B384">
        <v>4090</v>
      </c>
      <c r="C384" t="s">
        <v>2721</v>
      </c>
      <c r="D384" t="s">
        <v>7197</v>
      </c>
      <c r="E384" t="s">
        <v>2724</v>
      </c>
      <c r="F384" t="s">
        <v>28</v>
      </c>
      <c r="G384" t="s">
        <v>184</v>
      </c>
      <c r="H384" t="s">
        <v>43</v>
      </c>
      <c r="I384" s="12">
        <v>7067056464</v>
      </c>
      <c r="J384" t="s">
        <v>31</v>
      </c>
      <c r="K384" t="s">
        <v>7886</v>
      </c>
      <c r="L384" t="s">
        <v>7940</v>
      </c>
      <c r="M384" t="s">
        <v>46</v>
      </c>
      <c r="N384" t="s">
        <v>33</v>
      </c>
      <c r="O384" s="17">
        <v>812500</v>
      </c>
      <c r="P384" s="17" t="s">
        <v>7854</v>
      </c>
      <c r="Q384" s="22">
        <v>0</v>
      </c>
      <c r="R384" s="22" t="s">
        <v>7854</v>
      </c>
      <c r="S384" s="24">
        <v>162500</v>
      </c>
      <c r="T384" s="24" t="s">
        <v>7854</v>
      </c>
      <c r="U384" t="s">
        <v>2725</v>
      </c>
    </row>
    <row r="385" spans="1:21" x14ac:dyDescent="0.25">
      <c r="A385">
        <v>390</v>
      </c>
      <c r="B385">
        <v>21243</v>
      </c>
      <c r="C385" t="s">
        <v>2726</v>
      </c>
      <c r="D385" t="s">
        <v>7198</v>
      </c>
      <c r="E385" t="s">
        <v>2730</v>
      </c>
      <c r="F385" t="s">
        <v>53</v>
      </c>
      <c r="G385" t="s">
        <v>2731</v>
      </c>
      <c r="H385" t="s">
        <v>43</v>
      </c>
      <c r="I385" s="13" t="s">
        <v>2732</v>
      </c>
      <c r="J385" t="s">
        <v>31</v>
      </c>
      <c r="K385" t="s">
        <v>7881</v>
      </c>
      <c r="L385" t="s">
        <v>7888</v>
      </c>
      <c r="M385" t="s">
        <v>46</v>
      </c>
      <c r="N385" t="s">
        <v>33</v>
      </c>
      <c r="O385" s="17">
        <v>552500</v>
      </c>
      <c r="P385" s="17" t="s">
        <v>7854</v>
      </c>
      <c r="Q385" s="22">
        <v>110500</v>
      </c>
      <c r="R385" s="22" t="s">
        <v>7854</v>
      </c>
      <c r="S385" s="24">
        <v>0</v>
      </c>
      <c r="T385" s="24" t="s">
        <v>7854</v>
      </c>
      <c r="U385" t="s">
        <v>2733</v>
      </c>
    </row>
    <row r="386" spans="1:21" x14ac:dyDescent="0.25">
      <c r="A386">
        <v>391</v>
      </c>
      <c r="B386">
        <v>271</v>
      </c>
      <c r="C386" t="s">
        <v>2734</v>
      </c>
      <c r="D386" t="s">
        <v>7199</v>
      </c>
      <c r="E386" t="s">
        <v>2738</v>
      </c>
      <c r="F386" t="s">
        <v>28</v>
      </c>
      <c r="G386" t="s">
        <v>2739</v>
      </c>
      <c r="H386" t="s">
        <v>43</v>
      </c>
      <c r="I386" s="13" t="s">
        <v>2740</v>
      </c>
      <c r="J386" t="s">
        <v>31</v>
      </c>
      <c r="K386" t="s">
        <v>7881</v>
      </c>
      <c r="L386" t="s">
        <v>7888</v>
      </c>
      <c r="M386" t="s">
        <v>63</v>
      </c>
      <c r="N386" t="s">
        <v>33</v>
      </c>
      <c r="O386" s="17">
        <v>552500</v>
      </c>
      <c r="P386" s="17" t="s">
        <v>7854</v>
      </c>
      <c r="Q386" s="22">
        <v>110500</v>
      </c>
      <c r="R386" s="22" t="s">
        <v>7854</v>
      </c>
      <c r="S386" s="24">
        <v>0</v>
      </c>
      <c r="T386" s="24" t="s">
        <v>7854</v>
      </c>
      <c r="U386" t="s">
        <v>2741</v>
      </c>
    </row>
    <row r="387" spans="1:21" x14ac:dyDescent="0.25">
      <c r="A387">
        <v>392</v>
      </c>
      <c r="B387">
        <v>4012</v>
      </c>
      <c r="C387" t="s">
        <v>2742</v>
      </c>
      <c r="D387" t="s">
        <v>7200</v>
      </c>
      <c r="E387" t="s">
        <v>7949</v>
      </c>
      <c r="F387" t="s">
        <v>28</v>
      </c>
      <c r="G387" t="s">
        <v>2746</v>
      </c>
      <c r="H387" t="s">
        <v>43</v>
      </c>
      <c r="I387" s="12">
        <v>7038368020</v>
      </c>
      <c r="J387" t="s">
        <v>31</v>
      </c>
      <c r="K387" t="s">
        <v>7886</v>
      </c>
      <c r="L387" t="s">
        <v>7940</v>
      </c>
      <c r="M387" t="s">
        <v>46</v>
      </c>
      <c r="N387" t="s">
        <v>33</v>
      </c>
      <c r="O387" s="17">
        <v>812500</v>
      </c>
      <c r="P387" s="17" t="s">
        <v>7854</v>
      </c>
      <c r="Q387" s="22">
        <v>0</v>
      </c>
      <c r="R387" s="22" t="s">
        <v>7854</v>
      </c>
      <c r="S387" s="24">
        <v>162500</v>
      </c>
      <c r="T387" s="24" t="s">
        <v>7854</v>
      </c>
      <c r="U387" t="s">
        <v>2747</v>
      </c>
    </row>
    <row r="388" spans="1:21" x14ac:dyDescent="0.25">
      <c r="A388">
        <v>393</v>
      </c>
      <c r="B388">
        <v>2879</v>
      </c>
      <c r="C388" t="s">
        <v>2748</v>
      </c>
      <c r="D388" t="s">
        <v>7201</v>
      </c>
      <c r="E388" t="s">
        <v>7991</v>
      </c>
      <c r="F388" t="s">
        <v>53</v>
      </c>
      <c r="G388" t="s">
        <v>2751</v>
      </c>
      <c r="H388" t="s">
        <v>43</v>
      </c>
      <c r="I388" s="12">
        <v>2348165777778</v>
      </c>
      <c r="J388" t="s">
        <v>31</v>
      </c>
      <c r="K388" t="s">
        <v>7886</v>
      </c>
      <c r="L388" t="s">
        <v>7981</v>
      </c>
      <c r="M388" t="s">
        <v>63</v>
      </c>
      <c r="N388" t="s">
        <v>33</v>
      </c>
      <c r="O388" s="17">
        <v>812500</v>
      </c>
      <c r="P388" s="17" t="s">
        <v>7854</v>
      </c>
      <c r="Q388" s="22">
        <v>0</v>
      </c>
      <c r="R388" s="22" t="s">
        <v>7854</v>
      </c>
      <c r="S388" s="24">
        <v>162500</v>
      </c>
      <c r="T388" s="24" t="s">
        <v>7854</v>
      </c>
      <c r="U388" t="s">
        <v>2752</v>
      </c>
    </row>
    <row r="389" spans="1:21" x14ac:dyDescent="0.25">
      <c r="A389">
        <v>394</v>
      </c>
      <c r="B389">
        <v>22359</v>
      </c>
      <c r="C389" t="s">
        <v>2753</v>
      </c>
      <c r="D389" t="s">
        <v>7202</v>
      </c>
      <c r="E389" t="s">
        <v>2755</v>
      </c>
      <c r="F389" t="s">
        <v>53</v>
      </c>
      <c r="G389" t="s">
        <v>2756</v>
      </c>
      <c r="H389" t="s">
        <v>43</v>
      </c>
      <c r="I389" s="13" t="s">
        <v>2757</v>
      </c>
      <c r="J389" t="s">
        <v>31</v>
      </c>
      <c r="K389" t="s">
        <v>7879</v>
      </c>
      <c r="L389" t="s">
        <v>7940</v>
      </c>
      <c r="M389" t="s">
        <v>46</v>
      </c>
      <c r="N389" t="s">
        <v>33</v>
      </c>
      <c r="O389" s="17">
        <v>195000</v>
      </c>
      <c r="P389" s="17" t="s">
        <v>7854</v>
      </c>
      <c r="Q389" s="22">
        <v>0</v>
      </c>
      <c r="R389" s="22" t="s">
        <v>7854</v>
      </c>
      <c r="S389" s="24">
        <v>0</v>
      </c>
      <c r="T389" s="24" t="s">
        <v>7854</v>
      </c>
      <c r="U389" t="s">
        <v>2758</v>
      </c>
    </row>
    <row r="390" spans="1:21" x14ac:dyDescent="0.25">
      <c r="A390">
        <v>395</v>
      </c>
      <c r="B390">
        <v>24332</v>
      </c>
      <c r="C390" t="s">
        <v>2759</v>
      </c>
      <c r="D390" t="s">
        <v>7203</v>
      </c>
      <c r="E390" t="s">
        <v>2760</v>
      </c>
      <c r="F390" t="s">
        <v>28</v>
      </c>
      <c r="G390" t="s">
        <v>2761</v>
      </c>
      <c r="H390" t="s">
        <v>43</v>
      </c>
      <c r="I390" s="12">
        <v>2348146196738</v>
      </c>
      <c r="J390" t="s">
        <v>31</v>
      </c>
      <c r="K390" t="s">
        <v>7879</v>
      </c>
      <c r="L390" t="s">
        <v>7888</v>
      </c>
      <c r="M390" t="s">
        <v>46</v>
      </c>
      <c r="N390" t="s">
        <v>33</v>
      </c>
      <c r="O390" s="17">
        <v>195000</v>
      </c>
      <c r="P390" s="17" t="s">
        <v>7854</v>
      </c>
      <c r="Q390" s="22">
        <v>0</v>
      </c>
      <c r="R390" s="22" t="s">
        <v>7854</v>
      </c>
      <c r="S390" s="24">
        <v>0</v>
      </c>
      <c r="T390" s="24" t="s">
        <v>7854</v>
      </c>
      <c r="U390" t="s">
        <v>2762</v>
      </c>
    </row>
    <row r="391" spans="1:21" x14ac:dyDescent="0.25">
      <c r="A391">
        <v>396</v>
      </c>
      <c r="B391">
        <v>24405</v>
      </c>
      <c r="C391" t="s">
        <v>2763</v>
      </c>
      <c r="D391" t="s">
        <v>7204</v>
      </c>
      <c r="E391" t="s">
        <v>2765</v>
      </c>
      <c r="F391" t="s">
        <v>28</v>
      </c>
      <c r="G391" t="s">
        <v>2766</v>
      </c>
      <c r="H391" t="s">
        <v>43</v>
      </c>
      <c r="I391" s="13" t="s">
        <v>2767</v>
      </c>
      <c r="J391" t="s">
        <v>31</v>
      </c>
      <c r="K391" t="s">
        <v>7879</v>
      </c>
      <c r="L391" t="s">
        <v>7940</v>
      </c>
      <c r="M391" t="s">
        <v>46</v>
      </c>
      <c r="N391" t="s">
        <v>33</v>
      </c>
      <c r="O391" s="17">
        <v>195000</v>
      </c>
      <c r="P391" s="17" t="s">
        <v>7854</v>
      </c>
      <c r="Q391" s="22">
        <v>0</v>
      </c>
      <c r="R391" s="22" t="s">
        <v>7854</v>
      </c>
      <c r="S391" s="24">
        <v>0</v>
      </c>
      <c r="T391" s="24" t="s">
        <v>7854</v>
      </c>
      <c r="U391" t="s">
        <v>2768</v>
      </c>
    </row>
    <row r="392" spans="1:21" x14ac:dyDescent="0.25">
      <c r="A392">
        <v>397</v>
      </c>
      <c r="B392">
        <v>19986</v>
      </c>
      <c r="C392" t="s">
        <v>2769</v>
      </c>
      <c r="D392" t="s">
        <v>7205</v>
      </c>
      <c r="E392" t="s">
        <v>2772</v>
      </c>
      <c r="F392" t="s">
        <v>28</v>
      </c>
      <c r="G392" t="s">
        <v>682</v>
      </c>
      <c r="H392" t="s">
        <v>453</v>
      </c>
      <c r="I392" s="13" t="s">
        <v>2773</v>
      </c>
      <c r="J392" t="s">
        <v>45</v>
      </c>
      <c r="K392" t="s">
        <v>7881</v>
      </c>
      <c r="L392" t="s">
        <v>7893</v>
      </c>
      <c r="M392" t="s">
        <v>455</v>
      </c>
      <c r="N392" t="s">
        <v>130</v>
      </c>
      <c r="O392" s="17" t="s">
        <v>7854</v>
      </c>
      <c r="P392" s="17">
        <v>425</v>
      </c>
      <c r="Q392" s="22" t="s">
        <v>7854</v>
      </c>
      <c r="R392" s="22">
        <v>0</v>
      </c>
      <c r="S392" s="24" t="s">
        <v>7854</v>
      </c>
      <c r="T392" s="24">
        <v>0</v>
      </c>
      <c r="U392" t="s">
        <v>2774</v>
      </c>
    </row>
    <row r="393" spans="1:21" x14ac:dyDescent="0.25">
      <c r="A393">
        <v>398</v>
      </c>
      <c r="B393">
        <v>23063</v>
      </c>
      <c r="C393" t="s">
        <v>2775</v>
      </c>
      <c r="D393" t="s">
        <v>7206</v>
      </c>
      <c r="E393" t="s">
        <v>2776</v>
      </c>
      <c r="F393" t="s">
        <v>28</v>
      </c>
      <c r="G393" t="s">
        <v>2777</v>
      </c>
      <c r="H393" t="s">
        <v>43</v>
      </c>
      <c r="I393" s="13" t="s">
        <v>2778</v>
      </c>
      <c r="J393" t="s">
        <v>31</v>
      </c>
      <c r="K393" t="s">
        <v>7879</v>
      </c>
      <c r="L393" t="s">
        <v>7940</v>
      </c>
      <c r="M393" t="s">
        <v>63</v>
      </c>
      <c r="N393" t="s">
        <v>33</v>
      </c>
      <c r="O393" s="17">
        <v>195000</v>
      </c>
      <c r="P393" s="17" t="s">
        <v>7854</v>
      </c>
      <c r="Q393" s="22">
        <v>0</v>
      </c>
      <c r="R393" s="22" t="s">
        <v>7854</v>
      </c>
      <c r="S393" s="24">
        <v>0</v>
      </c>
      <c r="T393" s="24" t="s">
        <v>7854</v>
      </c>
      <c r="U393" t="s">
        <v>2779</v>
      </c>
    </row>
    <row r="394" spans="1:21" x14ac:dyDescent="0.25">
      <c r="A394">
        <v>399</v>
      </c>
      <c r="B394">
        <v>16262</v>
      </c>
      <c r="C394" t="s">
        <v>2780</v>
      </c>
      <c r="D394" t="s">
        <v>7207</v>
      </c>
      <c r="E394" t="s">
        <v>2784</v>
      </c>
      <c r="F394" t="s">
        <v>53</v>
      </c>
      <c r="G394" t="s">
        <v>2785</v>
      </c>
      <c r="H394" t="s">
        <v>43</v>
      </c>
      <c r="I394" s="12">
        <v>2348035921138</v>
      </c>
      <c r="J394" t="s">
        <v>2333</v>
      </c>
      <c r="K394" t="s">
        <v>7886</v>
      </c>
      <c r="L394" t="s">
        <v>7893</v>
      </c>
      <c r="M394" t="s">
        <v>63</v>
      </c>
      <c r="N394" t="s">
        <v>33</v>
      </c>
      <c r="O394" s="17">
        <v>812500</v>
      </c>
      <c r="P394" s="17" t="s">
        <v>7854</v>
      </c>
      <c r="Q394" s="22">
        <v>0</v>
      </c>
      <c r="R394" s="22" t="s">
        <v>7854</v>
      </c>
      <c r="S394" s="24">
        <v>162500</v>
      </c>
      <c r="T394" s="24" t="s">
        <v>7854</v>
      </c>
      <c r="U394" t="s">
        <v>2786</v>
      </c>
    </row>
    <row r="395" spans="1:21" x14ac:dyDescent="0.25">
      <c r="A395">
        <v>400</v>
      </c>
      <c r="B395">
        <v>22223</v>
      </c>
      <c r="C395" t="s">
        <v>2787</v>
      </c>
      <c r="D395" t="s">
        <v>7208</v>
      </c>
      <c r="E395" t="s">
        <v>2791</v>
      </c>
      <c r="F395" t="s">
        <v>28</v>
      </c>
      <c r="G395" t="s">
        <v>2792</v>
      </c>
      <c r="H395" t="s">
        <v>43</v>
      </c>
      <c r="I395" s="13" t="s">
        <v>2793</v>
      </c>
      <c r="J395" t="s">
        <v>31</v>
      </c>
      <c r="K395" t="s">
        <v>7879</v>
      </c>
      <c r="L395" t="s">
        <v>7893</v>
      </c>
      <c r="M395" t="s">
        <v>46</v>
      </c>
      <c r="N395" t="s">
        <v>33</v>
      </c>
      <c r="O395" s="17">
        <v>195000</v>
      </c>
      <c r="P395" s="17" t="s">
        <v>7854</v>
      </c>
      <c r="Q395" s="22">
        <v>0</v>
      </c>
      <c r="R395" s="22" t="s">
        <v>7854</v>
      </c>
      <c r="S395" s="24">
        <v>0</v>
      </c>
      <c r="T395" s="24" t="s">
        <v>7854</v>
      </c>
      <c r="U395" t="s">
        <v>2794</v>
      </c>
    </row>
    <row r="396" spans="1:21" x14ac:dyDescent="0.25">
      <c r="A396">
        <v>401</v>
      </c>
      <c r="B396">
        <v>23291</v>
      </c>
      <c r="C396" t="s">
        <v>2795</v>
      </c>
      <c r="D396" t="s">
        <v>7209</v>
      </c>
      <c r="E396" t="s">
        <v>2799</v>
      </c>
      <c r="F396" t="s">
        <v>53</v>
      </c>
      <c r="G396" t="s">
        <v>2800</v>
      </c>
      <c r="H396" t="s">
        <v>43</v>
      </c>
      <c r="I396" s="13" t="s">
        <v>2801</v>
      </c>
      <c r="J396" t="s">
        <v>45</v>
      </c>
      <c r="K396" t="s">
        <v>7879</v>
      </c>
      <c r="L396" t="s">
        <v>7940</v>
      </c>
      <c r="M396" t="s">
        <v>87</v>
      </c>
      <c r="N396" t="s">
        <v>33</v>
      </c>
      <c r="O396" s="17">
        <v>195000</v>
      </c>
      <c r="P396" s="17" t="s">
        <v>7854</v>
      </c>
      <c r="Q396" s="22">
        <v>0</v>
      </c>
      <c r="R396" s="22" t="s">
        <v>7854</v>
      </c>
      <c r="S396" s="24">
        <v>0</v>
      </c>
      <c r="T396" s="24" t="s">
        <v>7854</v>
      </c>
      <c r="U396" t="s">
        <v>2802</v>
      </c>
    </row>
    <row r="397" spans="1:21" x14ac:dyDescent="0.25">
      <c r="A397">
        <v>402</v>
      </c>
      <c r="B397">
        <v>18795</v>
      </c>
      <c r="C397" t="s">
        <v>2803</v>
      </c>
      <c r="D397" t="s">
        <v>7210</v>
      </c>
      <c r="E397" t="s">
        <v>7950</v>
      </c>
      <c r="F397" t="s">
        <v>28</v>
      </c>
      <c r="G397" t="s">
        <v>2806</v>
      </c>
      <c r="H397" t="s">
        <v>43</v>
      </c>
      <c r="I397" s="13" t="s">
        <v>2807</v>
      </c>
      <c r="J397" t="s">
        <v>31</v>
      </c>
      <c r="K397" t="s">
        <v>7886</v>
      </c>
      <c r="L397" t="s">
        <v>7940</v>
      </c>
      <c r="M397" t="s">
        <v>46</v>
      </c>
      <c r="N397" t="s">
        <v>33</v>
      </c>
      <c r="O397" s="17">
        <v>812500</v>
      </c>
      <c r="P397" s="17" t="s">
        <v>7854</v>
      </c>
      <c r="Q397" s="22">
        <v>0</v>
      </c>
      <c r="R397" s="22" t="s">
        <v>7854</v>
      </c>
      <c r="S397" s="24">
        <v>162500</v>
      </c>
      <c r="T397" s="24" t="s">
        <v>7854</v>
      </c>
      <c r="U397" t="s">
        <v>2808</v>
      </c>
    </row>
    <row r="398" spans="1:21" x14ac:dyDescent="0.25">
      <c r="A398">
        <v>403</v>
      </c>
      <c r="B398">
        <v>18072</v>
      </c>
      <c r="C398" t="s">
        <v>2809</v>
      </c>
      <c r="D398" t="s">
        <v>7211</v>
      </c>
      <c r="E398" t="s">
        <v>7907</v>
      </c>
      <c r="F398" t="s">
        <v>28</v>
      </c>
      <c r="G398" t="s">
        <v>1923</v>
      </c>
      <c r="H398" t="s">
        <v>43</v>
      </c>
      <c r="I398" s="13" t="s">
        <v>2811</v>
      </c>
      <c r="J398" t="s">
        <v>45</v>
      </c>
      <c r="K398" t="s">
        <v>7881</v>
      </c>
      <c r="L398" t="s">
        <v>7893</v>
      </c>
      <c r="M398" t="s">
        <v>87</v>
      </c>
      <c r="N398" t="s">
        <v>33</v>
      </c>
      <c r="O398" s="17">
        <v>552500</v>
      </c>
      <c r="P398" s="17" t="s">
        <v>7854</v>
      </c>
      <c r="Q398" s="22">
        <v>0</v>
      </c>
      <c r="R398" s="22" t="s">
        <v>7854</v>
      </c>
      <c r="S398" s="24">
        <v>0</v>
      </c>
      <c r="T398" s="24" t="s">
        <v>7854</v>
      </c>
      <c r="U398" t="s">
        <v>2812</v>
      </c>
    </row>
    <row r="399" spans="1:21" x14ac:dyDescent="0.25">
      <c r="A399">
        <v>404</v>
      </c>
      <c r="B399">
        <v>9992</v>
      </c>
      <c r="C399" t="s">
        <v>2813</v>
      </c>
      <c r="D399" t="s">
        <v>7212</v>
      </c>
      <c r="E399" t="s">
        <v>2815</v>
      </c>
      <c r="F399" t="s">
        <v>28</v>
      </c>
      <c r="G399" t="s">
        <v>2816</v>
      </c>
      <c r="H399" t="s">
        <v>43</v>
      </c>
      <c r="I399" s="13" t="s">
        <v>2817</v>
      </c>
      <c r="J399" t="s">
        <v>45</v>
      </c>
      <c r="K399" t="s">
        <v>7881</v>
      </c>
      <c r="L399" t="s">
        <v>7981</v>
      </c>
      <c r="M399" t="s">
        <v>63</v>
      </c>
      <c r="N399" t="s">
        <v>33</v>
      </c>
      <c r="O399" s="17">
        <v>552500</v>
      </c>
      <c r="P399" s="17" t="s">
        <v>7854</v>
      </c>
      <c r="Q399" s="22">
        <v>0</v>
      </c>
      <c r="R399" s="22" t="s">
        <v>7854</v>
      </c>
      <c r="S399" s="24">
        <v>0</v>
      </c>
      <c r="T399" s="24" t="s">
        <v>7854</v>
      </c>
      <c r="U399" t="s">
        <v>2818</v>
      </c>
    </row>
    <row r="400" spans="1:21" x14ac:dyDescent="0.25">
      <c r="A400">
        <v>405</v>
      </c>
      <c r="B400">
        <v>1343</v>
      </c>
      <c r="C400" t="s">
        <v>2819</v>
      </c>
      <c r="D400" t="s">
        <v>7213</v>
      </c>
      <c r="E400" t="s">
        <v>7915</v>
      </c>
      <c r="F400" t="s">
        <v>28</v>
      </c>
      <c r="G400" t="s">
        <v>2822</v>
      </c>
      <c r="H400" t="s">
        <v>43</v>
      </c>
      <c r="I400" s="12">
        <v>8067822925</v>
      </c>
      <c r="J400" t="s">
        <v>31</v>
      </c>
      <c r="K400" t="s">
        <v>7886</v>
      </c>
      <c r="L400" t="s">
        <v>7893</v>
      </c>
      <c r="M400" t="s">
        <v>46</v>
      </c>
      <c r="N400" t="s">
        <v>33</v>
      </c>
      <c r="O400" s="17">
        <v>812500</v>
      </c>
      <c r="P400" s="17" t="s">
        <v>7854</v>
      </c>
      <c r="Q400" s="22">
        <v>0</v>
      </c>
      <c r="R400" s="22" t="s">
        <v>7854</v>
      </c>
      <c r="S400" s="24">
        <v>162500</v>
      </c>
      <c r="T400" s="24" t="s">
        <v>7854</v>
      </c>
      <c r="U400" t="s">
        <v>2823</v>
      </c>
    </row>
    <row r="401" spans="1:21" x14ac:dyDescent="0.25">
      <c r="A401">
        <v>406</v>
      </c>
      <c r="B401">
        <v>10804</v>
      </c>
      <c r="C401" t="s">
        <v>2824</v>
      </c>
      <c r="D401" t="s">
        <v>7214</v>
      </c>
      <c r="E401" t="s">
        <v>2828</v>
      </c>
      <c r="F401" t="s">
        <v>28</v>
      </c>
      <c r="G401" t="s">
        <v>2829</v>
      </c>
      <c r="H401" t="s">
        <v>43</v>
      </c>
      <c r="I401" s="13" t="s">
        <v>2830</v>
      </c>
      <c r="J401" t="s">
        <v>31</v>
      </c>
      <c r="K401" t="s">
        <v>7881</v>
      </c>
      <c r="L401" t="s">
        <v>7981</v>
      </c>
      <c r="M401" t="s">
        <v>46</v>
      </c>
      <c r="N401" t="s">
        <v>33</v>
      </c>
      <c r="O401" s="17">
        <v>552500</v>
      </c>
      <c r="P401" s="17" t="s">
        <v>7854</v>
      </c>
      <c r="Q401" s="22">
        <v>0</v>
      </c>
      <c r="R401" s="22" t="s">
        <v>7854</v>
      </c>
      <c r="S401" s="24">
        <v>0</v>
      </c>
      <c r="T401" s="24" t="s">
        <v>7854</v>
      </c>
      <c r="U401" t="s">
        <v>2831</v>
      </c>
    </row>
    <row r="402" spans="1:21" x14ac:dyDescent="0.25">
      <c r="A402">
        <v>407</v>
      </c>
      <c r="B402">
        <v>22456</v>
      </c>
      <c r="C402" t="s">
        <v>2833</v>
      </c>
      <c r="D402" t="s">
        <v>7215</v>
      </c>
      <c r="E402" t="s">
        <v>2837</v>
      </c>
      <c r="F402" t="s">
        <v>28</v>
      </c>
      <c r="G402" t="s">
        <v>312</v>
      </c>
      <c r="H402" t="s">
        <v>43</v>
      </c>
      <c r="I402" s="13" t="s">
        <v>2838</v>
      </c>
      <c r="J402" t="s">
        <v>31</v>
      </c>
      <c r="K402" t="s">
        <v>7881</v>
      </c>
      <c r="L402" t="s">
        <v>7981</v>
      </c>
      <c r="M402" t="s">
        <v>63</v>
      </c>
      <c r="N402" t="s">
        <v>33</v>
      </c>
      <c r="O402" s="17">
        <v>552500</v>
      </c>
      <c r="P402" s="17" t="s">
        <v>7854</v>
      </c>
      <c r="Q402" s="22">
        <v>0</v>
      </c>
      <c r="R402" s="22" t="s">
        <v>7854</v>
      </c>
      <c r="S402" s="24">
        <v>0</v>
      </c>
      <c r="T402" s="24" t="s">
        <v>7854</v>
      </c>
      <c r="U402" t="s">
        <v>2839</v>
      </c>
    </row>
    <row r="403" spans="1:21" x14ac:dyDescent="0.25">
      <c r="A403">
        <v>408</v>
      </c>
      <c r="B403">
        <v>21398</v>
      </c>
      <c r="C403" t="s">
        <v>2841</v>
      </c>
      <c r="D403" t="s">
        <v>7216</v>
      </c>
      <c r="E403" t="s">
        <v>2844</v>
      </c>
      <c r="F403" t="s">
        <v>53</v>
      </c>
      <c r="G403" t="s">
        <v>2845</v>
      </c>
      <c r="H403" t="s">
        <v>43</v>
      </c>
      <c r="I403" s="13" t="s">
        <v>2846</v>
      </c>
      <c r="J403" t="s">
        <v>31</v>
      </c>
      <c r="K403" t="s">
        <v>7881</v>
      </c>
      <c r="L403" t="s">
        <v>7981</v>
      </c>
      <c r="M403" t="s">
        <v>46</v>
      </c>
      <c r="N403" t="s">
        <v>33</v>
      </c>
      <c r="O403" s="17">
        <v>552500</v>
      </c>
      <c r="P403" s="17" t="s">
        <v>7854</v>
      </c>
      <c r="Q403" s="22">
        <v>0</v>
      </c>
      <c r="R403" s="22" t="s">
        <v>7854</v>
      </c>
      <c r="S403" s="24">
        <v>0</v>
      </c>
      <c r="T403" s="24" t="s">
        <v>7854</v>
      </c>
      <c r="U403" t="s">
        <v>2847</v>
      </c>
    </row>
    <row r="404" spans="1:21" x14ac:dyDescent="0.25">
      <c r="A404">
        <v>409</v>
      </c>
      <c r="B404">
        <v>19349</v>
      </c>
      <c r="C404" t="s">
        <v>2848</v>
      </c>
      <c r="D404" t="s">
        <v>7217</v>
      </c>
      <c r="E404" t="s">
        <v>2852</v>
      </c>
      <c r="F404" t="s">
        <v>28</v>
      </c>
      <c r="G404" t="s">
        <v>2853</v>
      </c>
      <c r="H404" t="s">
        <v>43</v>
      </c>
      <c r="I404" s="13" t="s">
        <v>2854</v>
      </c>
      <c r="J404" t="s">
        <v>31</v>
      </c>
      <c r="K404" t="s">
        <v>7881</v>
      </c>
      <c r="L404" t="s">
        <v>7940</v>
      </c>
      <c r="M404" t="s">
        <v>63</v>
      </c>
      <c r="N404" t="s">
        <v>33</v>
      </c>
      <c r="O404" s="17">
        <v>552500</v>
      </c>
      <c r="P404" s="17" t="s">
        <v>7854</v>
      </c>
      <c r="Q404" s="22">
        <v>0</v>
      </c>
      <c r="R404" s="22" t="s">
        <v>7854</v>
      </c>
      <c r="S404" s="24">
        <v>0</v>
      </c>
      <c r="T404" s="24" t="s">
        <v>7854</v>
      </c>
      <c r="U404" t="s">
        <v>2855</v>
      </c>
    </row>
    <row r="405" spans="1:21" x14ac:dyDescent="0.25">
      <c r="A405">
        <v>410</v>
      </c>
      <c r="B405">
        <v>11990</v>
      </c>
      <c r="C405" t="s">
        <v>2856</v>
      </c>
      <c r="D405" t="s">
        <v>7218</v>
      </c>
      <c r="E405" t="s">
        <v>2859</v>
      </c>
      <c r="F405" t="s">
        <v>28</v>
      </c>
      <c r="G405" t="s">
        <v>2860</v>
      </c>
      <c r="H405" t="s">
        <v>43</v>
      </c>
      <c r="I405" s="13" t="s">
        <v>2861</v>
      </c>
      <c r="J405" t="s">
        <v>45</v>
      </c>
      <c r="K405" t="s">
        <v>7881</v>
      </c>
      <c r="L405" t="s">
        <v>7893</v>
      </c>
      <c r="M405" t="s">
        <v>46</v>
      </c>
      <c r="N405" t="s">
        <v>33</v>
      </c>
      <c r="O405" s="17">
        <v>552500</v>
      </c>
      <c r="P405" s="17" t="s">
        <v>7854</v>
      </c>
      <c r="Q405" s="22">
        <v>0</v>
      </c>
      <c r="R405" s="22" t="s">
        <v>7854</v>
      </c>
      <c r="S405" s="24">
        <v>0</v>
      </c>
      <c r="T405" s="24" t="s">
        <v>7854</v>
      </c>
      <c r="U405" t="s">
        <v>2862</v>
      </c>
    </row>
    <row r="406" spans="1:21" x14ac:dyDescent="0.25">
      <c r="A406">
        <v>411</v>
      </c>
      <c r="B406">
        <v>24421</v>
      </c>
      <c r="C406" t="s">
        <v>2863</v>
      </c>
      <c r="D406" t="s">
        <v>7219</v>
      </c>
      <c r="E406" t="s">
        <v>2865</v>
      </c>
      <c r="F406" t="s">
        <v>53</v>
      </c>
      <c r="G406" t="s">
        <v>2200</v>
      </c>
      <c r="H406" t="s">
        <v>43</v>
      </c>
      <c r="I406" s="13" t="s">
        <v>2201</v>
      </c>
      <c r="J406" t="s">
        <v>31</v>
      </c>
      <c r="K406" t="s">
        <v>7879</v>
      </c>
      <c r="L406" t="s">
        <v>7888</v>
      </c>
      <c r="M406" t="s">
        <v>87</v>
      </c>
      <c r="N406" t="s">
        <v>33</v>
      </c>
      <c r="O406" s="17">
        <v>195000</v>
      </c>
      <c r="P406" s="17" t="s">
        <v>7854</v>
      </c>
      <c r="Q406" s="22">
        <v>0</v>
      </c>
      <c r="R406" s="22" t="s">
        <v>7854</v>
      </c>
      <c r="S406" s="24">
        <v>0</v>
      </c>
      <c r="T406" s="24" t="s">
        <v>7854</v>
      </c>
      <c r="U406" t="s">
        <v>2866</v>
      </c>
    </row>
    <row r="407" spans="1:21" x14ac:dyDescent="0.25">
      <c r="A407">
        <v>412</v>
      </c>
      <c r="B407">
        <v>6062</v>
      </c>
      <c r="C407" t="s">
        <v>2867</v>
      </c>
      <c r="D407" t="s">
        <v>7220</v>
      </c>
      <c r="E407" t="s">
        <v>2871</v>
      </c>
      <c r="F407" t="s">
        <v>28</v>
      </c>
      <c r="G407" t="s">
        <v>2872</v>
      </c>
      <c r="H407" t="s">
        <v>43</v>
      </c>
      <c r="I407" s="13" t="s">
        <v>2873</v>
      </c>
      <c r="J407" t="s">
        <v>1207</v>
      </c>
      <c r="K407" t="s">
        <v>7886</v>
      </c>
      <c r="L407" t="s">
        <v>7893</v>
      </c>
      <c r="M407" t="s">
        <v>63</v>
      </c>
      <c r="N407" t="s">
        <v>33</v>
      </c>
      <c r="O407" s="17">
        <v>812500</v>
      </c>
      <c r="P407" s="17" t="s">
        <v>7854</v>
      </c>
      <c r="Q407" s="22">
        <v>0</v>
      </c>
      <c r="R407" s="22" t="s">
        <v>7854</v>
      </c>
      <c r="S407" s="24">
        <v>162500</v>
      </c>
      <c r="T407" s="24" t="s">
        <v>7854</v>
      </c>
      <c r="U407" t="s">
        <v>2874</v>
      </c>
    </row>
    <row r="408" spans="1:21" x14ac:dyDescent="0.25">
      <c r="A408">
        <v>413</v>
      </c>
      <c r="B408">
        <v>971</v>
      </c>
      <c r="C408" t="s">
        <v>2875</v>
      </c>
      <c r="D408" t="s">
        <v>7221</v>
      </c>
      <c r="E408" t="s">
        <v>2877</v>
      </c>
      <c r="F408" t="s">
        <v>28</v>
      </c>
      <c r="G408" t="s">
        <v>2878</v>
      </c>
      <c r="H408" t="s">
        <v>43</v>
      </c>
      <c r="I408" s="12">
        <v>8037852557</v>
      </c>
      <c r="J408" t="s">
        <v>31</v>
      </c>
      <c r="K408" t="s">
        <v>7886</v>
      </c>
      <c r="L408" t="s">
        <v>7888</v>
      </c>
      <c r="M408" t="s">
        <v>63</v>
      </c>
      <c r="N408" t="s">
        <v>33</v>
      </c>
      <c r="O408" s="17">
        <v>812500</v>
      </c>
      <c r="P408" s="17" t="s">
        <v>7854</v>
      </c>
      <c r="Q408" s="22">
        <v>0</v>
      </c>
      <c r="R408" s="22" t="s">
        <v>7854</v>
      </c>
      <c r="S408" s="24">
        <v>162500</v>
      </c>
      <c r="T408" s="24" t="s">
        <v>7854</v>
      </c>
      <c r="U408" t="s">
        <v>2879</v>
      </c>
    </row>
    <row r="409" spans="1:21" x14ac:dyDescent="0.25">
      <c r="A409">
        <v>414</v>
      </c>
      <c r="B409">
        <v>18020</v>
      </c>
      <c r="C409" t="s">
        <v>2880</v>
      </c>
      <c r="D409" t="s">
        <v>7222</v>
      </c>
      <c r="E409" t="s">
        <v>2882</v>
      </c>
      <c r="F409" t="s">
        <v>28</v>
      </c>
      <c r="G409" t="s">
        <v>2883</v>
      </c>
      <c r="H409" t="s">
        <v>43</v>
      </c>
      <c r="I409" s="13" t="s">
        <v>2884</v>
      </c>
      <c r="J409" t="s">
        <v>31</v>
      </c>
      <c r="K409" t="s">
        <v>7881</v>
      </c>
      <c r="L409" t="s">
        <v>7940</v>
      </c>
      <c r="M409" t="s">
        <v>63</v>
      </c>
      <c r="N409" t="s">
        <v>33</v>
      </c>
      <c r="O409" s="17">
        <v>552500</v>
      </c>
      <c r="P409" s="17" t="s">
        <v>7854</v>
      </c>
      <c r="Q409" s="22">
        <v>110500</v>
      </c>
      <c r="R409" s="22" t="s">
        <v>7854</v>
      </c>
      <c r="S409" s="24">
        <v>0</v>
      </c>
      <c r="T409" s="24" t="s">
        <v>7854</v>
      </c>
      <c r="U409" t="s">
        <v>2885</v>
      </c>
    </row>
    <row r="410" spans="1:21" x14ac:dyDescent="0.25">
      <c r="A410">
        <v>415</v>
      </c>
      <c r="B410">
        <v>9698</v>
      </c>
      <c r="C410" t="s">
        <v>2886</v>
      </c>
      <c r="D410" t="s">
        <v>7223</v>
      </c>
      <c r="E410" t="s">
        <v>2890</v>
      </c>
      <c r="F410" t="s">
        <v>53</v>
      </c>
      <c r="G410" t="s">
        <v>2325</v>
      </c>
      <c r="H410" t="s">
        <v>43</v>
      </c>
      <c r="I410" s="12">
        <v>8063585294</v>
      </c>
      <c r="J410" t="s">
        <v>31</v>
      </c>
      <c r="K410" t="s">
        <v>7881</v>
      </c>
      <c r="L410" t="s">
        <v>7888</v>
      </c>
      <c r="M410" t="s">
        <v>87</v>
      </c>
      <c r="N410" t="s">
        <v>130</v>
      </c>
      <c r="O410" s="17" t="s">
        <v>7854</v>
      </c>
      <c r="P410" s="17">
        <v>425</v>
      </c>
      <c r="Q410" s="22" t="s">
        <v>7854</v>
      </c>
      <c r="R410" s="22">
        <v>85</v>
      </c>
      <c r="S410" s="24" t="s">
        <v>7854</v>
      </c>
      <c r="T410" s="24">
        <v>0</v>
      </c>
      <c r="U410" t="s">
        <v>2891</v>
      </c>
    </row>
    <row r="411" spans="1:21" x14ac:dyDescent="0.25">
      <c r="A411">
        <v>416</v>
      </c>
      <c r="B411">
        <v>7712</v>
      </c>
      <c r="C411" t="s">
        <v>2892</v>
      </c>
      <c r="D411" t="s">
        <v>7224</v>
      </c>
      <c r="E411" t="s">
        <v>7951</v>
      </c>
      <c r="F411" t="s">
        <v>53</v>
      </c>
      <c r="G411" t="s">
        <v>2483</v>
      </c>
      <c r="H411" t="s">
        <v>43</v>
      </c>
      <c r="I411" s="12">
        <v>2348034530255</v>
      </c>
      <c r="J411" t="s">
        <v>1207</v>
      </c>
      <c r="K411" t="s">
        <v>7886</v>
      </c>
      <c r="L411" t="s">
        <v>7940</v>
      </c>
      <c r="M411" t="s">
        <v>46</v>
      </c>
      <c r="N411" t="s">
        <v>33</v>
      </c>
      <c r="O411" s="17">
        <v>812500</v>
      </c>
      <c r="P411" s="17" t="s">
        <v>7854</v>
      </c>
      <c r="Q411" s="22">
        <v>0</v>
      </c>
      <c r="R411" s="22" t="s">
        <v>7854</v>
      </c>
      <c r="S411" s="24">
        <v>162500</v>
      </c>
      <c r="T411" s="24" t="s">
        <v>7854</v>
      </c>
      <c r="U411" t="s">
        <v>2893</v>
      </c>
    </row>
    <row r="412" spans="1:21" x14ac:dyDescent="0.25">
      <c r="A412">
        <v>417</v>
      </c>
      <c r="B412">
        <v>18711</v>
      </c>
      <c r="C412" t="s">
        <v>2894</v>
      </c>
      <c r="D412" t="s">
        <v>7225</v>
      </c>
      <c r="E412" t="s">
        <v>2897</v>
      </c>
      <c r="F412" t="s">
        <v>28</v>
      </c>
      <c r="G412" t="s">
        <v>2898</v>
      </c>
      <c r="H412" t="s">
        <v>43</v>
      </c>
      <c r="I412" s="13" t="s">
        <v>2899</v>
      </c>
      <c r="J412" t="s">
        <v>31</v>
      </c>
      <c r="K412" t="s">
        <v>7881</v>
      </c>
      <c r="L412" t="s">
        <v>7940</v>
      </c>
      <c r="M412" t="s">
        <v>63</v>
      </c>
      <c r="N412" t="s">
        <v>33</v>
      </c>
      <c r="O412" s="17">
        <v>552500</v>
      </c>
      <c r="P412" s="17" t="s">
        <v>7854</v>
      </c>
      <c r="Q412" s="22">
        <v>0</v>
      </c>
      <c r="R412" s="22" t="s">
        <v>7854</v>
      </c>
      <c r="S412" s="24">
        <v>0</v>
      </c>
      <c r="T412" s="24" t="s">
        <v>7854</v>
      </c>
      <c r="U412" t="s">
        <v>2900</v>
      </c>
    </row>
    <row r="413" spans="1:21" x14ac:dyDescent="0.25">
      <c r="A413">
        <v>418</v>
      </c>
      <c r="B413">
        <v>24351</v>
      </c>
      <c r="C413" t="s">
        <v>2901</v>
      </c>
      <c r="D413" t="s">
        <v>7226</v>
      </c>
      <c r="E413" s="2" t="s">
        <v>2904</v>
      </c>
      <c r="F413" t="s">
        <v>53</v>
      </c>
      <c r="G413" t="s">
        <v>2905</v>
      </c>
      <c r="H413" t="s">
        <v>453</v>
      </c>
      <c r="I413" s="13" t="s">
        <v>2904</v>
      </c>
      <c r="J413" t="s">
        <v>31</v>
      </c>
      <c r="K413" t="s">
        <v>7879</v>
      </c>
      <c r="L413" t="s">
        <v>7888</v>
      </c>
      <c r="M413" t="s">
        <v>455</v>
      </c>
      <c r="N413" t="s">
        <v>130</v>
      </c>
      <c r="O413" s="17" t="s">
        <v>7854</v>
      </c>
      <c r="P413" s="17">
        <v>150</v>
      </c>
      <c r="Q413" s="22" t="s">
        <v>7854</v>
      </c>
      <c r="R413" s="22">
        <v>0</v>
      </c>
      <c r="S413" s="24" t="s">
        <v>7854</v>
      </c>
      <c r="T413" s="24">
        <v>0</v>
      </c>
      <c r="U413" t="s">
        <v>2906</v>
      </c>
    </row>
    <row r="414" spans="1:21" x14ac:dyDescent="0.25">
      <c r="A414">
        <v>419</v>
      </c>
      <c r="B414">
        <v>8574</v>
      </c>
      <c r="C414" t="s">
        <v>2907</v>
      </c>
      <c r="D414" t="s">
        <v>7227</v>
      </c>
      <c r="E414" t="s">
        <v>7952</v>
      </c>
      <c r="F414" t="s">
        <v>53</v>
      </c>
      <c r="G414" t="s">
        <v>2911</v>
      </c>
      <c r="H414" t="s">
        <v>43</v>
      </c>
      <c r="I414" s="12">
        <v>2348134598862</v>
      </c>
      <c r="J414" t="s">
        <v>45</v>
      </c>
      <c r="K414" t="s">
        <v>7881</v>
      </c>
      <c r="L414" t="s">
        <v>7940</v>
      </c>
      <c r="M414" t="s">
        <v>63</v>
      </c>
      <c r="N414" t="s">
        <v>33</v>
      </c>
      <c r="O414" s="17">
        <v>552500</v>
      </c>
      <c r="P414" s="17" t="s">
        <v>7854</v>
      </c>
      <c r="Q414" s="22">
        <v>0</v>
      </c>
      <c r="R414" s="22" t="s">
        <v>7854</v>
      </c>
      <c r="S414" s="24">
        <v>0</v>
      </c>
      <c r="T414" s="24" t="s">
        <v>7854</v>
      </c>
      <c r="U414" t="s">
        <v>2912</v>
      </c>
    </row>
    <row r="415" spans="1:21" x14ac:dyDescent="0.25">
      <c r="A415">
        <v>420</v>
      </c>
      <c r="B415">
        <v>24150</v>
      </c>
      <c r="C415" t="s">
        <v>2913</v>
      </c>
      <c r="D415" t="s">
        <v>7228</v>
      </c>
      <c r="E415" t="s">
        <v>2916</v>
      </c>
      <c r="F415" t="s">
        <v>28</v>
      </c>
      <c r="G415" t="s">
        <v>2917</v>
      </c>
      <c r="H415" t="s">
        <v>43</v>
      </c>
      <c r="I415" s="13" t="s">
        <v>2918</v>
      </c>
      <c r="J415" t="s">
        <v>31</v>
      </c>
      <c r="K415" t="s">
        <v>7879</v>
      </c>
      <c r="L415" t="s">
        <v>7981</v>
      </c>
      <c r="M415" t="s">
        <v>63</v>
      </c>
      <c r="N415" t="s">
        <v>33</v>
      </c>
      <c r="O415" s="17">
        <v>195000</v>
      </c>
      <c r="P415" s="17" t="s">
        <v>7854</v>
      </c>
      <c r="Q415" s="22">
        <v>0</v>
      </c>
      <c r="R415" s="22" t="s">
        <v>7854</v>
      </c>
      <c r="S415" s="24">
        <v>0</v>
      </c>
      <c r="T415" s="24" t="s">
        <v>7854</v>
      </c>
      <c r="U415" t="s">
        <v>2919</v>
      </c>
    </row>
    <row r="416" spans="1:21" x14ac:dyDescent="0.25">
      <c r="A416">
        <v>421</v>
      </c>
      <c r="B416">
        <v>23773</v>
      </c>
      <c r="C416" t="s">
        <v>2920</v>
      </c>
      <c r="D416" t="s">
        <v>7229</v>
      </c>
      <c r="E416" t="s">
        <v>2924</v>
      </c>
      <c r="F416" t="s">
        <v>53</v>
      </c>
      <c r="G416" t="s">
        <v>2340</v>
      </c>
      <c r="H416" t="s">
        <v>43</v>
      </c>
      <c r="I416" s="13" t="s">
        <v>2925</v>
      </c>
      <c r="J416" t="s">
        <v>31</v>
      </c>
      <c r="K416" t="s">
        <v>7879</v>
      </c>
      <c r="L416" t="s">
        <v>7893</v>
      </c>
      <c r="M416" t="s">
        <v>87</v>
      </c>
      <c r="N416" t="s">
        <v>33</v>
      </c>
      <c r="O416" s="17">
        <v>195000</v>
      </c>
      <c r="P416" s="17" t="s">
        <v>7854</v>
      </c>
      <c r="Q416" s="22">
        <v>0</v>
      </c>
      <c r="R416" s="22" t="s">
        <v>7854</v>
      </c>
      <c r="S416" s="24">
        <v>0</v>
      </c>
      <c r="T416" s="24" t="s">
        <v>7854</v>
      </c>
      <c r="U416" t="s">
        <v>2926</v>
      </c>
    </row>
    <row r="417" spans="1:21" x14ac:dyDescent="0.25">
      <c r="A417">
        <v>422</v>
      </c>
      <c r="B417">
        <v>24145</v>
      </c>
      <c r="C417" t="s">
        <v>2927</v>
      </c>
      <c r="D417" t="s">
        <v>7230</v>
      </c>
      <c r="E417" t="s">
        <v>2931</v>
      </c>
      <c r="F417" t="s">
        <v>28</v>
      </c>
      <c r="G417" t="s">
        <v>2044</v>
      </c>
      <c r="H417" t="s">
        <v>43</v>
      </c>
      <c r="I417" s="13" t="s">
        <v>2932</v>
      </c>
      <c r="J417" t="s">
        <v>31</v>
      </c>
      <c r="K417" t="s">
        <v>7879</v>
      </c>
      <c r="L417" t="s">
        <v>8028</v>
      </c>
      <c r="M417" t="s">
        <v>63</v>
      </c>
      <c r="N417" t="s">
        <v>33</v>
      </c>
      <c r="O417" s="17">
        <v>195000</v>
      </c>
      <c r="P417" s="17" t="s">
        <v>7854</v>
      </c>
      <c r="Q417" s="22">
        <v>0</v>
      </c>
      <c r="R417" s="22" t="s">
        <v>7854</v>
      </c>
      <c r="S417" s="24">
        <v>0</v>
      </c>
      <c r="T417" s="24" t="s">
        <v>7854</v>
      </c>
      <c r="U417" t="s">
        <v>2933</v>
      </c>
    </row>
    <row r="418" spans="1:21" x14ac:dyDescent="0.25">
      <c r="A418">
        <v>423</v>
      </c>
      <c r="B418">
        <v>2700</v>
      </c>
      <c r="C418" t="s">
        <v>2934</v>
      </c>
      <c r="D418" t="s">
        <v>7231</v>
      </c>
      <c r="E418" t="s">
        <v>2938</v>
      </c>
      <c r="F418" t="s">
        <v>28</v>
      </c>
      <c r="G418" t="s">
        <v>2939</v>
      </c>
      <c r="H418" t="s">
        <v>453</v>
      </c>
      <c r="I418" s="12">
        <v>209844142</v>
      </c>
      <c r="J418" t="s">
        <v>31</v>
      </c>
      <c r="K418" t="s">
        <v>7886</v>
      </c>
      <c r="L418" t="s">
        <v>7981</v>
      </c>
      <c r="M418" t="s">
        <v>455</v>
      </c>
      <c r="N418" t="s">
        <v>130</v>
      </c>
      <c r="O418" s="17" t="s">
        <v>7854</v>
      </c>
      <c r="P418" s="17">
        <v>625</v>
      </c>
      <c r="Q418" s="22" t="s">
        <v>7854</v>
      </c>
      <c r="R418" s="22">
        <v>0</v>
      </c>
      <c r="S418" s="24" t="s">
        <v>7854</v>
      </c>
      <c r="T418" s="24">
        <v>125</v>
      </c>
      <c r="U418" t="s">
        <v>2940</v>
      </c>
    </row>
    <row r="419" spans="1:21" x14ac:dyDescent="0.25">
      <c r="A419">
        <v>424</v>
      </c>
      <c r="B419">
        <v>5283</v>
      </c>
      <c r="C419" t="s">
        <v>2941</v>
      </c>
      <c r="D419" t="s">
        <v>7232</v>
      </c>
      <c r="E419" t="s">
        <v>2945</v>
      </c>
      <c r="F419" t="s">
        <v>53</v>
      </c>
      <c r="G419" t="s">
        <v>2946</v>
      </c>
      <c r="H419" t="s">
        <v>43</v>
      </c>
      <c r="I419" s="12">
        <v>8039133709</v>
      </c>
      <c r="J419" t="s">
        <v>31</v>
      </c>
      <c r="K419" t="s">
        <v>7886</v>
      </c>
      <c r="L419" t="s">
        <v>7940</v>
      </c>
      <c r="M419" t="s">
        <v>63</v>
      </c>
      <c r="N419" t="s">
        <v>33</v>
      </c>
      <c r="O419" s="17">
        <v>812500</v>
      </c>
      <c r="P419" s="17" t="s">
        <v>7854</v>
      </c>
      <c r="Q419" s="22">
        <v>0</v>
      </c>
      <c r="R419" s="22" t="s">
        <v>7854</v>
      </c>
      <c r="S419" s="24">
        <v>162500</v>
      </c>
      <c r="T419" s="24" t="s">
        <v>7854</v>
      </c>
      <c r="U419" t="s">
        <v>2947</v>
      </c>
    </row>
    <row r="420" spans="1:21" x14ac:dyDescent="0.25">
      <c r="A420">
        <v>425</v>
      </c>
      <c r="B420">
        <v>24371</v>
      </c>
      <c r="C420" t="s">
        <v>2948</v>
      </c>
      <c r="D420" t="s">
        <v>7233</v>
      </c>
      <c r="E420" s="2" t="s">
        <v>2952</v>
      </c>
      <c r="F420" t="s">
        <v>53</v>
      </c>
      <c r="G420" t="s">
        <v>2953</v>
      </c>
      <c r="H420" t="s">
        <v>43</v>
      </c>
      <c r="I420" s="13" t="s">
        <v>2952</v>
      </c>
      <c r="J420" t="s">
        <v>31</v>
      </c>
      <c r="K420" t="s">
        <v>7879</v>
      </c>
      <c r="L420" t="s">
        <v>7893</v>
      </c>
      <c r="M420" t="s">
        <v>63</v>
      </c>
      <c r="N420" t="s">
        <v>33</v>
      </c>
      <c r="O420" s="17">
        <v>195000</v>
      </c>
      <c r="P420" s="17" t="s">
        <v>7854</v>
      </c>
      <c r="Q420" s="22">
        <v>0</v>
      </c>
      <c r="R420" s="22" t="s">
        <v>7854</v>
      </c>
      <c r="S420" s="24">
        <v>0</v>
      </c>
      <c r="T420" s="24" t="s">
        <v>7854</v>
      </c>
      <c r="U420" t="s">
        <v>2954</v>
      </c>
    </row>
    <row r="421" spans="1:21" x14ac:dyDescent="0.25">
      <c r="A421">
        <v>426</v>
      </c>
      <c r="B421">
        <v>18526</v>
      </c>
      <c r="C421" t="s">
        <v>2955</v>
      </c>
      <c r="D421" t="s">
        <v>7234</v>
      </c>
      <c r="E421" t="s">
        <v>2958</v>
      </c>
      <c r="F421" t="s">
        <v>53</v>
      </c>
      <c r="G421" t="s">
        <v>822</v>
      </c>
      <c r="H421" t="s">
        <v>43</v>
      </c>
      <c r="I421" s="13" t="s">
        <v>2959</v>
      </c>
      <c r="J421" t="s">
        <v>45</v>
      </c>
      <c r="K421" t="s">
        <v>7881</v>
      </c>
      <c r="L421" t="s">
        <v>7893</v>
      </c>
      <c r="M421" t="s">
        <v>46</v>
      </c>
      <c r="N421" t="s">
        <v>33</v>
      </c>
      <c r="O421" s="17">
        <v>552500</v>
      </c>
      <c r="P421" s="17" t="s">
        <v>7854</v>
      </c>
      <c r="Q421" s="22">
        <v>0</v>
      </c>
      <c r="R421" s="22" t="s">
        <v>7854</v>
      </c>
      <c r="S421" s="24">
        <v>0</v>
      </c>
      <c r="T421" s="24" t="s">
        <v>7854</v>
      </c>
      <c r="U421" t="s">
        <v>2960</v>
      </c>
    </row>
    <row r="422" spans="1:21" x14ac:dyDescent="0.25">
      <c r="A422">
        <v>427</v>
      </c>
      <c r="B422">
        <v>24153</v>
      </c>
      <c r="C422" t="s">
        <v>2961</v>
      </c>
      <c r="D422" t="s">
        <v>7235</v>
      </c>
      <c r="E422" t="s">
        <v>2964</v>
      </c>
      <c r="F422" t="s">
        <v>53</v>
      </c>
      <c r="G422" t="s">
        <v>2965</v>
      </c>
      <c r="H422" t="s">
        <v>43</v>
      </c>
      <c r="I422" s="13" t="s">
        <v>2966</v>
      </c>
      <c r="J422" t="s">
        <v>31</v>
      </c>
      <c r="K422" t="s">
        <v>7879</v>
      </c>
      <c r="L422" t="s">
        <v>7940</v>
      </c>
      <c r="M422" t="s">
        <v>46</v>
      </c>
      <c r="N422" t="s">
        <v>33</v>
      </c>
      <c r="O422" s="17">
        <v>195000</v>
      </c>
      <c r="P422" s="17" t="s">
        <v>7854</v>
      </c>
      <c r="Q422" s="22">
        <v>0</v>
      </c>
      <c r="R422" s="22" t="s">
        <v>7854</v>
      </c>
      <c r="S422" s="24">
        <v>0</v>
      </c>
      <c r="T422" s="24" t="s">
        <v>7854</v>
      </c>
      <c r="U422" t="s">
        <v>2967</v>
      </c>
    </row>
    <row r="423" spans="1:21" x14ac:dyDescent="0.25">
      <c r="A423">
        <v>428</v>
      </c>
      <c r="B423">
        <v>3965</v>
      </c>
      <c r="C423" t="s">
        <v>2968</v>
      </c>
      <c r="D423" t="s">
        <v>7236</v>
      </c>
      <c r="E423" t="s">
        <v>2971</v>
      </c>
      <c r="F423" t="s">
        <v>53</v>
      </c>
      <c r="G423" t="s">
        <v>2971</v>
      </c>
      <c r="H423" t="s">
        <v>43</v>
      </c>
      <c r="I423" s="13" t="s">
        <v>2972</v>
      </c>
      <c r="J423" t="s">
        <v>31</v>
      </c>
      <c r="K423" t="s">
        <v>7886</v>
      </c>
      <c r="L423" t="s">
        <v>7893</v>
      </c>
      <c r="M423" t="s">
        <v>63</v>
      </c>
      <c r="N423" t="s">
        <v>33</v>
      </c>
      <c r="O423" s="17">
        <v>812500</v>
      </c>
      <c r="P423" s="17" t="s">
        <v>7854</v>
      </c>
      <c r="Q423" s="22">
        <v>0</v>
      </c>
      <c r="R423" s="22" t="s">
        <v>7854</v>
      </c>
      <c r="S423" s="24">
        <v>162500</v>
      </c>
      <c r="T423" s="24" t="s">
        <v>7854</v>
      </c>
      <c r="U423" t="s">
        <v>2973</v>
      </c>
    </row>
    <row r="424" spans="1:21" x14ac:dyDescent="0.25">
      <c r="A424">
        <v>429</v>
      </c>
      <c r="B424">
        <v>18841</v>
      </c>
      <c r="C424" t="s">
        <v>2974</v>
      </c>
      <c r="D424" t="s">
        <v>7237</v>
      </c>
      <c r="E424" t="s">
        <v>2978</v>
      </c>
      <c r="F424" t="s">
        <v>28</v>
      </c>
      <c r="G424" t="s">
        <v>1095</v>
      </c>
      <c r="H424" t="s">
        <v>453</v>
      </c>
      <c r="I424" s="12">
        <v>233243266616</v>
      </c>
      <c r="J424" t="s">
        <v>2333</v>
      </c>
      <c r="K424" t="s">
        <v>7886</v>
      </c>
      <c r="L424" t="s">
        <v>7981</v>
      </c>
      <c r="M424" t="s">
        <v>455</v>
      </c>
      <c r="N424" t="s">
        <v>130</v>
      </c>
      <c r="O424" s="17" t="s">
        <v>7854</v>
      </c>
      <c r="P424" s="17">
        <v>625</v>
      </c>
      <c r="Q424" s="22" t="s">
        <v>7854</v>
      </c>
      <c r="R424" s="22">
        <v>0</v>
      </c>
      <c r="S424" s="24" t="s">
        <v>7854</v>
      </c>
      <c r="T424" s="24">
        <v>125</v>
      </c>
      <c r="U424" t="s">
        <v>2979</v>
      </c>
    </row>
    <row r="425" spans="1:21" x14ac:dyDescent="0.25">
      <c r="A425">
        <v>430</v>
      </c>
      <c r="B425">
        <v>11133</v>
      </c>
      <c r="C425" t="s">
        <v>2980</v>
      </c>
      <c r="D425" t="s">
        <v>7238</v>
      </c>
      <c r="E425" t="s">
        <v>2984</v>
      </c>
      <c r="F425" t="s">
        <v>28</v>
      </c>
      <c r="G425" t="s">
        <v>2985</v>
      </c>
      <c r="H425" t="s">
        <v>43</v>
      </c>
      <c r="I425" s="13" t="s">
        <v>2986</v>
      </c>
      <c r="J425" t="s">
        <v>31</v>
      </c>
      <c r="K425" t="s">
        <v>7881</v>
      </c>
      <c r="L425" t="s">
        <v>7893</v>
      </c>
      <c r="M425" t="s">
        <v>63</v>
      </c>
      <c r="N425" t="s">
        <v>33</v>
      </c>
      <c r="O425" s="17">
        <v>552500</v>
      </c>
      <c r="P425" s="17" t="s">
        <v>7854</v>
      </c>
      <c r="Q425" s="22">
        <v>0</v>
      </c>
      <c r="R425" s="22" t="s">
        <v>7854</v>
      </c>
      <c r="S425" s="24">
        <v>0</v>
      </c>
      <c r="T425" s="24" t="s">
        <v>7854</v>
      </c>
      <c r="U425" t="s">
        <v>2987</v>
      </c>
    </row>
    <row r="426" spans="1:21" x14ac:dyDescent="0.25">
      <c r="A426">
        <v>431</v>
      </c>
      <c r="B426">
        <v>24135</v>
      </c>
      <c r="C426" t="s">
        <v>2988</v>
      </c>
      <c r="D426" t="s">
        <v>7239</v>
      </c>
      <c r="E426" t="s">
        <v>2991</v>
      </c>
      <c r="F426" t="s">
        <v>28</v>
      </c>
      <c r="G426" t="s">
        <v>205</v>
      </c>
      <c r="H426" t="s">
        <v>43</v>
      </c>
      <c r="I426" s="13" t="s">
        <v>2992</v>
      </c>
      <c r="J426" t="s">
        <v>31</v>
      </c>
      <c r="K426" t="s">
        <v>7879</v>
      </c>
      <c r="L426" t="s">
        <v>7893</v>
      </c>
      <c r="M426" t="s">
        <v>63</v>
      </c>
      <c r="N426" t="s">
        <v>33</v>
      </c>
      <c r="O426" s="17">
        <v>195000</v>
      </c>
      <c r="P426" s="17" t="s">
        <v>7854</v>
      </c>
      <c r="Q426" s="22">
        <v>0</v>
      </c>
      <c r="R426" s="22" t="s">
        <v>7854</v>
      </c>
      <c r="S426" s="24">
        <v>0</v>
      </c>
      <c r="T426" s="24" t="s">
        <v>7854</v>
      </c>
      <c r="U426" t="s">
        <v>2993</v>
      </c>
    </row>
    <row r="427" spans="1:21" x14ac:dyDescent="0.25">
      <c r="A427">
        <v>432</v>
      </c>
      <c r="B427">
        <v>24406</v>
      </c>
      <c r="C427" t="s">
        <v>2994</v>
      </c>
      <c r="D427" t="s">
        <v>7240</v>
      </c>
      <c r="E427" t="s">
        <v>2998</v>
      </c>
      <c r="F427" t="s">
        <v>28</v>
      </c>
      <c r="G427" t="s">
        <v>2999</v>
      </c>
      <c r="H427" t="s">
        <v>43</v>
      </c>
      <c r="I427" s="13" t="s">
        <v>3000</v>
      </c>
      <c r="J427" t="s">
        <v>31</v>
      </c>
      <c r="K427" t="s">
        <v>7879</v>
      </c>
      <c r="L427" t="s">
        <v>7888</v>
      </c>
      <c r="M427" t="s">
        <v>46</v>
      </c>
      <c r="N427" t="s">
        <v>33</v>
      </c>
      <c r="O427" s="17">
        <v>195000</v>
      </c>
      <c r="P427" s="17" t="s">
        <v>7854</v>
      </c>
      <c r="Q427" s="22">
        <v>0</v>
      </c>
      <c r="R427" s="22" t="s">
        <v>7854</v>
      </c>
      <c r="S427" s="24">
        <v>0</v>
      </c>
      <c r="T427" s="24" t="s">
        <v>7854</v>
      </c>
      <c r="U427" t="s">
        <v>3001</v>
      </c>
    </row>
    <row r="428" spans="1:21" x14ac:dyDescent="0.25">
      <c r="A428">
        <v>433</v>
      </c>
      <c r="B428">
        <v>21725</v>
      </c>
      <c r="C428" t="s">
        <v>3002</v>
      </c>
      <c r="D428" t="s">
        <v>7241</v>
      </c>
      <c r="E428" t="s">
        <v>3006</v>
      </c>
      <c r="F428" t="s">
        <v>28</v>
      </c>
      <c r="G428" t="s">
        <v>1969</v>
      </c>
      <c r="H428" t="s">
        <v>43</v>
      </c>
      <c r="I428" s="13" t="s">
        <v>3007</v>
      </c>
      <c r="J428" t="s">
        <v>45</v>
      </c>
      <c r="K428" t="s">
        <v>7879</v>
      </c>
      <c r="L428" t="s">
        <v>8028</v>
      </c>
      <c r="M428" t="s">
        <v>87</v>
      </c>
      <c r="N428" t="s">
        <v>33</v>
      </c>
      <c r="O428" s="17">
        <v>195000</v>
      </c>
      <c r="P428" s="17" t="s">
        <v>7854</v>
      </c>
      <c r="Q428" s="22">
        <v>0</v>
      </c>
      <c r="R428" s="22" t="s">
        <v>7854</v>
      </c>
      <c r="S428" s="24">
        <v>0</v>
      </c>
      <c r="T428" s="24" t="s">
        <v>7854</v>
      </c>
      <c r="U428" t="s">
        <v>3008</v>
      </c>
    </row>
    <row r="429" spans="1:21" x14ac:dyDescent="0.25">
      <c r="A429">
        <v>435</v>
      </c>
      <c r="B429">
        <v>21248</v>
      </c>
      <c r="C429" t="s">
        <v>3009</v>
      </c>
      <c r="D429" t="s">
        <v>7242</v>
      </c>
      <c r="E429" t="s">
        <v>3013</v>
      </c>
      <c r="F429" t="s">
        <v>28</v>
      </c>
      <c r="G429" t="s">
        <v>3014</v>
      </c>
      <c r="H429" t="s">
        <v>43</v>
      </c>
      <c r="I429" s="13" t="s">
        <v>3015</v>
      </c>
      <c r="J429" t="s">
        <v>31</v>
      </c>
      <c r="K429" t="s">
        <v>7881</v>
      </c>
      <c r="L429" t="s">
        <v>7888</v>
      </c>
      <c r="M429" t="s">
        <v>46</v>
      </c>
      <c r="N429" t="s">
        <v>33</v>
      </c>
      <c r="O429" s="17">
        <v>552500</v>
      </c>
      <c r="P429" s="17" t="s">
        <v>7854</v>
      </c>
      <c r="Q429" s="22">
        <v>110500</v>
      </c>
      <c r="R429" s="22" t="s">
        <v>7854</v>
      </c>
      <c r="S429" s="24">
        <v>0</v>
      </c>
      <c r="T429" s="24" t="s">
        <v>7854</v>
      </c>
      <c r="U429" t="s">
        <v>3016</v>
      </c>
    </row>
    <row r="430" spans="1:21" x14ac:dyDescent="0.25">
      <c r="A430">
        <v>436</v>
      </c>
      <c r="B430">
        <v>22849</v>
      </c>
      <c r="C430" t="s">
        <v>3017</v>
      </c>
      <c r="D430" t="s">
        <v>7243</v>
      </c>
      <c r="E430" t="s">
        <v>3021</v>
      </c>
      <c r="F430" t="s">
        <v>28</v>
      </c>
      <c r="G430" t="s">
        <v>3022</v>
      </c>
      <c r="H430" t="s">
        <v>43</v>
      </c>
      <c r="I430" s="13" t="s">
        <v>3023</v>
      </c>
      <c r="J430" t="s">
        <v>31</v>
      </c>
      <c r="K430" t="s">
        <v>7879</v>
      </c>
      <c r="L430" t="s">
        <v>7981</v>
      </c>
      <c r="M430" t="s">
        <v>46</v>
      </c>
      <c r="N430" t="s">
        <v>33</v>
      </c>
      <c r="O430" s="17">
        <v>195000</v>
      </c>
      <c r="P430" s="17" t="s">
        <v>7854</v>
      </c>
      <c r="Q430" s="22">
        <v>0</v>
      </c>
      <c r="R430" s="22" t="s">
        <v>7854</v>
      </c>
      <c r="S430" s="24">
        <v>0</v>
      </c>
      <c r="T430" s="24" t="s">
        <v>7854</v>
      </c>
      <c r="U430" t="s">
        <v>3024</v>
      </c>
    </row>
    <row r="431" spans="1:21" x14ac:dyDescent="0.25">
      <c r="A431">
        <v>437</v>
      </c>
      <c r="B431">
        <v>24428</v>
      </c>
      <c r="C431" t="s">
        <v>3025</v>
      </c>
      <c r="D431" t="s">
        <v>7244</v>
      </c>
      <c r="E431" t="s">
        <v>3028</v>
      </c>
      <c r="F431" t="s">
        <v>28</v>
      </c>
      <c r="G431" t="s">
        <v>3029</v>
      </c>
      <c r="H431" t="s">
        <v>43</v>
      </c>
      <c r="I431" s="13" t="s">
        <v>3030</v>
      </c>
      <c r="J431" t="s">
        <v>31</v>
      </c>
      <c r="K431" t="s">
        <v>7879</v>
      </c>
      <c r="L431" t="s">
        <v>7940</v>
      </c>
      <c r="M431" t="s">
        <v>46</v>
      </c>
      <c r="N431" t="s">
        <v>33</v>
      </c>
      <c r="O431" s="17">
        <v>195000</v>
      </c>
      <c r="P431" s="17" t="s">
        <v>7854</v>
      </c>
      <c r="Q431" s="22">
        <v>0</v>
      </c>
      <c r="R431" s="22" t="s">
        <v>7854</v>
      </c>
      <c r="S431" s="24">
        <v>0</v>
      </c>
      <c r="T431" s="24" t="s">
        <v>7854</v>
      </c>
      <c r="U431" t="s">
        <v>3031</v>
      </c>
    </row>
    <row r="432" spans="1:21" x14ac:dyDescent="0.25">
      <c r="A432">
        <v>438</v>
      </c>
      <c r="B432">
        <v>10604</v>
      </c>
      <c r="C432" t="s">
        <v>3032</v>
      </c>
      <c r="D432" t="s">
        <v>7245</v>
      </c>
      <c r="E432" t="s">
        <v>7916</v>
      </c>
      <c r="F432" t="s">
        <v>53</v>
      </c>
      <c r="G432" t="s">
        <v>2883</v>
      </c>
      <c r="H432" t="s">
        <v>43</v>
      </c>
      <c r="I432" s="13" t="s">
        <v>3036</v>
      </c>
      <c r="J432" t="s">
        <v>31</v>
      </c>
      <c r="K432" t="s">
        <v>7886</v>
      </c>
      <c r="L432" t="s">
        <v>7893</v>
      </c>
      <c r="M432" t="s">
        <v>63</v>
      </c>
      <c r="N432" t="s">
        <v>33</v>
      </c>
      <c r="O432" s="17">
        <v>812500</v>
      </c>
      <c r="P432" s="17" t="s">
        <v>7854</v>
      </c>
      <c r="Q432" s="22">
        <v>0</v>
      </c>
      <c r="R432" s="22" t="s">
        <v>7854</v>
      </c>
      <c r="S432" s="24">
        <v>162500</v>
      </c>
      <c r="T432" s="24" t="s">
        <v>7854</v>
      </c>
      <c r="U432" t="s">
        <v>3037</v>
      </c>
    </row>
    <row r="433" spans="1:21" x14ac:dyDescent="0.25">
      <c r="A433">
        <v>439</v>
      </c>
      <c r="B433">
        <v>24282</v>
      </c>
      <c r="C433" t="s">
        <v>3038</v>
      </c>
      <c r="D433" t="s">
        <v>7246</v>
      </c>
      <c r="E433" t="s">
        <v>3042</v>
      </c>
      <c r="F433" t="s">
        <v>53</v>
      </c>
      <c r="G433" t="s">
        <v>968</v>
      </c>
      <c r="H433" t="s">
        <v>453</v>
      </c>
      <c r="I433" s="13" t="s">
        <v>3043</v>
      </c>
      <c r="J433" t="s">
        <v>31</v>
      </c>
      <c r="K433" t="s">
        <v>7879</v>
      </c>
      <c r="L433" t="s">
        <v>7893</v>
      </c>
      <c r="M433" t="s">
        <v>455</v>
      </c>
      <c r="N433" t="s">
        <v>130</v>
      </c>
      <c r="O433" s="17" t="s">
        <v>7854</v>
      </c>
      <c r="P433" s="17">
        <v>150</v>
      </c>
      <c r="Q433" s="22" t="s">
        <v>7854</v>
      </c>
      <c r="R433" s="22">
        <v>0</v>
      </c>
      <c r="S433" s="24" t="s">
        <v>7854</v>
      </c>
      <c r="T433" s="24">
        <v>0</v>
      </c>
      <c r="U433" t="s">
        <v>3044</v>
      </c>
    </row>
    <row r="434" spans="1:21" x14ac:dyDescent="0.25">
      <c r="A434">
        <v>440</v>
      </c>
      <c r="B434">
        <v>18580</v>
      </c>
      <c r="C434" t="s">
        <v>3045</v>
      </c>
      <c r="D434" t="s">
        <v>7247</v>
      </c>
      <c r="E434" t="s">
        <v>3049</v>
      </c>
      <c r="F434" t="s">
        <v>53</v>
      </c>
      <c r="G434" t="s">
        <v>3050</v>
      </c>
      <c r="H434" t="s">
        <v>43</v>
      </c>
      <c r="I434" s="13" t="s">
        <v>3051</v>
      </c>
      <c r="J434" t="s">
        <v>45</v>
      </c>
      <c r="K434" t="s">
        <v>7881</v>
      </c>
      <c r="L434" t="s">
        <v>7940</v>
      </c>
      <c r="M434" t="s">
        <v>63</v>
      </c>
      <c r="N434" t="s">
        <v>33</v>
      </c>
      <c r="O434" s="17">
        <v>552500</v>
      </c>
      <c r="P434" s="17" t="s">
        <v>7854</v>
      </c>
      <c r="Q434" s="22">
        <v>0</v>
      </c>
      <c r="R434" s="22" t="s">
        <v>7854</v>
      </c>
      <c r="S434" s="24">
        <v>0</v>
      </c>
      <c r="T434" s="24" t="s">
        <v>7854</v>
      </c>
      <c r="U434" t="s">
        <v>3052</v>
      </c>
    </row>
    <row r="435" spans="1:21" x14ac:dyDescent="0.25">
      <c r="A435">
        <v>441</v>
      </c>
      <c r="B435">
        <v>4107</v>
      </c>
      <c r="C435" t="s">
        <v>3053</v>
      </c>
      <c r="D435" t="s">
        <v>7248</v>
      </c>
      <c r="E435" t="s">
        <v>3057</v>
      </c>
      <c r="F435" t="s">
        <v>53</v>
      </c>
      <c r="G435" t="s">
        <v>2455</v>
      </c>
      <c r="H435" t="s">
        <v>43</v>
      </c>
      <c r="I435" s="12">
        <v>8030924224</v>
      </c>
      <c r="J435" t="s">
        <v>31</v>
      </c>
      <c r="K435" t="s">
        <v>7886</v>
      </c>
      <c r="L435" t="s">
        <v>7888</v>
      </c>
      <c r="M435" t="s">
        <v>46</v>
      </c>
      <c r="N435" t="s">
        <v>33</v>
      </c>
      <c r="O435" s="17">
        <v>812500</v>
      </c>
      <c r="P435" s="17" t="s">
        <v>7854</v>
      </c>
      <c r="Q435" s="22">
        <v>0</v>
      </c>
      <c r="R435" s="22" t="s">
        <v>7854</v>
      </c>
      <c r="S435" s="24">
        <v>162500</v>
      </c>
      <c r="T435" s="24" t="s">
        <v>7854</v>
      </c>
      <c r="U435" t="s">
        <v>3058</v>
      </c>
    </row>
    <row r="436" spans="1:21" x14ac:dyDescent="0.25">
      <c r="A436">
        <v>442</v>
      </c>
      <c r="B436">
        <v>18037</v>
      </c>
      <c r="C436" t="s">
        <v>3059</v>
      </c>
      <c r="D436" t="s">
        <v>7249</v>
      </c>
      <c r="E436" t="s">
        <v>3062</v>
      </c>
      <c r="F436" t="s">
        <v>28</v>
      </c>
      <c r="G436" t="s">
        <v>3063</v>
      </c>
      <c r="H436" t="s">
        <v>43</v>
      </c>
      <c r="I436" s="13" t="s">
        <v>3064</v>
      </c>
      <c r="J436" t="s">
        <v>31</v>
      </c>
      <c r="K436" t="s">
        <v>7881</v>
      </c>
      <c r="L436" t="s">
        <v>7893</v>
      </c>
      <c r="M436" t="s">
        <v>46</v>
      </c>
      <c r="N436" t="s">
        <v>33</v>
      </c>
      <c r="O436" s="17">
        <v>552500</v>
      </c>
      <c r="P436" s="17" t="s">
        <v>7854</v>
      </c>
      <c r="Q436" s="22">
        <v>0</v>
      </c>
      <c r="R436" s="22" t="s">
        <v>7854</v>
      </c>
      <c r="S436" s="24">
        <v>0</v>
      </c>
      <c r="T436" s="24" t="s">
        <v>7854</v>
      </c>
      <c r="U436" t="s">
        <v>3065</v>
      </c>
    </row>
    <row r="437" spans="1:21" x14ac:dyDescent="0.25">
      <c r="A437">
        <v>443</v>
      </c>
      <c r="B437">
        <v>22617</v>
      </c>
      <c r="C437" t="s">
        <v>3066</v>
      </c>
      <c r="D437" t="s">
        <v>7250</v>
      </c>
      <c r="E437" t="s">
        <v>3069</v>
      </c>
      <c r="F437" t="s">
        <v>28</v>
      </c>
      <c r="G437" t="s">
        <v>3070</v>
      </c>
      <c r="H437" t="s">
        <v>43</v>
      </c>
      <c r="I437" s="13" t="s">
        <v>3071</v>
      </c>
      <c r="J437" t="s">
        <v>31</v>
      </c>
      <c r="K437" t="s">
        <v>7879</v>
      </c>
      <c r="L437" t="s">
        <v>7888</v>
      </c>
      <c r="M437" t="s">
        <v>46</v>
      </c>
      <c r="N437" t="s">
        <v>33</v>
      </c>
      <c r="O437" s="17">
        <v>195000</v>
      </c>
      <c r="P437" s="17" t="s">
        <v>7854</v>
      </c>
      <c r="Q437" s="22">
        <v>0</v>
      </c>
      <c r="R437" s="22" t="s">
        <v>7854</v>
      </c>
      <c r="S437" s="24">
        <v>0</v>
      </c>
      <c r="T437" s="24" t="s">
        <v>7854</v>
      </c>
      <c r="U437" t="s">
        <v>3072</v>
      </c>
    </row>
    <row r="438" spans="1:21" x14ac:dyDescent="0.25">
      <c r="A438">
        <v>444</v>
      </c>
      <c r="B438">
        <v>11042</v>
      </c>
      <c r="C438" t="s">
        <v>3073</v>
      </c>
      <c r="D438" t="s">
        <v>7251</v>
      </c>
      <c r="E438" t="s">
        <v>3077</v>
      </c>
      <c r="F438" t="s">
        <v>53</v>
      </c>
      <c r="G438" t="s">
        <v>3078</v>
      </c>
      <c r="H438" t="s">
        <v>43</v>
      </c>
      <c r="I438" s="12">
        <v>7035605838</v>
      </c>
      <c r="J438" t="s">
        <v>45</v>
      </c>
      <c r="K438" t="s">
        <v>7879</v>
      </c>
      <c r="L438" t="s">
        <v>7940</v>
      </c>
      <c r="M438" t="s">
        <v>46</v>
      </c>
      <c r="N438" t="s">
        <v>33</v>
      </c>
      <c r="O438" s="17">
        <v>195000</v>
      </c>
      <c r="P438" s="17" t="s">
        <v>7854</v>
      </c>
      <c r="Q438" s="22">
        <v>0</v>
      </c>
      <c r="R438" s="22" t="s">
        <v>7854</v>
      </c>
      <c r="S438" s="24">
        <v>0</v>
      </c>
      <c r="T438" s="24" t="s">
        <v>7854</v>
      </c>
      <c r="U438" t="s">
        <v>3079</v>
      </c>
    </row>
    <row r="439" spans="1:21" x14ac:dyDescent="0.25">
      <c r="A439">
        <v>445</v>
      </c>
      <c r="B439">
        <v>24431</v>
      </c>
      <c r="C439" t="s">
        <v>3080</v>
      </c>
      <c r="D439" t="s">
        <v>7252</v>
      </c>
      <c r="E439" t="s">
        <v>3082</v>
      </c>
      <c r="F439" t="s">
        <v>28</v>
      </c>
      <c r="G439" t="s">
        <v>2761</v>
      </c>
      <c r="H439" t="s">
        <v>43</v>
      </c>
      <c r="I439" s="13" t="s">
        <v>3083</v>
      </c>
      <c r="J439" t="s">
        <v>31</v>
      </c>
      <c r="K439" t="s">
        <v>7879</v>
      </c>
      <c r="L439" t="s">
        <v>7940</v>
      </c>
      <c r="M439" t="s">
        <v>46</v>
      </c>
      <c r="N439" t="s">
        <v>33</v>
      </c>
      <c r="O439" s="17">
        <v>195000</v>
      </c>
      <c r="P439" s="17" t="s">
        <v>7854</v>
      </c>
      <c r="Q439" s="22">
        <v>0</v>
      </c>
      <c r="R439" s="22" t="s">
        <v>7854</v>
      </c>
      <c r="S439" s="24">
        <v>0</v>
      </c>
      <c r="T439" s="24" t="s">
        <v>7854</v>
      </c>
      <c r="U439" t="s">
        <v>3084</v>
      </c>
    </row>
    <row r="440" spans="1:21" x14ac:dyDescent="0.25">
      <c r="A440">
        <v>446</v>
      </c>
      <c r="B440">
        <v>3691</v>
      </c>
      <c r="C440" t="s">
        <v>3085</v>
      </c>
      <c r="D440" t="s">
        <v>7253</v>
      </c>
      <c r="E440" t="s">
        <v>7953</v>
      </c>
      <c r="F440" t="s">
        <v>28</v>
      </c>
      <c r="G440" t="s">
        <v>191</v>
      </c>
      <c r="H440" t="s">
        <v>43</v>
      </c>
      <c r="I440" s="12">
        <v>8022982488</v>
      </c>
      <c r="J440" t="s">
        <v>21</v>
      </c>
      <c r="K440" t="s">
        <v>7886</v>
      </c>
      <c r="L440" t="s">
        <v>7940</v>
      </c>
      <c r="M440" t="s">
        <v>63</v>
      </c>
      <c r="N440" t="s">
        <v>33</v>
      </c>
      <c r="O440" s="17">
        <v>812500</v>
      </c>
      <c r="P440" s="17" t="s">
        <v>7854</v>
      </c>
      <c r="Q440" s="22">
        <v>0</v>
      </c>
      <c r="R440" s="22" t="s">
        <v>7854</v>
      </c>
      <c r="S440" s="24">
        <v>162500</v>
      </c>
      <c r="T440" s="24" t="s">
        <v>7854</v>
      </c>
      <c r="U440" t="s">
        <v>3088</v>
      </c>
    </row>
    <row r="441" spans="1:21" x14ac:dyDescent="0.25">
      <c r="A441">
        <v>447</v>
      </c>
      <c r="B441">
        <v>6043</v>
      </c>
      <c r="C441" t="s">
        <v>3089</v>
      </c>
      <c r="D441" t="s">
        <v>7254</v>
      </c>
      <c r="E441" t="s">
        <v>3091</v>
      </c>
      <c r="F441" t="s">
        <v>53</v>
      </c>
      <c r="G441" t="s">
        <v>197</v>
      </c>
      <c r="H441" t="s">
        <v>43</v>
      </c>
      <c r="I441" s="13" t="s">
        <v>3092</v>
      </c>
      <c r="J441" t="s">
        <v>31</v>
      </c>
      <c r="K441" t="s">
        <v>7886</v>
      </c>
      <c r="L441" t="s">
        <v>7981</v>
      </c>
      <c r="M441" t="s">
        <v>46</v>
      </c>
      <c r="N441" t="s">
        <v>33</v>
      </c>
      <c r="O441" s="17">
        <v>812500</v>
      </c>
      <c r="P441" s="17" t="s">
        <v>7854</v>
      </c>
      <c r="Q441" s="22">
        <v>0</v>
      </c>
      <c r="R441" s="22" t="s">
        <v>7854</v>
      </c>
      <c r="S441" s="24">
        <v>162500</v>
      </c>
      <c r="T441" s="24" t="s">
        <v>7854</v>
      </c>
      <c r="U441" t="s">
        <v>3093</v>
      </c>
    </row>
    <row r="442" spans="1:21" x14ac:dyDescent="0.25">
      <c r="A442">
        <v>448</v>
      </c>
      <c r="B442">
        <v>11318</v>
      </c>
      <c r="C442" t="s">
        <v>3094</v>
      </c>
      <c r="D442" t="s">
        <v>7255</v>
      </c>
      <c r="E442" t="s">
        <v>7954</v>
      </c>
      <c r="F442" t="s">
        <v>28</v>
      </c>
      <c r="G442" t="s">
        <v>3098</v>
      </c>
      <c r="H442" t="s">
        <v>43</v>
      </c>
      <c r="I442" s="13" t="s">
        <v>3099</v>
      </c>
      <c r="J442" t="s">
        <v>21</v>
      </c>
      <c r="K442" t="s">
        <v>7886</v>
      </c>
      <c r="L442" t="s">
        <v>7940</v>
      </c>
      <c r="M442" t="s">
        <v>63</v>
      </c>
      <c r="N442" t="s">
        <v>33</v>
      </c>
      <c r="O442" s="17">
        <v>812500</v>
      </c>
      <c r="P442" s="17" t="s">
        <v>7854</v>
      </c>
      <c r="Q442" s="22">
        <v>0</v>
      </c>
      <c r="R442" s="22" t="s">
        <v>7854</v>
      </c>
      <c r="S442" s="24">
        <v>162500</v>
      </c>
      <c r="T442" s="24" t="s">
        <v>7854</v>
      </c>
      <c r="U442" t="s">
        <v>3100</v>
      </c>
    </row>
    <row r="443" spans="1:21" x14ac:dyDescent="0.25">
      <c r="A443">
        <v>449</v>
      </c>
      <c r="B443">
        <v>20191</v>
      </c>
      <c r="C443" t="s">
        <v>3101</v>
      </c>
      <c r="D443" t="s">
        <v>7256</v>
      </c>
      <c r="E443" t="s">
        <v>3102</v>
      </c>
      <c r="F443" t="s">
        <v>28</v>
      </c>
      <c r="G443" t="s">
        <v>3103</v>
      </c>
      <c r="H443" t="s">
        <v>43</v>
      </c>
      <c r="I443" s="13" t="s">
        <v>3104</v>
      </c>
      <c r="J443" t="s">
        <v>31</v>
      </c>
      <c r="K443" t="s">
        <v>7879</v>
      </c>
      <c r="L443" t="s">
        <v>7981</v>
      </c>
      <c r="M443" t="s">
        <v>46</v>
      </c>
      <c r="N443" t="s">
        <v>33</v>
      </c>
      <c r="O443" s="17">
        <v>195000</v>
      </c>
      <c r="P443" s="17" t="s">
        <v>7854</v>
      </c>
      <c r="Q443" s="22">
        <v>0</v>
      </c>
      <c r="R443" s="22" t="s">
        <v>7854</v>
      </c>
      <c r="S443" s="24">
        <v>0</v>
      </c>
      <c r="T443" s="24" t="s">
        <v>7854</v>
      </c>
      <c r="U443" t="s">
        <v>3105</v>
      </c>
    </row>
    <row r="444" spans="1:21" x14ac:dyDescent="0.25">
      <c r="A444">
        <v>450</v>
      </c>
      <c r="B444">
        <v>24311</v>
      </c>
      <c r="C444" t="s">
        <v>3106</v>
      </c>
      <c r="D444" t="s">
        <v>7257</v>
      </c>
      <c r="E444" t="s">
        <v>3109</v>
      </c>
      <c r="F444" t="s">
        <v>28</v>
      </c>
      <c r="G444" t="s">
        <v>3110</v>
      </c>
      <c r="H444" t="s">
        <v>43</v>
      </c>
      <c r="I444" s="13" t="s">
        <v>3111</v>
      </c>
      <c r="J444" t="s">
        <v>31</v>
      </c>
      <c r="K444" t="s">
        <v>7879</v>
      </c>
      <c r="L444" t="s">
        <v>7940</v>
      </c>
      <c r="M444" t="s">
        <v>63</v>
      </c>
      <c r="N444" t="s">
        <v>33</v>
      </c>
      <c r="O444" s="17">
        <v>195000</v>
      </c>
      <c r="P444" s="17" t="s">
        <v>7854</v>
      </c>
      <c r="Q444" s="22">
        <v>0</v>
      </c>
      <c r="R444" s="22" t="s">
        <v>7854</v>
      </c>
      <c r="S444" s="24">
        <v>0</v>
      </c>
      <c r="T444" s="24" t="s">
        <v>7854</v>
      </c>
      <c r="U444" t="s">
        <v>3112</v>
      </c>
    </row>
    <row r="445" spans="1:21" x14ac:dyDescent="0.25">
      <c r="A445">
        <v>452</v>
      </c>
      <c r="B445">
        <v>1873</v>
      </c>
      <c r="C445" t="s">
        <v>3113</v>
      </c>
      <c r="D445" t="s">
        <v>7258</v>
      </c>
      <c r="E445" t="s">
        <v>3115</v>
      </c>
      <c r="F445" t="s">
        <v>53</v>
      </c>
      <c r="G445" t="s">
        <v>2261</v>
      </c>
      <c r="H445" t="s">
        <v>43</v>
      </c>
      <c r="I445" s="12">
        <v>2348111226463</v>
      </c>
      <c r="J445" t="s">
        <v>31</v>
      </c>
      <c r="K445" t="s">
        <v>7886</v>
      </c>
      <c r="L445" t="s">
        <v>7940</v>
      </c>
      <c r="M445" t="s">
        <v>46</v>
      </c>
      <c r="N445" t="s">
        <v>33</v>
      </c>
      <c r="O445" s="17">
        <v>812500</v>
      </c>
      <c r="P445" s="17" t="s">
        <v>7854</v>
      </c>
      <c r="Q445" s="22">
        <v>110500</v>
      </c>
      <c r="R445" s="22" t="s">
        <v>7854</v>
      </c>
      <c r="S445" s="24">
        <v>162500</v>
      </c>
      <c r="T445" s="24" t="s">
        <v>7854</v>
      </c>
      <c r="U445" t="s">
        <v>3116</v>
      </c>
    </row>
    <row r="446" spans="1:21" x14ac:dyDescent="0.25">
      <c r="A446">
        <v>453</v>
      </c>
      <c r="B446">
        <v>5394</v>
      </c>
      <c r="C446" t="s">
        <v>3117</v>
      </c>
      <c r="D446" t="s">
        <v>7259</v>
      </c>
      <c r="E446" t="s">
        <v>3121</v>
      </c>
      <c r="F446" t="s">
        <v>28</v>
      </c>
      <c r="G446" t="s">
        <v>3122</v>
      </c>
      <c r="H446" t="s">
        <v>43</v>
      </c>
      <c r="I446" s="13" t="s">
        <v>3123</v>
      </c>
      <c r="J446" t="s">
        <v>31</v>
      </c>
      <c r="K446" t="s">
        <v>7886</v>
      </c>
      <c r="L446" t="s">
        <v>7981</v>
      </c>
      <c r="M446" t="s">
        <v>63</v>
      </c>
      <c r="N446" t="s">
        <v>33</v>
      </c>
      <c r="O446" s="17">
        <v>812500</v>
      </c>
      <c r="P446" s="17" t="s">
        <v>7854</v>
      </c>
      <c r="Q446" s="22">
        <v>0</v>
      </c>
      <c r="R446" s="22" t="s">
        <v>7854</v>
      </c>
      <c r="S446" s="24">
        <v>162500</v>
      </c>
      <c r="T446" s="24" t="s">
        <v>7854</v>
      </c>
      <c r="U446" t="s">
        <v>3124</v>
      </c>
    </row>
    <row r="447" spans="1:21" x14ac:dyDescent="0.25">
      <c r="A447">
        <v>454</v>
      </c>
      <c r="B447">
        <v>6453</v>
      </c>
      <c r="C447" t="s">
        <v>3125</v>
      </c>
      <c r="D447" t="s">
        <v>7260</v>
      </c>
      <c r="E447" t="s">
        <v>3128</v>
      </c>
      <c r="F447" t="s">
        <v>53</v>
      </c>
      <c r="G447" t="s">
        <v>3129</v>
      </c>
      <c r="H447" t="s">
        <v>43</v>
      </c>
      <c r="I447" s="12">
        <v>8163825362</v>
      </c>
      <c r="J447" t="s">
        <v>31</v>
      </c>
      <c r="K447" t="s">
        <v>7881</v>
      </c>
      <c r="L447" t="s">
        <v>7888</v>
      </c>
      <c r="M447" t="s">
        <v>87</v>
      </c>
      <c r="N447" t="s">
        <v>33</v>
      </c>
      <c r="O447" s="17">
        <v>552500</v>
      </c>
      <c r="P447" s="17" t="s">
        <v>7854</v>
      </c>
      <c r="Q447" s="22">
        <v>110500</v>
      </c>
      <c r="R447" s="22" t="s">
        <v>7854</v>
      </c>
      <c r="S447" s="24">
        <v>0</v>
      </c>
      <c r="T447" s="24" t="s">
        <v>7854</v>
      </c>
      <c r="U447" t="s">
        <v>3130</v>
      </c>
    </row>
    <row r="448" spans="1:21" x14ac:dyDescent="0.25">
      <c r="A448">
        <v>455</v>
      </c>
      <c r="B448">
        <v>24408</v>
      </c>
      <c r="C448" t="s">
        <v>3131</v>
      </c>
      <c r="D448" t="s">
        <v>7261</v>
      </c>
      <c r="E448" t="s">
        <v>3133</v>
      </c>
      <c r="F448" t="s">
        <v>28</v>
      </c>
      <c r="G448" t="s">
        <v>3134</v>
      </c>
      <c r="H448" t="s">
        <v>453</v>
      </c>
      <c r="I448" s="13" t="s">
        <v>3135</v>
      </c>
      <c r="J448" t="s">
        <v>31</v>
      </c>
      <c r="K448" t="s">
        <v>7879</v>
      </c>
      <c r="L448" t="s">
        <v>7893</v>
      </c>
      <c r="M448" t="s">
        <v>455</v>
      </c>
      <c r="N448" t="s">
        <v>130</v>
      </c>
      <c r="O448" s="17" t="s">
        <v>7854</v>
      </c>
      <c r="P448" s="17">
        <v>150</v>
      </c>
      <c r="Q448" s="22" t="s">
        <v>7854</v>
      </c>
      <c r="R448" s="22">
        <v>0</v>
      </c>
      <c r="S448" s="24" t="s">
        <v>7854</v>
      </c>
      <c r="T448" s="24">
        <v>0</v>
      </c>
      <c r="U448" t="s">
        <v>3136</v>
      </c>
    </row>
    <row r="449" spans="1:21" x14ac:dyDescent="0.25">
      <c r="A449">
        <v>456</v>
      </c>
      <c r="B449">
        <v>6682</v>
      </c>
      <c r="C449" t="s">
        <v>3137</v>
      </c>
      <c r="D449" t="s">
        <v>7262</v>
      </c>
      <c r="E449" t="s">
        <v>7955</v>
      </c>
      <c r="F449" t="s">
        <v>53</v>
      </c>
      <c r="G449" t="s">
        <v>3141</v>
      </c>
      <c r="H449" t="s">
        <v>43</v>
      </c>
      <c r="I449" s="13" t="s">
        <v>3142</v>
      </c>
      <c r="J449" t="s">
        <v>1207</v>
      </c>
      <c r="K449" t="s">
        <v>7886</v>
      </c>
      <c r="L449" t="s">
        <v>7940</v>
      </c>
      <c r="M449" t="s">
        <v>63</v>
      </c>
      <c r="N449" t="s">
        <v>33</v>
      </c>
      <c r="O449" s="17">
        <v>812500</v>
      </c>
      <c r="P449" s="17" t="s">
        <v>7854</v>
      </c>
      <c r="Q449" s="22">
        <v>0</v>
      </c>
      <c r="R449" s="22" t="s">
        <v>7854</v>
      </c>
      <c r="S449" s="24">
        <v>162500</v>
      </c>
      <c r="T449" s="24" t="s">
        <v>7854</v>
      </c>
      <c r="U449" t="s">
        <v>3143</v>
      </c>
    </row>
    <row r="450" spans="1:21" x14ac:dyDescent="0.25">
      <c r="A450">
        <v>457</v>
      </c>
      <c r="B450">
        <v>24204</v>
      </c>
      <c r="C450" t="s">
        <v>3144</v>
      </c>
      <c r="D450" t="s">
        <v>7263</v>
      </c>
      <c r="E450" t="s">
        <v>3148</v>
      </c>
      <c r="F450" t="s">
        <v>28</v>
      </c>
      <c r="G450" t="s">
        <v>3149</v>
      </c>
      <c r="H450" t="s">
        <v>453</v>
      </c>
      <c r="I450" s="13" t="s">
        <v>3150</v>
      </c>
      <c r="J450" t="s">
        <v>31</v>
      </c>
      <c r="K450" t="s">
        <v>7879</v>
      </c>
      <c r="L450" t="s">
        <v>7893</v>
      </c>
      <c r="M450" t="s">
        <v>455</v>
      </c>
      <c r="N450" t="s">
        <v>130</v>
      </c>
      <c r="O450" s="17" t="s">
        <v>7854</v>
      </c>
      <c r="P450" s="17">
        <v>150</v>
      </c>
      <c r="Q450" s="22" t="s">
        <v>7854</v>
      </c>
      <c r="R450" s="22">
        <v>0</v>
      </c>
      <c r="S450" s="24" t="s">
        <v>7854</v>
      </c>
      <c r="T450" s="24">
        <v>0</v>
      </c>
      <c r="U450" t="s">
        <v>3151</v>
      </c>
    </row>
    <row r="451" spans="1:21" x14ac:dyDescent="0.25">
      <c r="A451">
        <v>458</v>
      </c>
      <c r="B451">
        <v>423</v>
      </c>
      <c r="C451" t="s">
        <v>3152</v>
      </c>
      <c r="D451" t="s">
        <v>7264</v>
      </c>
      <c r="E451" t="s">
        <v>3156</v>
      </c>
      <c r="F451" t="s">
        <v>53</v>
      </c>
      <c r="G451" t="s">
        <v>3157</v>
      </c>
      <c r="H451" t="s">
        <v>43</v>
      </c>
      <c r="I451" s="13" t="s">
        <v>3158</v>
      </c>
      <c r="J451" t="s">
        <v>31</v>
      </c>
      <c r="K451" t="s">
        <v>7886</v>
      </c>
      <c r="L451" t="s">
        <v>7940</v>
      </c>
      <c r="M451" t="s">
        <v>46</v>
      </c>
      <c r="N451" t="s">
        <v>33</v>
      </c>
      <c r="O451" s="17">
        <v>812500</v>
      </c>
      <c r="P451" s="17" t="s">
        <v>7854</v>
      </c>
      <c r="Q451" s="22">
        <v>0</v>
      </c>
      <c r="R451" s="22" t="s">
        <v>7854</v>
      </c>
      <c r="S451" s="24">
        <v>162500</v>
      </c>
      <c r="T451" s="24" t="s">
        <v>7854</v>
      </c>
      <c r="U451" t="s">
        <v>3159</v>
      </c>
    </row>
    <row r="452" spans="1:21" x14ac:dyDescent="0.25">
      <c r="A452">
        <v>459</v>
      </c>
      <c r="B452">
        <v>6497</v>
      </c>
      <c r="C452" t="s">
        <v>3160</v>
      </c>
      <c r="D452" t="s">
        <v>7265</v>
      </c>
      <c r="E452" t="s">
        <v>7917</v>
      </c>
      <c r="F452" t="s">
        <v>28</v>
      </c>
      <c r="G452" t="s">
        <v>3163</v>
      </c>
      <c r="H452" t="s">
        <v>43</v>
      </c>
      <c r="I452" s="12" t="s">
        <v>3164</v>
      </c>
      <c r="J452" t="s">
        <v>31</v>
      </c>
      <c r="K452" t="s">
        <v>7886</v>
      </c>
      <c r="L452" t="s">
        <v>7893</v>
      </c>
      <c r="M452" t="s">
        <v>63</v>
      </c>
      <c r="N452" t="s">
        <v>33</v>
      </c>
      <c r="O452" s="17">
        <v>812500</v>
      </c>
      <c r="P452" s="17" t="s">
        <v>7854</v>
      </c>
      <c r="Q452" s="22">
        <v>0</v>
      </c>
      <c r="R452" s="22" t="s">
        <v>7854</v>
      </c>
      <c r="S452" s="24">
        <v>162500</v>
      </c>
      <c r="T452" s="24" t="s">
        <v>7854</v>
      </c>
      <c r="U452" t="s">
        <v>3165</v>
      </c>
    </row>
    <row r="453" spans="1:21" x14ac:dyDescent="0.25">
      <c r="A453">
        <v>460</v>
      </c>
      <c r="B453">
        <v>3850</v>
      </c>
      <c r="C453" t="s">
        <v>3166</v>
      </c>
      <c r="D453" t="s">
        <v>7266</v>
      </c>
      <c r="E453" t="s">
        <v>7918</v>
      </c>
      <c r="F453" t="s">
        <v>28</v>
      </c>
      <c r="G453" t="s">
        <v>3170</v>
      </c>
      <c r="H453" t="s">
        <v>43</v>
      </c>
      <c r="I453" s="12">
        <v>8.0350196310802498E+20</v>
      </c>
      <c r="J453" t="s">
        <v>31</v>
      </c>
      <c r="K453" t="s">
        <v>7886</v>
      </c>
      <c r="L453" t="s">
        <v>7893</v>
      </c>
      <c r="M453" t="s">
        <v>46</v>
      </c>
      <c r="N453" t="s">
        <v>33</v>
      </c>
      <c r="O453" s="17">
        <v>812500</v>
      </c>
      <c r="P453" s="17" t="s">
        <v>7854</v>
      </c>
      <c r="Q453" s="22">
        <v>0</v>
      </c>
      <c r="R453" s="22" t="s">
        <v>7854</v>
      </c>
      <c r="S453" s="24">
        <v>162500</v>
      </c>
      <c r="T453" s="24" t="s">
        <v>7854</v>
      </c>
      <c r="U453" t="s">
        <v>3171</v>
      </c>
    </row>
    <row r="454" spans="1:21" x14ac:dyDescent="0.25">
      <c r="A454">
        <v>461</v>
      </c>
      <c r="B454">
        <v>3287</v>
      </c>
      <c r="C454" t="s">
        <v>3172</v>
      </c>
      <c r="D454" t="s">
        <v>7267</v>
      </c>
      <c r="E454" t="s">
        <v>3176</v>
      </c>
      <c r="F454" t="s">
        <v>53</v>
      </c>
      <c r="G454" t="s">
        <v>3177</v>
      </c>
      <c r="H454" t="s">
        <v>43</v>
      </c>
      <c r="I454" s="12">
        <v>8055934237</v>
      </c>
      <c r="J454" t="s">
        <v>45</v>
      </c>
      <c r="K454" t="s">
        <v>7881</v>
      </c>
      <c r="L454" t="s">
        <v>7940</v>
      </c>
      <c r="M454" t="s">
        <v>46</v>
      </c>
      <c r="N454" t="s">
        <v>33</v>
      </c>
      <c r="O454" s="17">
        <v>552500</v>
      </c>
      <c r="P454" s="17" t="s">
        <v>7854</v>
      </c>
      <c r="Q454" s="22">
        <v>0</v>
      </c>
      <c r="R454" s="22" t="s">
        <v>7854</v>
      </c>
      <c r="S454" s="24">
        <v>0</v>
      </c>
      <c r="T454" s="24" t="s">
        <v>7854</v>
      </c>
      <c r="U454" t="s">
        <v>3178</v>
      </c>
    </row>
    <row r="455" spans="1:21" x14ac:dyDescent="0.25">
      <c r="A455">
        <v>462</v>
      </c>
      <c r="B455">
        <v>2605</v>
      </c>
      <c r="C455" t="s">
        <v>3179</v>
      </c>
      <c r="D455" t="s">
        <v>7268</v>
      </c>
      <c r="E455" t="s">
        <v>7956</v>
      </c>
      <c r="F455" t="s">
        <v>53</v>
      </c>
      <c r="G455" t="s">
        <v>3183</v>
      </c>
      <c r="H455" t="s">
        <v>43</v>
      </c>
      <c r="I455" s="12">
        <v>8033667050</v>
      </c>
      <c r="J455" t="s">
        <v>31</v>
      </c>
      <c r="K455" t="s">
        <v>7886</v>
      </c>
      <c r="L455" t="s">
        <v>7940</v>
      </c>
      <c r="M455" t="s">
        <v>46</v>
      </c>
      <c r="N455" t="s">
        <v>33</v>
      </c>
      <c r="O455" s="17">
        <v>812500</v>
      </c>
      <c r="P455" s="17" t="s">
        <v>7854</v>
      </c>
      <c r="Q455" s="22">
        <v>0</v>
      </c>
      <c r="R455" s="22" t="s">
        <v>7854</v>
      </c>
      <c r="S455" s="24">
        <v>162500</v>
      </c>
      <c r="T455" s="24" t="s">
        <v>7854</v>
      </c>
      <c r="U455" t="s">
        <v>3184</v>
      </c>
    </row>
    <row r="456" spans="1:21" x14ac:dyDescent="0.25">
      <c r="A456">
        <v>463</v>
      </c>
      <c r="B456">
        <v>1116</v>
      </c>
      <c r="C456" t="s">
        <v>3186</v>
      </c>
      <c r="D456" t="s">
        <v>7269</v>
      </c>
      <c r="E456" t="s">
        <v>7992</v>
      </c>
      <c r="F456" t="s">
        <v>28</v>
      </c>
      <c r="G456" t="s">
        <v>3190</v>
      </c>
      <c r="H456" t="s">
        <v>43</v>
      </c>
      <c r="I456" s="12">
        <v>8030549264</v>
      </c>
      <c r="J456" t="s">
        <v>31</v>
      </c>
      <c r="K456" t="s">
        <v>7886</v>
      </c>
      <c r="L456" t="s">
        <v>7981</v>
      </c>
      <c r="M456" t="s">
        <v>46</v>
      </c>
      <c r="N456" t="s">
        <v>33</v>
      </c>
      <c r="O456" s="17">
        <v>812500</v>
      </c>
      <c r="P456" s="17" t="s">
        <v>7854</v>
      </c>
      <c r="Q456" s="22">
        <v>0</v>
      </c>
      <c r="R456" s="22" t="s">
        <v>7854</v>
      </c>
      <c r="S456" s="24">
        <v>162500</v>
      </c>
      <c r="T456" s="24" t="s">
        <v>7854</v>
      </c>
      <c r="U456" t="s">
        <v>3191</v>
      </c>
    </row>
    <row r="457" spans="1:21" x14ac:dyDescent="0.25">
      <c r="A457">
        <v>464</v>
      </c>
      <c r="B457">
        <v>24439</v>
      </c>
      <c r="C457" t="s">
        <v>3192</v>
      </c>
      <c r="D457" t="s">
        <v>7270</v>
      </c>
      <c r="E457" t="s">
        <v>3195</v>
      </c>
      <c r="F457" t="s">
        <v>53</v>
      </c>
      <c r="G457" t="s">
        <v>682</v>
      </c>
      <c r="H457" t="s">
        <v>453</v>
      </c>
      <c r="I457" s="13" t="s">
        <v>3196</v>
      </c>
      <c r="J457" t="s">
        <v>31</v>
      </c>
      <c r="K457" t="s">
        <v>7879</v>
      </c>
      <c r="L457" t="s">
        <v>7893</v>
      </c>
      <c r="M457" t="s">
        <v>455</v>
      </c>
      <c r="N457" t="s">
        <v>130</v>
      </c>
      <c r="O457" s="17" t="s">
        <v>7854</v>
      </c>
      <c r="P457" s="17">
        <v>150</v>
      </c>
      <c r="Q457" s="22" t="s">
        <v>7854</v>
      </c>
      <c r="R457" s="22">
        <v>0</v>
      </c>
      <c r="S457" s="24" t="s">
        <v>7854</v>
      </c>
      <c r="T457" s="24">
        <v>0</v>
      </c>
      <c r="U457" t="s">
        <v>3197</v>
      </c>
    </row>
    <row r="458" spans="1:21" x14ac:dyDescent="0.25">
      <c r="A458">
        <v>465</v>
      </c>
      <c r="B458">
        <v>24424</v>
      </c>
      <c r="C458" t="s">
        <v>3198</v>
      </c>
      <c r="D458" t="s">
        <v>7271</v>
      </c>
      <c r="E458" t="s">
        <v>3201</v>
      </c>
      <c r="F458" t="s">
        <v>28</v>
      </c>
      <c r="G458" t="s">
        <v>3202</v>
      </c>
      <c r="H458" t="s">
        <v>43</v>
      </c>
      <c r="I458" s="12">
        <v>234913217003</v>
      </c>
      <c r="J458" t="s">
        <v>31</v>
      </c>
      <c r="K458" t="s">
        <v>7879</v>
      </c>
      <c r="L458" t="s">
        <v>7940</v>
      </c>
      <c r="M458" t="s">
        <v>87</v>
      </c>
      <c r="N458" t="s">
        <v>33</v>
      </c>
      <c r="O458" s="17">
        <v>195000</v>
      </c>
      <c r="P458" s="17" t="s">
        <v>7854</v>
      </c>
      <c r="Q458" s="22">
        <v>0</v>
      </c>
      <c r="R458" s="22" t="s">
        <v>7854</v>
      </c>
      <c r="S458" s="24">
        <v>0</v>
      </c>
      <c r="T458" s="24" t="s">
        <v>7854</v>
      </c>
      <c r="U458" t="s">
        <v>3203</v>
      </c>
    </row>
    <row r="459" spans="1:21" x14ac:dyDescent="0.25">
      <c r="A459">
        <v>466</v>
      </c>
      <c r="B459">
        <v>23992</v>
      </c>
      <c r="C459" t="s">
        <v>3204</v>
      </c>
      <c r="D459" t="s">
        <v>7272</v>
      </c>
      <c r="E459" t="s">
        <v>3208</v>
      </c>
      <c r="F459" t="s">
        <v>28</v>
      </c>
      <c r="G459" t="s">
        <v>3209</v>
      </c>
      <c r="H459" t="s">
        <v>43</v>
      </c>
      <c r="I459" s="13" t="s">
        <v>3210</v>
      </c>
      <c r="J459" t="s">
        <v>31</v>
      </c>
      <c r="K459" t="s">
        <v>7879</v>
      </c>
      <c r="L459" t="s">
        <v>7893</v>
      </c>
      <c r="M459" t="s">
        <v>87</v>
      </c>
      <c r="N459" t="s">
        <v>33</v>
      </c>
      <c r="O459" s="17">
        <v>195000</v>
      </c>
      <c r="P459" s="17" t="s">
        <v>7854</v>
      </c>
      <c r="Q459" s="22">
        <v>0</v>
      </c>
      <c r="R459" s="22" t="s">
        <v>7854</v>
      </c>
      <c r="S459" s="24">
        <v>0</v>
      </c>
      <c r="T459" s="24" t="s">
        <v>7854</v>
      </c>
      <c r="U459" t="s">
        <v>3211</v>
      </c>
    </row>
    <row r="460" spans="1:21" x14ac:dyDescent="0.25">
      <c r="A460">
        <v>467</v>
      </c>
      <c r="B460">
        <v>24075</v>
      </c>
      <c r="C460" t="s">
        <v>3212</v>
      </c>
      <c r="D460" t="s">
        <v>7273</v>
      </c>
      <c r="E460" t="s">
        <v>3215</v>
      </c>
      <c r="F460" t="s">
        <v>53</v>
      </c>
      <c r="G460" t="s">
        <v>3216</v>
      </c>
      <c r="H460" t="s">
        <v>43</v>
      </c>
      <c r="I460" s="13" t="s">
        <v>3217</v>
      </c>
      <c r="J460" t="s">
        <v>31</v>
      </c>
      <c r="K460" t="s">
        <v>7879</v>
      </c>
      <c r="L460" t="s">
        <v>7888</v>
      </c>
      <c r="M460" t="s">
        <v>46</v>
      </c>
      <c r="N460" t="s">
        <v>33</v>
      </c>
      <c r="O460" s="17">
        <v>195000</v>
      </c>
      <c r="P460" s="17" t="s">
        <v>7854</v>
      </c>
      <c r="Q460" s="22">
        <v>0</v>
      </c>
      <c r="R460" s="22" t="s">
        <v>7854</v>
      </c>
      <c r="S460" s="24">
        <v>0</v>
      </c>
      <c r="T460" s="24" t="s">
        <v>7854</v>
      </c>
      <c r="U460" t="s">
        <v>3218</v>
      </c>
    </row>
    <row r="461" spans="1:21" x14ac:dyDescent="0.25">
      <c r="A461">
        <v>468</v>
      </c>
      <c r="B461">
        <v>4144</v>
      </c>
      <c r="C461" t="s">
        <v>3219</v>
      </c>
      <c r="D461" t="s">
        <v>7274</v>
      </c>
      <c r="E461" t="s">
        <v>7993</v>
      </c>
      <c r="F461" t="s">
        <v>28</v>
      </c>
      <c r="G461" t="s">
        <v>7994</v>
      </c>
      <c r="H461" t="s">
        <v>43</v>
      </c>
      <c r="I461" s="13" t="s">
        <v>3223</v>
      </c>
      <c r="J461" t="s">
        <v>31</v>
      </c>
      <c r="K461" t="s">
        <v>7886</v>
      </c>
      <c r="L461" t="s">
        <v>7981</v>
      </c>
      <c r="M461" t="s">
        <v>63</v>
      </c>
      <c r="N461" t="s">
        <v>33</v>
      </c>
      <c r="O461" s="17">
        <v>812500</v>
      </c>
      <c r="P461" s="17" t="s">
        <v>7854</v>
      </c>
      <c r="Q461" s="22">
        <v>0</v>
      </c>
      <c r="R461" s="22" t="s">
        <v>7854</v>
      </c>
      <c r="S461" s="24">
        <v>162500</v>
      </c>
      <c r="T461" s="24" t="s">
        <v>7854</v>
      </c>
      <c r="U461" t="s">
        <v>3224</v>
      </c>
    </row>
    <row r="462" spans="1:21" x14ac:dyDescent="0.25">
      <c r="A462">
        <v>469</v>
      </c>
      <c r="B462">
        <v>24360</v>
      </c>
      <c r="C462" t="s">
        <v>3225</v>
      </c>
      <c r="D462" t="s">
        <v>7275</v>
      </c>
      <c r="E462" t="s">
        <v>3228</v>
      </c>
      <c r="F462" t="s">
        <v>53</v>
      </c>
      <c r="G462" t="s">
        <v>968</v>
      </c>
      <c r="H462" t="s">
        <v>453</v>
      </c>
      <c r="I462" s="13" t="s">
        <v>3229</v>
      </c>
      <c r="J462" t="s">
        <v>31</v>
      </c>
      <c r="K462" t="s">
        <v>7879</v>
      </c>
      <c r="L462" t="s">
        <v>7893</v>
      </c>
      <c r="M462" t="s">
        <v>455</v>
      </c>
      <c r="N462" t="s">
        <v>130</v>
      </c>
      <c r="O462" s="17" t="s">
        <v>7854</v>
      </c>
      <c r="P462" s="17">
        <v>150</v>
      </c>
      <c r="Q462" s="22" t="s">
        <v>7854</v>
      </c>
      <c r="R462" s="22">
        <v>0</v>
      </c>
      <c r="S462" s="24" t="s">
        <v>7854</v>
      </c>
      <c r="T462" s="24">
        <v>0</v>
      </c>
      <c r="U462" t="s">
        <v>3230</v>
      </c>
    </row>
    <row r="463" spans="1:21" x14ac:dyDescent="0.25">
      <c r="A463">
        <v>470</v>
      </c>
      <c r="B463">
        <v>1213</v>
      </c>
      <c r="C463" t="s">
        <v>3231</v>
      </c>
      <c r="D463" t="s">
        <v>7276</v>
      </c>
      <c r="E463" t="s">
        <v>3235</v>
      </c>
      <c r="F463" t="s">
        <v>28</v>
      </c>
      <c r="G463" t="s">
        <v>3236</v>
      </c>
      <c r="H463" t="s">
        <v>43</v>
      </c>
      <c r="I463" s="13" t="s">
        <v>3237</v>
      </c>
      <c r="J463" t="s">
        <v>31</v>
      </c>
      <c r="K463" t="s">
        <v>7886</v>
      </c>
      <c r="L463" t="s">
        <v>7940</v>
      </c>
      <c r="M463" t="s">
        <v>63</v>
      </c>
      <c r="N463" t="s">
        <v>33</v>
      </c>
      <c r="O463" s="17">
        <v>812500</v>
      </c>
      <c r="P463" s="17" t="s">
        <v>7854</v>
      </c>
      <c r="Q463" s="22">
        <v>0</v>
      </c>
      <c r="R463" s="22" t="s">
        <v>7854</v>
      </c>
      <c r="S463" s="24">
        <v>162500</v>
      </c>
      <c r="T463" s="24" t="s">
        <v>7854</v>
      </c>
      <c r="U463" t="s">
        <v>3238</v>
      </c>
    </row>
    <row r="464" spans="1:21" x14ac:dyDescent="0.25">
      <c r="A464">
        <v>471</v>
      </c>
      <c r="B464">
        <v>24166</v>
      </c>
      <c r="C464" t="s">
        <v>3239</v>
      </c>
      <c r="D464" t="s">
        <v>7277</v>
      </c>
      <c r="E464" t="s">
        <v>3241</v>
      </c>
      <c r="F464" t="s">
        <v>28</v>
      </c>
      <c r="G464" t="s">
        <v>3242</v>
      </c>
      <c r="H464" t="s">
        <v>43</v>
      </c>
      <c r="I464" s="13" t="s">
        <v>3243</v>
      </c>
      <c r="J464" t="s">
        <v>31</v>
      </c>
      <c r="K464" t="s">
        <v>7879</v>
      </c>
      <c r="L464" t="s">
        <v>7940</v>
      </c>
      <c r="M464" t="s">
        <v>46</v>
      </c>
      <c r="N464" t="s">
        <v>33</v>
      </c>
      <c r="O464" s="17">
        <v>195000</v>
      </c>
      <c r="P464" s="17" t="s">
        <v>7854</v>
      </c>
      <c r="Q464" s="22">
        <v>0</v>
      </c>
      <c r="R464" s="22" t="s">
        <v>7854</v>
      </c>
      <c r="S464" s="24">
        <v>0</v>
      </c>
      <c r="T464" s="24" t="s">
        <v>7854</v>
      </c>
      <c r="U464" t="s">
        <v>3244</v>
      </c>
    </row>
    <row r="465" spans="1:21" x14ac:dyDescent="0.25">
      <c r="A465">
        <v>472</v>
      </c>
      <c r="B465">
        <v>19555</v>
      </c>
      <c r="C465" t="s">
        <v>3245</v>
      </c>
      <c r="D465" t="s">
        <v>7278</v>
      </c>
      <c r="E465" t="s">
        <v>7920</v>
      </c>
      <c r="F465" t="s">
        <v>53</v>
      </c>
      <c r="G465" t="s">
        <v>3249</v>
      </c>
      <c r="H465" t="s">
        <v>43</v>
      </c>
      <c r="I465" s="13" t="s">
        <v>3250</v>
      </c>
      <c r="J465" t="s">
        <v>45</v>
      </c>
      <c r="K465" t="s">
        <v>7881</v>
      </c>
      <c r="L465" t="s">
        <v>7893</v>
      </c>
      <c r="M465" t="s">
        <v>87</v>
      </c>
      <c r="N465" t="s">
        <v>33</v>
      </c>
      <c r="O465" s="17">
        <v>552500</v>
      </c>
      <c r="P465" s="17" t="s">
        <v>7854</v>
      </c>
      <c r="Q465" s="22">
        <v>0</v>
      </c>
      <c r="R465" s="22" t="s">
        <v>7854</v>
      </c>
      <c r="S465" s="24">
        <v>0</v>
      </c>
      <c r="T465" s="24" t="s">
        <v>7854</v>
      </c>
      <c r="U465" t="s">
        <v>3251</v>
      </c>
    </row>
    <row r="466" spans="1:21" x14ac:dyDescent="0.25">
      <c r="A466">
        <v>473</v>
      </c>
      <c r="B466">
        <v>7270</v>
      </c>
      <c r="C466" t="s">
        <v>3252</v>
      </c>
      <c r="D466" t="s">
        <v>7279</v>
      </c>
      <c r="E466" t="s">
        <v>3255</v>
      </c>
      <c r="F466" t="s">
        <v>53</v>
      </c>
      <c r="G466" t="s">
        <v>3256</v>
      </c>
      <c r="H466" t="s">
        <v>43</v>
      </c>
      <c r="I466" s="13" t="s">
        <v>3257</v>
      </c>
      <c r="J466" t="s">
        <v>45</v>
      </c>
      <c r="K466" t="s">
        <v>7881</v>
      </c>
      <c r="L466" t="s">
        <v>7893</v>
      </c>
      <c r="M466" t="s">
        <v>46</v>
      </c>
      <c r="N466" t="s">
        <v>33</v>
      </c>
      <c r="O466" s="17">
        <v>552500</v>
      </c>
      <c r="P466" s="17" t="s">
        <v>7854</v>
      </c>
      <c r="Q466" s="22">
        <v>0</v>
      </c>
      <c r="R466" s="22" t="s">
        <v>7854</v>
      </c>
      <c r="S466" s="24">
        <v>0</v>
      </c>
      <c r="T466" s="24" t="s">
        <v>7854</v>
      </c>
      <c r="U466" t="s">
        <v>3258</v>
      </c>
    </row>
    <row r="467" spans="1:21" x14ac:dyDescent="0.25">
      <c r="A467">
        <v>474</v>
      </c>
      <c r="B467">
        <v>24443</v>
      </c>
      <c r="C467" t="s">
        <v>3259</v>
      </c>
      <c r="D467" t="s">
        <v>7280</v>
      </c>
      <c r="E467" t="s">
        <v>3262</v>
      </c>
      <c r="F467" t="s">
        <v>53</v>
      </c>
      <c r="G467" t="s">
        <v>3263</v>
      </c>
      <c r="H467" t="s">
        <v>43</v>
      </c>
      <c r="I467" s="13" t="s">
        <v>3264</v>
      </c>
      <c r="J467" t="s">
        <v>31</v>
      </c>
      <c r="K467" t="s">
        <v>7879</v>
      </c>
      <c r="L467" t="s">
        <v>7888</v>
      </c>
      <c r="M467" t="s">
        <v>87</v>
      </c>
      <c r="N467" t="s">
        <v>33</v>
      </c>
      <c r="O467" s="17">
        <v>195000</v>
      </c>
      <c r="P467" s="17" t="s">
        <v>7854</v>
      </c>
      <c r="Q467" s="22">
        <v>0</v>
      </c>
      <c r="R467" s="22" t="s">
        <v>7854</v>
      </c>
      <c r="S467" s="24">
        <v>0</v>
      </c>
      <c r="T467" s="24" t="s">
        <v>7854</v>
      </c>
      <c r="U467" t="s">
        <v>3265</v>
      </c>
    </row>
    <row r="468" spans="1:21" x14ac:dyDescent="0.25">
      <c r="A468">
        <v>475</v>
      </c>
      <c r="B468">
        <v>19648</v>
      </c>
      <c r="C468" t="s">
        <v>3266</v>
      </c>
      <c r="D468" t="s">
        <v>7281</v>
      </c>
      <c r="E468" t="s">
        <v>3269</v>
      </c>
      <c r="F468" t="s">
        <v>28</v>
      </c>
      <c r="G468" t="s">
        <v>3270</v>
      </c>
      <c r="H468" t="s">
        <v>43</v>
      </c>
      <c r="I468" s="12">
        <v>2348065666463</v>
      </c>
      <c r="J468" t="s">
        <v>45</v>
      </c>
      <c r="K468" t="s">
        <v>7881</v>
      </c>
      <c r="L468" t="s">
        <v>7981</v>
      </c>
      <c r="M468" t="s">
        <v>46</v>
      </c>
      <c r="N468" t="s">
        <v>33</v>
      </c>
      <c r="O468" s="17">
        <v>552500</v>
      </c>
      <c r="P468" s="17" t="s">
        <v>7854</v>
      </c>
      <c r="Q468" s="22">
        <v>0</v>
      </c>
      <c r="R468" s="22" t="s">
        <v>7854</v>
      </c>
      <c r="S468" s="24">
        <v>0</v>
      </c>
      <c r="T468" s="24" t="s">
        <v>7854</v>
      </c>
      <c r="U468" t="s">
        <v>3271</v>
      </c>
    </row>
    <row r="469" spans="1:21" x14ac:dyDescent="0.25">
      <c r="A469">
        <v>476</v>
      </c>
      <c r="B469">
        <v>21480</v>
      </c>
      <c r="C469" t="s">
        <v>3272</v>
      </c>
      <c r="D469" t="s">
        <v>7282</v>
      </c>
      <c r="E469" t="s">
        <v>3276</v>
      </c>
      <c r="F469" t="s">
        <v>53</v>
      </c>
      <c r="G469" t="s">
        <v>3277</v>
      </c>
      <c r="H469" t="s">
        <v>43</v>
      </c>
      <c r="I469" s="13" t="s">
        <v>3278</v>
      </c>
      <c r="J469" t="s">
        <v>31</v>
      </c>
      <c r="K469" t="s">
        <v>7881</v>
      </c>
      <c r="L469" t="s">
        <v>7940</v>
      </c>
      <c r="M469" t="s">
        <v>63</v>
      </c>
      <c r="N469" t="s">
        <v>33</v>
      </c>
      <c r="O469" s="17">
        <v>552500</v>
      </c>
      <c r="P469" s="17" t="s">
        <v>7854</v>
      </c>
      <c r="Q469" s="22">
        <v>0</v>
      </c>
      <c r="R469" s="22" t="s">
        <v>7854</v>
      </c>
      <c r="S469" s="24">
        <v>0</v>
      </c>
      <c r="T469" s="24" t="s">
        <v>7854</v>
      </c>
      <c r="U469" t="s">
        <v>3279</v>
      </c>
    </row>
    <row r="470" spans="1:21" x14ac:dyDescent="0.25">
      <c r="A470">
        <v>477</v>
      </c>
      <c r="B470">
        <v>24139</v>
      </c>
      <c r="C470" t="s">
        <v>3280</v>
      </c>
      <c r="D470" t="s">
        <v>7283</v>
      </c>
      <c r="E470" t="s">
        <v>3283</v>
      </c>
      <c r="F470" t="s">
        <v>53</v>
      </c>
      <c r="G470" t="s">
        <v>3284</v>
      </c>
      <c r="H470" t="s">
        <v>43</v>
      </c>
      <c r="I470" s="13" t="s">
        <v>3285</v>
      </c>
      <c r="J470" t="s">
        <v>31</v>
      </c>
      <c r="K470" t="s">
        <v>7879</v>
      </c>
      <c r="L470" t="s">
        <v>7893</v>
      </c>
      <c r="M470" t="s">
        <v>46</v>
      </c>
      <c r="N470" t="s">
        <v>33</v>
      </c>
      <c r="O470" s="17">
        <v>195000</v>
      </c>
      <c r="P470" s="17" t="s">
        <v>7854</v>
      </c>
      <c r="Q470" s="22">
        <v>0</v>
      </c>
      <c r="R470" s="22" t="s">
        <v>7854</v>
      </c>
      <c r="S470" s="24">
        <v>0</v>
      </c>
      <c r="T470" s="24" t="s">
        <v>7854</v>
      </c>
      <c r="U470" t="s">
        <v>3286</v>
      </c>
    </row>
    <row r="471" spans="1:21" x14ac:dyDescent="0.25">
      <c r="A471">
        <v>478</v>
      </c>
      <c r="B471">
        <v>24419</v>
      </c>
      <c r="C471" t="s">
        <v>3287</v>
      </c>
      <c r="D471" t="s">
        <v>7284</v>
      </c>
      <c r="E471" t="s">
        <v>3289</v>
      </c>
      <c r="F471" t="s">
        <v>28</v>
      </c>
      <c r="G471" t="s">
        <v>3290</v>
      </c>
      <c r="H471" t="s">
        <v>43</v>
      </c>
      <c r="I471" s="12">
        <v>2347069004595</v>
      </c>
      <c r="J471" t="s">
        <v>31</v>
      </c>
      <c r="K471" t="s">
        <v>7879</v>
      </c>
      <c r="L471" t="s">
        <v>7893</v>
      </c>
      <c r="M471" t="s">
        <v>46</v>
      </c>
      <c r="N471" t="s">
        <v>33</v>
      </c>
      <c r="O471" s="17">
        <v>195000</v>
      </c>
      <c r="P471" s="17" t="s">
        <v>7854</v>
      </c>
      <c r="Q471" s="22">
        <v>0</v>
      </c>
      <c r="R471" s="22" t="s">
        <v>7854</v>
      </c>
      <c r="S471" s="24">
        <v>0</v>
      </c>
      <c r="T471" s="24" t="s">
        <v>7854</v>
      </c>
      <c r="U471" t="s">
        <v>3291</v>
      </c>
    </row>
    <row r="472" spans="1:21" x14ac:dyDescent="0.25">
      <c r="A472">
        <v>479</v>
      </c>
      <c r="B472">
        <v>18907</v>
      </c>
      <c r="C472" t="s">
        <v>3292</v>
      </c>
      <c r="D472" t="s">
        <v>7285</v>
      </c>
      <c r="E472" t="s">
        <v>3296</v>
      </c>
      <c r="F472" t="s">
        <v>28</v>
      </c>
      <c r="G472" t="s">
        <v>3297</v>
      </c>
      <c r="H472" t="s">
        <v>30</v>
      </c>
      <c r="I472" s="12">
        <v>2203869527</v>
      </c>
      <c r="J472" t="s">
        <v>31</v>
      </c>
      <c r="K472" t="s">
        <v>7881</v>
      </c>
      <c r="L472" t="s">
        <v>7940</v>
      </c>
      <c r="M472" t="s">
        <v>455</v>
      </c>
      <c r="N472" t="s">
        <v>130</v>
      </c>
      <c r="O472" s="17" t="s">
        <v>7854</v>
      </c>
      <c r="P472" s="17">
        <v>425</v>
      </c>
      <c r="Q472" s="22" t="s">
        <v>7854</v>
      </c>
      <c r="R472" s="22">
        <v>0</v>
      </c>
      <c r="S472" s="24" t="s">
        <v>7854</v>
      </c>
      <c r="T472" s="24">
        <v>0</v>
      </c>
      <c r="U472" t="s">
        <v>3298</v>
      </c>
    </row>
    <row r="473" spans="1:21" x14ac:dyDescent="0.25">
      <c r="A473">
        <v>480</v>
      </c>
      <c r="B473">
        <v>7375</v>
      </c>
      <c r="C473" t="s">
        <v>3299</v>
      </c>
      <c r="D473" t="s">
        <v>7286</v>
      </c>
      <c r="E473" t="s">
        <v>7889</v>
      </c>
      <c r="F473" t="s">
        <v>28</v>
      </c>
      <c r="G473" t="s">
        <v>3303</v>
      </c>
      <c r="H473" t="s">
        <v>43</v>
      </c>
      <c r="I473" s="12">
        <v>8033616592</v>
      </c>
      <c r="J473" t="s">
        <v>31</v>
      </c>
      <c r="K473" t="s">
        <v>7886</v>
      </c>
      <c r="L473" t="s">
        <v>7888</v>
      </c>
      <c r="M473" t="s">
        <v>63</v>
      </c>
      <c r="N473" t="s">
        <v>33</v>
      </c>
      <c r="O473" s="17">
        <v>812500</v>
      </c>
      <c r="P473" s="17" t="s">
        <v>7854</v>
      </c>
      <c r="Q473" s="22">
        <v>0</v>
      </c>
      <c r="R473" s="22" t="s">
        <v>7854</v>
      </c>
      <c r="S473" s="24">
        <v>162500</v>
      </c>
      <c r="T473" s="24" t="s">
        <v>7854</v>
      </c>
      <c r="U473" t="s">
        <v>3304</v>
      </c>
    </row>
    <row r="474" spans="1:21" x14ac:dyDescent="0.25">
      <c r="A474">
        <v>481</v>
      </c>
      <c r="B474">
        <v>19397</v>
      </c>
      <c r="C474" t="s">
        <v>3305</v>
      </c>
      <c r="D474" t="s">
        <v>7287</v>
      </c>
      <c r="E474" t="s">
        <v>3307</v>
      </c>
      <c r="F474" t="s">
        <v>53</v>
      </c>
      <c r="G474" t="s">
        <v>3308</v>
      </c>
      <c r="H474" t="s">
        <v>43</v>
      </c>
      <c r="I474" s="13" t="s">
        <v>3309</v>
      </c>
      <c r="J474" t="s">
        <v>31</v>
      </c>
      <c r="K474" t="s">
        <v>7881</v>
      </c>
      <c r="L474" t="s">
        <v>8028</v>
      </c>
      <c r="M474" t="s">
        <v>63</v>
      </c>
      <c r="N474" t="s">
        <v>33</v>
      </c>
      <c r="O474" s="17">
        <v>552500</v>
      </c>
      <c r="P474" s="17" t="s">
        <v>7854</v>
      </c>
      <c r="Q474" s="22">
        <v>0</v>
      </c>
      <c r="R474" s="22" t="s">
        <v>7854</v>
      </c>
      <c r="S474" s="24">
        <v>0</v>
      </c>
      <c r="T474" s="24" t="s">
        <v>7854</v>
      </c>
      <c r="U474" t="s">
        <v>3310</v>
      </c>
    </row>
    <row r="475" spans="1:21" x14ac:dyDescent="0.25">
      <c r="A475">
        <v>482</v>
      </c>
      <c r="B475">
        <v>24306</v>
      </c>
      <c r="C475" t="s">
        <v>3311</v>
      </c>
      <c r="D475" t="s">
        <v>7288</v>
      </c>
      <c r="E475" t="s">
        <v>3315</v>
      </c>
      <c r="F475" t="s">
        <v>53</v>
      </c>
      <c r="G475" t="s">
        <v>3316</v>
      </c>
      <c r="H475" t="s">
        <v>453</v>
      </c>
      <c r="I475" s="12">
        <v>233551825918</v>
      </c>
      <c r="J475" t="s">
        <v>31</v>
      </c>
      <c r="K475" t="s">
        <v>7879</v>
      </c>
      <c r="L475" t="s">
        <v>7888</v>
      </c>
      <c r="M475" t="s">
        <v>455</v>
      </c>
      <c r="N475" t="s">
        <v>130</v>
      </c>
      <c r="O475" s="17" t="s">
        <v>7854</v>
      </c>
      <c r="P475" s="17">
        <v>150</v>
      </c>
      <c r="Q475" s="22" t="s">
        <v>7854</v>
      </c>
      <c r="R475" s="22">
        <v>0</v>
      </c>
      <c r="S475" s="24" t="s">
        <v>7854</v>
      </c>
      <c r="T475" s="24">
        <v>0</v>
      </c>
      <c r="U475" t="s">
        <v>3317</v>
      </c>
    </row>
    <row r="476" spans="1:21" x14ac:dyDescent="0.25">
      <c r="A476">
        <v>483</v>
      </c>
      <c r="B476">
        <v>21871</v>
      </c>
      <c r="C476" t="s">
        <v>3318</v>
      </c>
      <c r="D476" t="s">
        <v>7289</v>
      </c>
      <c r="E476" t="s">
        <v>3322</v>
      </c>
      <c r="F476" t="s">
        <v>28</v>
      </c>
      <c r="G476" t="s">
        <v>1095</v>
      </c>
      <c r="H476" t="s">
        <v>453</v>
      </c>
      <c r="I476" s="13" t="s">
        <v>3323</v>
      </c>
      <c r="J476" t="s">
        <v>45</v>
      </c>
      <c r="K476" t="s">
        <v>7879</v>
      </c>
      <c r="L476" t="s">
        <v>7893</v>
      </c>
      <c r="M476" t="s">
        <v>455</v>
      </c>
      <c r="N476" t="s">
        <v>130</v>
      </c>
      <c r="O476" s="17" t="s">
        <v>7854</v>
      </c>
      <c r="P476" s="17">
        <v>150</v>
      </c>
      <c r="Q476" s="22" t="s">
        <v>7854</v>
      </c>
      <c r="R476" s="22">
        <v>0</v>
      </c>
      <c r="S476" s="24" t="s">
        <v>7854</v>
      </c>
      <c r="T476" s="24">
        <v>0</v>
      </c>
      <c r="U476" t="s">
        <v>3324</v>
      </c>
    </row>
    <row r="477" spans="1:21" x14ac:dyDescent="0.25">
      <c r="A477">
        <v>484</v>
      </c>
      <c r="B477">
        <v>18934</v>
      </c>
      <c r="C477" t="s">
        <v>3325</v>
      </c>
      <c r="D477" t="s">
        <v>7290</v>
      </c>
      <c r="E477" t="s">
        <v>3328</v>
      </c>
      <c r="F477" t="s">
        <v>53</v>
      </c>
      <c r="G477" t="s">
        <v>3329</v>
      </c>
      <c r="H477" t="s">
        <v>453</v>
      </c>
      <c r="I477" s="12" t="s">
        <v>3330</v>
      </c>
      <c r="J477" t="s">
        <v>45</v>
      </c>
      <c r="K477" t="s">
        <v>7881</v>
      </c>
      <c r="L477" t="s">
        <v>7893</v>
      </c>
      <c r="M477" t="s">
        <v>455</v>
      </c>
      <c r="N477" t="s">
        <v>130</v>
      </c>
      <c r="O477" s="17" t="s">
        <v>7854</v>
      </c>
      <c r="P477" s="17">
        <v>425</v>
      </c>
      <c r="Q477" s="22" t="s">
        <v>7854</v>
      </c>
      <c r="R477" s="22">
        <v>0</v>
      </c>
      <c r="S477" s="24" t="s">
        <v>7854</v>
      </c>
      <c r="T477" s="24">
        <v>0</v>
      </c>
      <c r="U477" t="s">
        <v>3331</v>
      </c>
    </row>
    <row r="478" spans="1:21" x14ac:dyDescent="0.25">
      <c r="A478">
        <v>485</v>
      </c>
      <c r="B478">
        <v>23418</v>
      </c>
      <c r="C478" t="s">
        <v>3332</v>
      </c>
      <c r="D478" t="s">
        <v>7291</v>
      </c>
      <c r="E478" t="s">
        <v>3334</v>
      </c>
      <c r="F478" t="s">
        <v>28</v>
      </c>
      <c r="G478" t="s">
        <v>480</v>
      </c>
      <c r="H478" t="s">
        <v>453</v>
      </c>
      <c r="I478" s="13" t="s">
        <v>3335</v>
      </c>
      <c r="J478" t="s">
        <v>31</v>
      </c>
      <c r="K478" t="s">
        <v>7879</v>
      </c>
      <c r="L478" t="s">
        <v>7981</v>
      </c>
      <c r="M478" t="s">
        <v>455</v>
      </c>
      <c r="N478" t="s">
        <v>130</v>
      </c>
      <c r="O478" s="17" t="s">
        <v>7854</v>
      </c>
      <c r="P478" s="17">
        <v>150</v>
      </c>
      <c r="Q478" s="22" t="s">
        <v>7854</v>
      </c>
      <c r="R478" s="22">
        <v>0</v>
      </c>
      <c r="S478" s="24" t="s">
        <v>7854</v>
      </c>
      <c r="T478" s="24">
        <v>0</v>
      </c>
      <c r="U478" t="s">
        <v>3336</v>
      </c>
    </row>
    <row r="479" spans="1:21" x14ac:dyDescent="0.25">
      <c r="A479">
        <v>486</v>
      </c>
      <c r="B479">
        <v>19183</v>
      </c>
      <c r="C479" t="s">
        <v>3337</v>
      </c>
      <c r="D479" t="s">
        <v>7292</v>
      </c>
      <c r="E479" t="s">
        <v>7890</v>
      </c>
      <c r="F479" t="s">
        <v>28</v>
      </c>
      <c r="G479" t="s">
        <v>2295</v>
      </c>
      <c r="H479" t="s">
        <v>43</v>
      </c>
      <c r="I479" s="13" t="s">
        <v>3341</v>
      </c>
      <c r="J479" t="s">
        <v>31</v>
      </c>
      <c r="K479" t="s">
        <v>7881</v>
      </c>
      <c r="L479" t="s">
        <v>7888</v>
      </c>
      <c r="M479" t="s">
        <v>63</v>
      </c>
      <c r="N479" t="s">
        <v>33</v>
      </c>
      <c r="O479" s="17">
        <v>552500</v>
      </c>
      <c r="P479" s="17" t="s">
        <v>7854</v>
      </c>
      <c r="Q479" s="22">
        <v>110500</v>
      </c>
      <c r="R479" s="22" t="s">
        <v>7854</v>
      </c>
      <c r="S479" s="24">
        <v>0</v>
      </c>
      <c r="T479" s="24" t="s">
        <v>7854</v>
      </c>
      <c r="U479" t="s">
        <v>3342</v>
      </c>
    </row>
    <row r="480" spans="1:21" x14ac:dyDescent="0.25">
      <c r="A480">
        <v>487</v>
      </c>
      <c r="B480">
        <v>10973</v>
      </c>
      <c r="C480" t="s">
        <v>3343</v>
      </c>
      <c r="D480" t="s">
        <v>7293</v>
      </c>
      <c r="E480" t="s">
        <v>3346</v>
      </c>
      <c r="F480" t="s">
        <v>28</v>
      </c>
      <c r="G480" t="s">
        <v>3347</v>
      </c>
      <c r="H480" t="s">
        <v>43</v>
      </c>
      <c r="I480" s="13" t="s">
        <v>3348</v>
      </c>
      <c r="J480" t="s">
        <v>31</v>
      </c>
      <c r="K480" t="s">
        <v>7881</v>
      </c>
      <c r="L480" t="s">
        <v>7940</v>
      </c>
      <c r="M480" t="s">
        <v>46</v>
      </c>
      <c r="N480" t="s">
        <v>33</v>
      </c>
      <c r="O480" s="17">
        <v>552500</v>
      </c>
      <c r="P480" s="17" t="s">
        <v>7854</v>
      </c>
      <c r="Q480" s="22">
        <v>0</v>
      </c>
      <c r="R480" s="22" t="s">
        <v>7854</v>
      </c>
      <c r="S480" s="24">
        <v>0</v>
      </c>
      <c r="T480" s="24" t="s">
        <v>7854</v>
      </c>
      <c r="U480" t="s">
        <v>3349</v>
      </c>
    </row>
    <row r="481" spans="1:21" x14ac:dyDescent="0.25">
      <c r="A481">
        <v>488</v>
      </c>
      <c r="B481">
        <v>24042</v>
      </c>
      <c r="C481" t="s">
        <v>3350</v>
      </c>
      <c r="D481" t="s">
        <v>7294</v>
      </c>
      <c r="E481" t="s">
        <v>3354</v>
      </c>
      <c r="F481" t="s">
        <v>53</v>
      </c>
      <c r="G481" t="s">
        <v>3355</v>
      </c>
      <c r="H481" t="s">
        <v>43</v>
      </c>
      <c r="I481" s="13" t="s">
        <v>3356</v>
      </c>
      <c r="J481" t="s">
        <v>31</v>
      </c>
      <c r="K481" t="s">
        <v>7879</v>
      </c>
      <c r="L481" t="s">
        <v>8028</v>
      </c>
      <c r="M481" t="s">
        <v>46</v>
      </c>
      <c r="N481" t="s">
        <v>33</v>
      </c>
      <c r="O481" s="17">
        <v>195000</v>
      </c>
      <c r="P481" s="17" t="s">
        <v>7854</v>
      </c>
      <c r="Q481" s="22">
        <v>0</v>
      </c>
      <c r="R481" s="22" t="s">
        <v>7854</v>
      </c>
      <c r="S481" s="24">
        <v>0</v>
      </c>
      <c r="T481" s="24" t="s">
        <v>7854</v>
      </c>
      <c r="U481" t="s">
        <v>3357</v>
      </c>
    </row>
    <row r="482" spans="1:21" x14ac:dyDescent="0.25">
      <c r="A482">
        <v>489</v>
      </c>
      <c r="B482">
        <v>24338</v>
      </c>
      <c r="C482" t="s">
        <v>3358</v>
      </c>
      <c r="D482" t="s">
        <v>7295</v>
      </c>
      <c r="E482" t="s">
        <v>3362</v>
      </c>
      <c r="F482" t="s">
        <v>53</v>
      </c>
      <c r="G482" t="s">
        <v>3363</v>
      </c>
      <c r="H482" t="s">
        <v>43</v>
      </c>
      <c r="I482" s="13" t="s">
        <v>3364</v>
      </c>
      <c r="J482" t="s">
        <v>31</v>
      </c>
      <c r="K482" t="s">
        <v>7879</v>
      </c>
      <c r="L482" t="s">
        <v>7940</v>
      </c>
      <c r="M482" t="s">
        <v>63</v>
      </c>
      <c r="N482" t="s">
        <v>33</v>
      </c>
      <c r="O482" s="17">
        <v>195000</v>
      </c>
      <c r="P482" s="17" t="s">
        <v>7854</v>
      </c>
      <c r="Q482" s="22">
        <v>0</v>
      </c>
      <c r="R482" s="22" t="s">
        <v>7854</v>
      </c>
      <c r="S482" s="24">
        <v>0</v>
      </c>
      <c r="T482" s="24" t="s">
        <v>7854</v>
      </c>
      <c r="U482" t="s">
        <v>3365</v>
      </c>
    </row>
    <row r="483" spans="1:21" x14ac:dyDescent="0.25">
      <c r="A483">
        <v>490</v>
      </c>
      <c r="B483">
        <v>9431</v>
      </c>
      <c r="C483" t="s">
        <v>3366</v>
      </c>
      <c r="D483" t="s">
        <v>7296</v>
      </c>
      <c r="E483" t="s">
        <v>3370</v>
      </c>
      <c r="F483" t="s">
        <v>53</v>
      </c>
      <c r="G483" t="s">
        <v>3371</v>
      </c>
      <c r="H483" t="s">
        <v>43</v>
      </c>
      <c r="I483" s="13" t="s">
        <v>3372</v>
      </c>
      <c r="J483" t="s">
        <v>45</v>
      </c>
      <c r="K483" t="s">
        <v>7881</v>
      </c>
      <c r="L483" t="s">
        <v>7981</v>
      </c>
      <c r="M483" t="s">
        <v>46</v>
      </c>
      <c r="N483" t="s">
        <v>33</v>
      </c>
      <c r="O483" s="17">
        <v>552500</v>
      </c>
      <c r="P483" s="17" t="s">
        <v>7854</v>
      </c>
      <c r="Q483" s="22">
        <v>0</v>
      </c>
      <c r="R483" s="22" t="s">
        <v>7854</v>
      </c>
      <c r="S483" s="24">
        <v>0</v>
      </c>
      <c r="T483" s="24" t="s">
        <v>7854</v>
      </c>
      <c r="U483" t="s">
        <v>3373</v>
      </c>
    </row>
    <row r="484" spans="1:21" x14ac:dyDescent="0.25">
      <c r="A484">
        <v>491</v>
      </c>
      <c r="B484">
        <v>2852</v>
      </c>
      <c r="C484" t="s">
        <v>3374</v>
      </c>
      <c r="D484" t="s">
        <v>7297</v>
      </c>
      <c r="E484" t="s">
        <v>822</v>
      </c>
      <c r="F484" t="s">
        <v>28</v>
      </c>
      <c r="G484" t="s">
        <v>822</v>
      </c>
      <c r="H484" t="s">
        <v>43</v>
      </c>
      <c r="I484" s="12">
        <v>8035610091</v>
      </c>
      <c r="J484" t="s">
        <v>21</v>
      </c>
      <c r="K484" t="s">
        <v>7886</v>
      </c>
      <c r="L484" t="s">
        <v>7940</v>
      </c>
      <c r="M484" t="s">
        <v>46</v>
      </c>
      <c r="N484" t="s">
        <v>33</v>
      </c>
      <c r="O484" s="17">
        <v>812500</v>
      </c>
      <c r="P484" s="17" t="s">
        <v>7854</v>
      </c>
      <c r="Q484" s="22">
        <v>0</v>
      </c>
      <c r="R484" s="22" t="s">
        <v>7854</v>
      </c>
      <c r="S484" s="24">
        <v>162500</v>
      </c>
      <c r="T484" s="24" t="s">
        <v>7854</v>
      </c>
      <c r="U484" t="s">
        <v>3377</v>
      </c>
    </row>
    <row r="485" spans="1:21" x14ac:dyDescent="0.25">
      <c r="A485">
        <v>492</v>
      </c>
      <c r="B485">
        <v>19485</v>
      </c>
      <c r="C485" t="s">
        <v>3378</v>
      </c>
      <c r="D485" t="s">
        <v>7298</v>
      </c>
      <c r="E485" t="s">
        <v>3382</v>
      </c>
      <c r="F485" t="s">
        <v>28</v>
      </c>
      <c r="G485" t="s">
        <v>3383</v>
      </c>
      <c r="H485" t="s">
        <v>43</v>
      </c>
      <c r="I485" s="13" t="s">
        <v>3384</v>
      </c>
      <c r="J485" t="s">
        <v>31</v>
      </c>
      <c r="K485" t="s">
        <v>7881</v>
      </c>
      <c r="L485" t="s">
        <v>7940</v>
      </c>
      <c r="M485" t="s">
        <v>63</v>
      </c>
      <c r="N485" t="s">
        <v>33</v>
      </c>
      <c r="O485" s="17">
        <v>552500</v>
      </c>
      <c r="P485" s="17" t="s">
        <v>7854</v>
      </c>
      <c r="Q485" s="22">
        <v>0</v>
      </c>
      <c r="R485" s="22" t="s">
        <v>7854</v>
      </c>
      <c r="S485" s="24">
        <v>0</v>
      </c>
      <c r="T485" s="24" t="s">
        <v>7854</v>
      </c>
      <c r="U485" t="s">
        <v>3385</v>
      </c>
    </row>
    <row r="486" spans="1:21" s="5" customFormat="1" x14ac:dyDescent="0.25">
      <c r="A486" s="5">
        <v>493</v>
      </c>
      <c r="B486" s="5" t="s">
        <v>6811</v>
      </c>
      <c r="C486" s="5" t="s">
        <v>3386</v>
      </c>
      <c r="D486" t="s">
        <v>7299</v>
      </c>
      <c r="E486" s="5" t="s">
        <v>3389</v>
      </c>
      <c r="F486" s="5" t="s">
        <v>53</v>
      </c>
      <c r="G486" s="5" t="s">
        <v>3390</v>
      </c>
      <c r="H486" s="5" t="s">
        <v>43</v>
      </c>
      <c r="I486" s="14">
        <v>2348067117303</v>
      </c>
      <c r="J486" s="5" t="s">
        <v>31</v>
      </c>
      <c r="K486" s="5" t="s">
        <v>7886</v>
      </c>
      <c r="L486" s="5" t="s">
        <v>7981</v>
      </c>
      <c r="M486" s="5" t="s">
        <v>63</v>
      </c>
      <c r="N486" s="5" t="s">
        <v>33</v>
      </c>
      <c r="O486" s="17">
        <v>812500</v>
      </c>
      <c r="P486" s="17" t="s">
        <v>7854</v>
      </c>
      <c r="Q486" s="22">
        <v>0</v>
      </c>
      <c r="R486" s="22" t="s">
        <v>7854</v>
      </c>
      <c r="S486" s="24">
        <v>162500</v>
      </c>
      <c r="T486" s="24" t="s">
        <v>7854</v>
      </c>
      <c r="U486" s="5" t="s">
        <v>3391</v>
      </c>
    </row>
    <row r="487" spans="1:21" x14ac:dyDescent="0.25">
      <c r="A487">
        <v>494</v>
      </c>
      <c r="B487">
        <v>19075</v>
      </c>
      <c r="C487" t="s">
        <v>3392</v>
      </c>
      <c r="D487" t="s">
        <v>7300</v>
      </c>
      <c r="E487" t="s">
        <v>3396</v>
      </c>
      <c r="F487" t="s">
        <v>28</v>
      </c>
      <c r="G487" t="s">
        <v>3397</v>
      </c>
      <c r="H487" t="s">
        <v>43</v>
      </c>
      <c r="I487" s="13" t="s">
        <v>3398</v>
      </c>
      <c r="J487" t="s">
        <v>45</v>
      </c>
      <c r="K487" t="s">
        <v>7879</v>
      </c>
      <c r="L487" t="s">
        <v>7940</v>
      </c>
      <c r="M487" t="s">
        <v>46</v>
      </c>
      <c r="N487" t="s">
        <v>33</v>
      </c>
      <c r="O487" s="17">
        <v>195000</v>
      </c>
      <c r="P487" s="17" t="s">
        <v>7854</v>
      </c>
      <c r="Q487" s="22">
        <v>0</v>
      </c>
      <c r="R487" s="22" t="s">
        <v>7854</v>
      </c>
      <c r="S487" s="24">
        <v>0</v>
      </c>
      <c r="T487" s="24" t="s">
        <v>7854</v>
      </c>
      <c r="U487" t="s">
        <v>3399</v>
      </c>
    </row>
    <row r="488" spans="1:21" x14ac:dyDescent="0.25">
      <c r="A488">
        <v>495</v>
      </c>
      <c r="B488">
        <v>6410</v>
      </c>
      <c r="C488" t="s">
        <v>3400</v>
      </c>
      <c r="D488" t="s">
        <v>7301</v>
      </c>
      <c r="E488" t="s">
        <v>7995</v>
      </c>
      <c r="F488" t="s">
        <v>53</v>
      </c>
      <c r="G488" t="s">
        <v>3403</v>
      </c>
      <c r="H488" t="s">
        <v>43</v>
      </c>
      <c r="I488" s="12">
        <v>8035945036</v>
      </c>
      <c r="J488" t="s">
        <v>31</v>
      </c>
      <c r="K488" t="s">
        <v>7886</v>
      </c>
      <c r="L488" t="s">
        <v>7981</v>
      </c>
      <c r="M488" t="s">
        <v>46</v>
      </c>
      <c r="N488" t="s">
        <v>33</v>
      </c>
      <c r="O488" s="17">
        <v>812500</v>
      </c>
      <c r="P488" s="17" t="s">
        <v>7854</v>
      </c>
      <c r="Q488" s="22">
        <v>0</v>
      </c>
      <c r="R488" s="22" t="s">
        <v>7854</v>
      </c>
      <c r="S488" s="24">
        <v>162500</v>
      </c>
      <c r="T488" s="24" t="s">
        <v>7854</v>
      </c>
      <c r="U488" t="s">
        <v>3404</v>
      </c>
    </row>
    <row r="489" spans="1:21" x14ac:dyDescent="0.25">
      <c r="A489">
        <v>496</v>
      </c>
      <c r="B489">
        <v>11654</v>
      </c>
      <c r="C489" t="s">
        <v>3405</v>
      </c>
      <c r="D489" t="s">
        <v>7302</v>
      </c>
      <c r="E489" t="s">
        <v>3409</v>
      </c>
      <c r="F489" t="s">
        <v>28</v>
      </c>
      <c r="G489" t="s">
        <v>3410</v>
      </c>
      <c r="H489" t="s">
        <v>43</v>
      </c>
      <c r="I489" s="12">
        <v>7063035797</v>
      </c>
      <c r="J489" t="s">
        <v>31</v>
      </c>
      <c r="K489" t="s">
        <v>7881</v>
      </c>
      <c r="L489" t="s">
        <v>7888</v>
      </c>
      <c r="M489" t="s">
        <v>63</v>
      </c>
      <c r="N489" t="s">
        <v>33</v>
      </c>
      <c r="O489" s="17">
        <v>552500</v>
      </c>
      <c r="P489" s="17" t="s">
        <v>7854</v>
      </c>
      <c r="Q489" s="22">
        <v>110500</v>
      </c>
      <c r="R489" s="22" t="s">
        <v>7854</v>
      </c>
      <c r="S489" s="24">
        <v>0</v>
      </c>
      <c r="T489" s="24" t="s">
        <v>7854</v>
      </c>
      <c r="U489" t="s">
        <v>3411</v>
      </c>
    </row>
    <row r="490" spans="1:21" x14ac:dyDescent="0.25">
      <c r="A490">
        <v>497</v>
      </c>
      <c r="B490">
        <v>22460</v>
      </c>
      <c r="C490" t="s">
        <v>3412</v>
      </c>
      <c r="D490" t="s">
        <v>7303</v>
      </c>
      <c r="E490" t="s">
        <v>3415</v>
      </c>
      <c r="F490" t="s">
        <v>53</v>
      </c>
      <c r="G490" t="s">
        <v>3416</v>
      </c>
      <c r="H490" t="s">
        <v>43</v>
      </c>
      <c r="I490" s="13" t="s">
        <v>3417</v>
      </c>
      <c r="J490" t="s">
        <v>244</v>
      </c>
      <c r="K490" t="s">
        <v>7886</v>
      </c>
      <c r="L490" t="s">
        <v>7888</v>
      </c>
      <c r="M490" t="s">
        <v>46</v>
      </c>
      <c r="N490" t="s">
        <v>33</v>
      </c>
      <c r="O490" s="17">
        <v>812500</v>
      </c>
      <c r="P490" s="17" t="s">
        <v>7854</v>
      </c>
      <c r="Q490" s="22">
        <v>0</v>
      </c>
      <c r="R490" s="22" t="s">
        <v>7854</v>
      </c>
      <c r="S490" s="24">
        <v>0</v>
      </c>
      <c r="T490" s="24" t="s">
        <v>7854</v>
      </c>
      <c r="U490" t="s">
        <v>3418</v>
      </c>
    </row>
    <row r="491" spans="1:21" x14ac:dyDescent="0.25">
      <c r="A491">
        <v>498</v>
      </c>
      <c r="B491">
        <v>18883</v>
      </c>
      <c r="C491" t="s">
        <v>3419</v>
      </c>
      <c r="D491" t="s">
        <v>7304</v>
      </c>
      <c r="E491" t="s">
        <v>3422</v>
      </c>
      <c r="F491" t="s">
        <v>28</v>
      </c>
      <c r="G491" t="s">
        <v>1152</v>
      </c>
      <c r="H491" t="s">
        <v>30</v>
      </c>
      <c r="I491" s="12">
        <v>2207098127</v>
      </c>
      <c r="J491" t="s">
        <v>31</v>
      </c>
      <c r="K491" t="s">
        <v>7881</v>
      </c>
      <c r="L491" t="s">
        <v>7940</v>
      </c>
      <c r="M491" t="s">
        <v>32</v>
      </c>
      <c r="N491" t="s">
        <v>130</v>
      </c>
      <c r="O491" s="17" t="s">
        <v>7854</v>
      </c>
      <c r="P491" s="17">
        <v>425</v>
      </c>
      <c r="Q491" s="22" t="s">
        <v>7854</v>
      </c>
      <c r="R491" s="22">
        <v>0</v>
      </c>
      <c r="S491" s="24" t="s">
        <v>7854</v>
      </c>
      <c r="T491" s="24">
        <v>0</v>
      </c>
      <c r="U491" t="s">
        <v>3423</v>
      </c>
    </row>
    <row r="492" spans="1:21" x14ac:dyDescent="0.25">
      <c r="A492">
        <v>499</v>
      </c>
      <c r="B492">
        <v>20023</v>
      </c>
      <c r="C492" t="s">
        <v>3424</v>
      </c>
      <c r="D492" t="s">
        <v>7305</v>
      </c>
      <c r="E492" t="s">
        <v>7996</v>
      </c>
      <c r="F492" t="s">
        <v>53</v>
      </c>
      <c r="G492" t="s">
        <v>3428</v>
      </c>
      <c r="H492" t="s">
        <v>43</v>
      </c>
      <c r="I492" s="12" t="s">
        <v>3429</v>
      </c>
      <c r="J492" t="s">
        <v>31</v>
      </c>
      <c r="K492" t="s">
        <v>7881</v>
      </c>
      <c r="L492" t="s">
        <v>7981</v>
      </c>
      <c r="M492" t="s">
        <v>87</v>
      </c>
      <c r="N492" t="s">
        <v>33</v>
      </c>
      <c r="O492" s="17">
        <v>552500</v>
      </c>
      <c r="P492" s="17" t="s">
        <v>7854</v>
      </c>
      <c r="Q492" s="22">
        <v>0</v>
      </c>
      <c r="R492" s="22" t="s">
        <v>7854</v>
      </c>
      <c r="S492" s="24">
        <v>0</v>
      </c>
      <c r="T492" s="24" t="s">
        <v>7854</v>
      </c>
      <c r="U492" t="s">
        <v>3430</v>
      </c>
    </row>
    <row r="493" spans="1:21" x14ac:dyDescent="0.25">
      <c r="A493">
        <v>500</v>
      </c>
      <c r="B493">
        <v>19297</v>
      </c>
      <c r="C493" t="s">
        <v>3431</v>
      </c>
      <c r="D493" t="s">
        <v>7306</v>
      </c>
      <c r="E493" t="s">
        <v>7921</v>
      </c>
      <c r="F493" t="s">
        <v>53</v>
      </c>
      <c r="G493" t="s">
        <v>3434</v>
      </c>
      <c r="H493" t="s">
        <v>43</v>
      </c>
      <c r="I493" s="13" t="s">
        <v>3435</v>
      </c>
      <c r="J493" t="s">
        <v>31</v>
      </c>
      <c r="K493" t="s">
        <v>7881</v>
      </c>
      <c r="L493" t="s">
        <v>7893</v>
      </c>
      <c r="M493" t="s">
        <v>46</v>
      </c>
      <c r="N493" t="s">
        <v>33</v>
      </c>
      <c r="O493" s="17">
        <v>552500</v>
      </c>
      <c r="P493" s="17" t="s">
        <v>7854</v>
      </c>
      <c r="Q493" s="22">
        <v>0</v>
      </c>
      <c r="R493" s="22" t="s">
        <v>7854</v>
      </c>
      <c r="S493" s="24">
        <v>0</v>
      </c>
      <c r="T493" s="24" t="s">
        <v>7854</v>
      </c>
      <c r="U493" t="s">
        <v>3436</v>
      </c>
    </row>
    <row r="494" spans="1:21" s="8" customFormat="1" x14ac:dyDescent="0.25">
      <c r="A494" s="8">
        <v>501</v>
      </c>
      <c r="B494" s="8">
        <v>24404</v>
      </c>
      <c r="C494" s="8" t="s">
        <v>3437</v>
      </c>
      <c r="D494" t="s">
        <v>7307</v>
      </c>
      <c r="E494" s="8" t="s">
        <v>3441</v>
      </c>
      <c r="F494" s="8" t="s">
        <v>28</v>
      </c>
      <c r="G494" s="8" t="s">
        <v>3442</v>
      </c>
      <c r="H494" s="8" t="s">
        <v>43</v>
      </c>
      <c r="I494" s="15" t="s">
        <v>3443</v>
      </c>
      <c r="J494" s="8" t="s">
        <v>31</v>
      </c>
      <c r="K494" s="8" t="s">
        <v>7879</v>
      </c>
      <c r="L494" s="8" t="s">
        <v>7981</v>
      </c>
      <c r="M494" s="8" t="s">
        <v>46</v>
      </c>
      <c r="N494" s="8" t="s">
        <v>33</v>
      </c>
      <c r="O494" s="17">
        <v>195000</v>
      </c>
      <c r="P494" s="17" t="s">
        <v>7854</v>
      </c>
      <c r="Q494" s="22">
        <v>0</v>
      </c>
      <c r="R494" s="22" t="s">
        <v>7854</v>
      </c>
      <c r="S494" s="24">
        <v>0</v>
      </c>
      <c r="T494" s="24" t="s">
        <v>7854</v>
      </c>
      <c r="U494" s="8" t="s">
        <v>3444</v>
      </c>
    </row>
    <row r="495" spans="1:21" x14ac:dyDescent="0.25">
      <c r="A495">
        <v>502</v>
      </c>
      <c r="B495">
        <v>2318</v>
      </c>
      <c r="C495" t="s">
        <v>3445</v>
      </c>
      <c r="D495" t="s">
        <v>7308</v>
      </c>
      <c r="E495" t="s">
        <v>3448</v>
      </c>
      <c r="F495" t="s">
        <v>53</v>
      </c>
      <c r="G495" t="s">
        <v>3449</v>
      </c>
      <c r="H495" t="s">
        <v>43</v>
      </c>
      <c r="I495" s="13" t="s">
        <v>3450</v>
      </c>
      <c r="J495" t="s">
        <v>31</v>
      </c>
      <c r="K495" t="s">
        <v>7886</v>
      </c>
      <c r="L495" t="s">
        <v>7893</v>
      </c>
      <c r="M495" t="s">
        <v>46</v>
      </c>
      <c r="N495" t="s">
        <v>33</v>
      </c>
      <c r="O495" s="17">
        <v>812500</v>
      </c>
      <c r="P495" s="17" t="s">
        <v>7854</v>
      </c>
      <c r="Q495" s="22">
        <v>0</v>
      </c>
      <c r="R495" s="22" t="s">
        <v>7854</v>
      </c>
      <c r="S495" s="24">
        <v>162500</v>
      </c>
      <c r="T495" s="24" t="s">
        <v>7854</v>
      </c>
      <c r="U495" t="s">
        <v>3451</v>
      </c>
    </row>
    <row r="496" spans="1:21" x14ac:dyDescent="0.25">
      <c r="A496">
        <v>503</v>
      </c>
      <c r="B496">
        <v>1892</v>
      </c>
      <c r="C496" t="s">
        <v>3452</v>
      </c>
      <c r="D496" t="s">
        <v>7309</v>
      </c>
      <c r="E496" t="s">
        <v>7922</v>
      </c>
      <c r="F496" t="s">
        <v>28</v>
      </c>
      <c r="G496" t="s">
        <v>3456</v>
      </c>
      <c r="H496" t="s">
        <v>43</v>
      </c>
      <c r="I496" s="13" t="s">
        <v>3457</v>
      </c>
      <c r="J496" t="s">
        <v>31</v>
      </c>
      <c r="K496" t="s">
        <v>7881</v>
      </c>
      <c r="L496" t="s">
        <v>7893</v>
      </c>
      <c r="M496" t="s">
        <v>46</v>
      </c>
      <c r="N496" t="s">
        <v>33</v>
      </c>
      <c r="O496" s="17">
        <v>552500</v>
      </c>
      <c r="P496" s="17" t="s">
        <v>7854</v>
      </c>
      <c r="Q496" s="22">
        <v>0</v>
      </c>
      <c r="R496" s="22" t="s">
        <v>7854</v>
      </c>
      <c r="S496" s="24">
        <v>0</v>
      </c>
      <c r="T496" s="24" t="s">
        <v>7854</v>
      </c>
      <c r="U496" t="s">
        <v>3458</v>
      </c>
    </row>
    <row r="497" spans="1:21" x14ac:dyDescent="0.25">
      <c r="A497">
        <v>504</v>
      </c>
      <c r="B497">
        <v>18626</v>
      </c>
      <c r="C497" t="s">
        <v>3459</v>
      </c>
      <c r="D497" t="s">
        <v>7310</v>
      </c>
      <c r="E497" t="s">
        <v>3461</v>
      </c>
      <c r="F497" t="s">
        <v>28</v>
      </c>
      <c r="G497" t="s">
        <v>3462</v>
      </c>
      <c r="H497" t="s">
        <v>43</v>
      </c>
      <c r="I497" s="13" t="s">
        <v>3463</v>
      </c>
      <c r="J497" t="s">
        <v>45</v>
      </c>
      <c r="K497" t="s">
        <v>7881</v>
      </c>
      <c r="L497" t="s">
        <v>7981</v>
      </c>
      <c r="M497" t="s">
        <v>46</v>
      </c>
      <c r="N497" t="s">
        <v>33</v>
      </c>
      <c r="O497" s="17">
        <v>552500</v>
      </c>
      <c r="P497" s="17" t="s">
        <v>7854</v>
      </c>
      <c r="Q497" s="22">
        <v>0</v>
      </c>
      <c r="R497" s="22" t="s">
        <v>7854</v>
      </c>
      <c r="S497" s="24">
        <v>0</v>
      </c>
      <c r="T497" s="24" t="s">
        <v>7854</v>
      </c>
      <c r="U497" t="s">
        <v>3464</v>
      </c>
    </row>
    <row r="498" spans="1:21" x14ac:dyDescent="0.25">
      <c r="A498">
        <v>505</v>
      </c>
      <c r="B498">
        <v>23969</v>
      </c>
      <c r="C498" t="s">
        <v>3465</v>
      </c>
      <c r="D498" t="s">
        <v>7311</v>
      </c>
      <c r="E498" t="s">
        <v>3469</v>
      </c>
      <c r="F498" t="s">
        <v>53</v>
      </c>
      <c r="G498" t="s">
        <v>3470</v>
      </c>
      <c r="H498" t="s">
        <v>453</v>
      </c>
      <c r="I498" s="13" t="s">
        <v>3471</v>
      </c>
      <c r="J498" t="s">
        <v>31</v>
      </c>
      <c r="K498" t="s">
        <v>7879</v>
      </c>
      <c r="L498" t="s">
        <v>7888</v>
      </c>
      <c r="M498" t="s">
        <v>455</v>
      </c>
      <c r="N498" t="s">
        <v>130</v>
      </c>
      <c r="O498" s="17" t="s">
        <v>7854</v>
      </c>
      <c r="P498" s="17">
        <v>150</v>
      </c>
      <c r="Q498" s="22" t="s">
        <v>7854</v>
      </c>
      <c r="R498" s="22">
        <v>0</v>
      </c>
      <c r="S498" s="24" t="s">
        <v>7854</v>
      </c>
      <c r="T498" s="24">
        <v>0</v>
      </c>
      <c r="U498" t="s">
        <v>3472</v>
      </c>
    </row>
    <row r="499" spans="1:21" x14ac:dyDescent="0.25">
      <c r="A499">
        <v>506</v>
      </c>
      <c r="B499">
        <v>24411</v>
      </c>
      <c r="C499" t="s">
        <v>3473</v>
      </c>
      <c r="D499" t="s">
        <v>7312</v>
      </c>
      <c r="E499" t="s">
        <v>3475</v>
      </c>
      <c r="F499" t="s">
        <v>28</v>
      </c>
      <c r="G499" t="s">
        <v>3476</v>
      </c>
      <c r="H499" t="s">
        <v>43</v>
      </c>
      <c r="I499" s="13" t="s">
        <v>3477</v>
      </c>
      <c r="J499" t="s">
        <v>31</v>
      </c>
      <c r="K499" t="s">
        <v>7879</v>
      </c>
      <c r="L499" t="s">
        <v>7981</v>
      </c>
      <c r="M499" t="s">
        <v>46</v>
      </c>
      <c r="N499" t="s">
        <v>33</v>
      </c>
      <c r="O499" s="17">
        <v>195000</v>
      </c>
      <c r="P499" s="17" t="s">
        <v>7854</v>
      </c>
      <c r="Q499" s="22">
        <v>0</v>
      </c>
      <c r="R499" s="22" t="s">
        <v>7854</v>
      </c>
      <c r="S499" s="24">
        <v>0</v>
      </c>
      <c r="T499" s="24" t="s">
        <v>7854</v>
      </c>
      <c r="U499" t="s">
        <v>3478</v>
      </c>
    </row>
    <row r="500" spans="1:21" x14ac:dyDescent="0.25">
      <c r="A500">
        <v>507</v>
      </c>
      <c r="B500">
        <v>10729</v>
      </c>
      <c r="C500" t="s">
        <v>3479</v>
      </c>
      <c r="D500" t="s">
        <v>7313</v>
      </c>
      <c r="E500" t="s">
        <v>3482</v>
      </c>
      <c r="F500" t="s">
        <v>28</v>
      </c>
      <c r="G500" t="s">
        <v>3483</v>
      </c>
      <c r="H500" t="s">
        <v>43</v>
      </c>
      <c r="I500" s="13" t="s">
        <v>3484</v>
      </c>
      <c r="J500" t="s">
        <v>31</v>
      </c>
      <c r="K500" t="s">
        <v>7886</v>
      </c>
      <c r="L500" t="s">
        <v>7940</v>
      </c>
      <c r="M500" t="s">
        <v>63</v>
      </c>
      <c r="N500" t="s">
        <v>33</v>
      </c>
      <c r="O500" s="17">
        <v>812500</v>
      </c>
      <c r="P500" s="17" t="s">
        <v>7854</v>
      </c>
      <c r="Q500" s="22">
        <v>0</v>
      </c>
      <c r="R500" s="22" t="s">
        <v>7854</v>
      </c>
      <c r="S500" s="24">
        <v>162500</v>
      </c>
      <c r="T500" s="24" t="s">
        <v>7854</v>
      </c>
      <c r="U500" t="s">
        <v>3485</v>
      </c>
    </row>
    <row r="501" spans="1:21" x14ac:dyDescent="0.25">
      <c r="A501">
        <v>508</v>
      </c>
      <c r="B501">
        <v>24367</v>
      </c>
      <c r="C501" t="s">
        <v>3486</v>
      </c>
      <c r="D501" t="s">
        <v>7314</v>
      </c>
      <c r="E501" t="s">
        <v>3490</v>
      </c>
      <c r="F501" t="s">
        <v>53</v>
      </c>
      <c r="G501" t="s">
        <v>3491</v>
      </c>
      <c r="H501" t="s">
        <v>43</v>
      </c>
      <c r="I501" s="13" t="s">
        <v>3492</v>
      </c>
      <c r="J501" t="s">
        <v>31</v>
      </c>
      <c r="K501" t="s">
        <v>7879</v>
      </c>
      <c r="L501" t="s">
        <v>7893</v>
      </c>
      <c r="M501" t="s">
        <v>63</v>
      </c>
      <c r="N501" t="s">
        <v>33</v>
      </c>
      <c r="O501" s="17">
        <v>195000</v>
      </c>
      <c r="P501" s="17" t="s">
        <v>7854</v>
      </c>
      <c r="Q501" s="22">
        <v>0</v>
      </c>
      <c r="R501" s="22" t="s">
        <v>7854</v>
      </c>
      <c r="S501" s="24">
        <v>0</v>
      </c>
      <c r="T501" s="24" t="s">
        <v>7854</v>
      </c>
      <c r="U501" t="s">
        <v>3493</v>
      </c>
    </row>
    <row r="502" spans="1:21" x14ac:dyDescent="0.25">
      <c r="A502">
        <v>509</v>
      </c>
      <c r="B502">
        <v>8469</v>
      </c>
      <c r="C502" t="s">
        <v>3494</v>
      </c>
      <c r="D502" t="s">
        <v>7315</v>
      </c>
      <c r="E502" t="s">
        <v>7957</v>
      </c>
      <c r="F502" t="s">
        <v>28</v>
      </c>
      <c r="G502" t="s">
        <v>3498</v>
      </c>
      <c r="H502" t="s">
        <v>43</v>
      </c>
      <c r="I502" s="13" t="s">
        <v>3499</v>
      </c>
      <c r="J502" t="s">
        <v>2333</v>
      </c>
      <c r="K502" t="s">
        <v>7886</v>
      </c>
      <c r="L502" t="s">
        <v>7940</v>
      </c>
      <c r="M502" t="s">
        <v>63</v>
      </c>
      <c r="N502" t="s">
        <v>33</v>
      </c>
      <c r="O502" s="17">
        <v>812500</v>
      </c>
      <c r="P502" s="17" t="s">
        <v>7854</v>
      </c>
      <c r="Q502" s="22">
        <v>0</v>
      </c>
      <c r="R502" s="22" t="s">
        <v>7854</v>
      </c>
      <c r="S502" s="24">
        <v>162500</v>
      </c>
      <c r="T502" s="24" t="s">
        <v>7854</v>
      </c>
      <c r="U502" t="s">
        <v>3500</v>
      </c>
    </row>
    <row r="503" spans="1:21" x14ac:dyDescent="0.25">
      <c r="A503">
        <v>510</v>
      </c>
      <c r="B503">
        <v>5985</v>
      </c>
      <c r="C503" t="s">
        <v>3501</v>
      </c>
      <c r="D503" t="s">
        <v>7316</v>
      </c>
      <c r="E503" t="s">
        <v>7997</v>
      </c>
      <c r="F503" t="s">
        <v>28</v>
      </c>
      <c r="G503" t="s">
        <v>3505</v>
      </c>
      <c r="H503" t="s">
        <v>43</v>
      </c>
      <c r="I503" s="12">
        <v>8038616091</v>
      </c>
      <c r="J503" t="s">
        <v>31</v>
      </c>
      <c r="K503" t="s">
        <v>7886</v>
      </c>
      <c r="L503" t="s">
        <v>7981</v>
      </c>
      <c r="M503" t="s">
        <v>63</v>
      </c>
      <c r="N503" t="s">
        <v>33</v>
      </c>
      <c r="O503" s="17">
        <v>812500</v>
      </c>
      <c r="P503" s="17" t="s">
        <v>7854</v>
      </c>
      <c r="Q503" s="22">
        <v>0</v>
      </c>
      <c r="R503" s="22" t="s">
        <v>7854</v>
      </c>
      <c r="S503" s="24">
        <v>162500</v>
      </c>
      <c r="T503" s="24" t="s">
        <v>7854</v>
      </c>
      <c r="U503" t="s">
        <v>3506</v>
      </c>
    </row>
    <row r="504" spans="1:21" x14ac:dyDescent="0.25">
      <c r="A504">
        <v>511</v>
      </c>
      <c r="B504">
        <v>19074</v>
      </c>
      <c r="C504" t="s">
        <v>3507</v>
      </c>
      <c r="D504" t="s">
        <v>7317</v>
      </c>
      <c r="E504" t="s">
        <v>3510</v>
      </c>
      <c r="F504" t="s">
        <v>53</v>
      </c>
      <c r="G504" t="s">
        <v>289</v>
      </c>
      <c r="H504" t="s">
        <v>43</v>
      </c>
      <c r="I504" s="12">
        <v>2348102562592</v>
      </c>
      <c r="J504" t="s">
        <v>31</v>
      </c>
      <c r="K504" t="s">
        <v>7881</v>
      </c>
      <c r="L504" t="s">
        <v>7888</v>
      </c>
      <c r="M504" t="s">
        <v>63</v>
      </c>
      <c r="N504" t="s">
        <v>33</v>
      </c>
      <c r="O504" s="17">
        <v>552500</v>
      </c>
      <c r="P504" s="17" t="s">
        <v>7854</v>
      </c>
      <c r="Q504" s="22">
        <v>110500</v>
      </c>
      <c r="R504" s="22" t="s">
        <v>7854</v>
      </c>
      <c r="S504" s="24">
        <v>0</v>
      </c>
      <c r="T504" s="24" t="s">
        <v>7854</v>
      </c>
      <c r="U504" t="s">
        <v>3511</v>
      </c>
    </row>
    <row r="505" spans="1:21" x14ac:dyDescent="0.25">
      <c r="A505">
        <v>512</v>
      </c>
      <c r="B505">
        <v>24447</v>
      </c>
      <c r="C505" t="s">
        <v>3512</v>
      </c>
      <c r="D505" t="s">
        <v>7318</v>
      </c>
      <c r="E505" t="s">
        <v>3515</v>
      </c>
      <c r="F505" t="s">
        <v>53</v>
      </c>
      <c r="G505" t="s">
        <v>3516</v>
      </c>
      <c r="H505" t="s">
        <v>43</v>
      </c>
      <c r="I505" s="13" t="s">
        <v>3517</v>
      </c>
      <c r="J505" t="s">
        <v>31</v>
      </c>
      <c r="K505" t="s">
        <v>7879</v>
      </c>
      <c r="L505" t="s">
        <v>7940</v>
      </c>
      <c r="M505" t="s">
        <v>87</v>
      </c>
      <c r="N505" t="s">
        <v>33</v>
      </c>
      <c r="O505" s="17">
        <v>195000</v>
      </c>
      <c r="P505" s="17" t="s">
        <v>7854</v>
      </c>
      <c r="Q505" s="22">
        <v>0</v>
      </c>
      <c r="R505" s="22" t="s">
        <v>7854</v>
      </c>
      <c r="S505" s="24">
        <v>0</v>
      </c>
      <c r="T505" s="24" t="s">
        <v>7854</v>
      </c>
      <c r="U505" t="s">
        <v>3518</v>
      </c>
    </row>
    <row r="506" spans="1:21" x14ac:dyDescent="0.25">
      <c r="A506">
        <v>513</v>
      </c>
      <c r="B506">
        <v>2500</v>
      </c>
      <c r="C506" t="s">
        <v>3519</v>
      </c>
      <c r="D506" t="s">
        <v>7319</v>
      </c>
      <c r="E506" t="s">
        <v>7998</v>
      </c>
      <c r="F506" t="s">
        <v>28</v>
      </c>
      <c r="G506" t="s">
        <v>3523</v>
      </c>
      <c r="H506" t="s">
        <v>43</v>
      </c>
      <c r="I506" s="12">
        <v>8037181071</v>
      </c>
      <c r="J506" t="s">
        <v>31</v>
      </c>
      <c r="K506" t="s">
        <v>7886</v>
      </c>
      <c r="L506" t="s">
        <v>7981</v>
      </c>
      <c r="M506" t="s">
        <v>46</v>
      </c>
      <c r="N506" t="s">
        <v>33</v>
      </c>
      <c r="O506" s="17">
        <v>812500</v>
      </c>
      <c r="P506" s="17" t="s">
        <v>7854</v>
      </c>
      <c r="Q506" s="22">
        <v>0</v>
      </c>
      <c r="R506" s="22" t="s">
        <v>7854</v>
      </c>
      <c r="S506" s="24">
        <v>162500</v>
      </c>
      <c r="T506" s="24" t="s">
        <v>7854</v>
      </c>
      <c r="U506" t="s">
        <v>3524</v>
      </c>
    </row>
    <row r="507" spans="1:21" x14ac:dyDescent="0.25">
      <c r="A507">
        <v>514</v>
      </c>
      <c r="B507">
        <v>24399</v>
      </c>
      <c r="C507" t="s">
        <v>3525</v>
      </c>
      <c r="D507" t="s">
        <v>7320</v>
      </c>
      <c r="E507" t="s">
        <v>3528</v>
      </c>
      <c r="F507" t="s">
        <v>28</v>
      </c>
      <c r="G507" t="s">
        <v>1252</v>
      </c>
      <c r="H507" t="s">
        <v>43</v>
      </c>
      <c r="I507" s="13" t="s">
        <v>3529</v>
      </c>
      <c r="J507" t="s">
        <v>31</v>
      </c>
      <c r="K507" t="s">
        <v>7879</v>
      </c>
      <c r="L507" t="s">
        <v>8028</v>
      </c>
      <c r="M507" t="s">
        <v>63</v>
      </c>
      <c r="N507" t="s">
        <v>33</v>
      </c>
      <c r="O507" s="17">
        <v>195000</v>
      </c>
      <c r="P507" s="17" t="s">
        <v>7854</v>
      </c>
      <c r="Q507" s="22">
        <v>0</v>
      </c>
      <c r="R507" s="22" t="s">
        <v>7854</v>
      </c>
      <c r="S507" s="24">
        <v>0</v>
      </c>
      <c r="T507" s="24" t="s">
        <v>7854</v>
      </c>
      <c r="U507" t="s">
        <v>3530</v>
      </c>
    </row>
    <row r="508" spans="1:21" x14ac:dyDescent="0.25">
      <c r="A508">
        <v>515</v>
      </c>
      <c r="B508">
        <v>5366</v>
      </c>
      <c r="C508" t="s">
        <v>3531</v>
      </c>
      <c r="D508" t="s">
        <v>7321</v>
      </c>
      <c r="E508" t="s">
        <v>3534</v>
      </c>
      <c r="F508" t="s">
        <v>28</v>
      </c>
      <c r="G508" t="s">
        <v>3535</v>
      </c>
      <c r="H508" t="s">
        <v>43</v>
      </c>
      <c r="I508" s="13" t="s">
        <v>3536</v>
      </c>
      <c r="J508" t="s">
        <v>45</v>
      </c>
      <c r="K508" t="s">
        <v>7881</v>
      </c>
      <c r="L508" t="s">
        <v>7981</v>
      </c>
      <c r="M508" t="s">
        <v>63</v>
      </c>
      <c r="N508" t="s">
        <v>33</v>
      </c>
      <c r="O508" s="17">
        <v>552500</v>
      </c>
      <c r="P508" s="17" t="s">
        <v>7854</v>
      </c>
      <c r="Q508" s="22">
        <v>0</v>
      </c>
      <c r="R508" s="22" t="s">
        <v>7854</v>
      </c>
      <c r="S508" s="24">
        <v>0</v>
      </c>
      <c r="T508" s="24" t="s">
        <v>7854</v>
      </c>
      <c r="U508" t="s">
        <v>3537</v>
      </c>
    </row>
    <row r="509" spans="1:21" x14ac:dyDescent="0.25">
      <c r="A509">
        <v>516</v>
      </c>
      <c r="B509">
        <v>24407</v>
      </c>
      <c r="C509" t="s">
        <v>3538</v>
      </c>
      <c r="D509" t="s">
        <v>7322</v>
      </c>
      <c r="E509" t="s">
        <v>3541</v>
      </c>
      <c r="F509" t="s">
        <v>53</v>
      </c>
      <c r="G509" t="s">
        <v>3542</v>
      </c>
      <c r="H509" t="s">
        <v>43</v>
      </c>
      <c r="I509" s="13" t="s">
        <v>3543</v>
      </c>
      <c r="J509" t="s">
        <v>31</v>
      </c>
      <c r="K509" t="s">
        <v>7879</v>
      </c>
      <c r="L509" t="s">
        <v>7893</v>
      </c>
      <c r="M509" t="s">
        <v>87</v>
      </c>
      <c r="N509" t="s">
        <v>33</v>
      </c>
      <c r="O509" s="17">
        <v>195000</v>
      </c>
      <c r="P509" s="17" t="s">
        <v>7854</v>
      </c>
      <c r="Q509" s="22">
        <v>0</v>
      </c>
      <c r="R509" s="22" t="s">
        <v>7854</v>
      </c>
      <c r="S509" s="24">
        <v>0</v>
      </c>
      <c r="T509" s="24" t="s">
        <v>7854</v>
      </c>
      <c r="U509" t="s">
        <v>3544</v>
      </c>
    </row>
    <row r="510" spans="1:21" x14ac:dyDescent="0.25">
      <c r="A510">
        <v>517</v>
      </c>
      <c r="B510">
        <v>24184</v>
      </c>
      <c r="C510" t="s">
        <v>3545</v>
      </c>
      <c r="D510" t="s">
        <v>7323</v>
      </c>
      <c r="E510" t="s">
        <v>3548</v>
      </c>
      <c r="F510" t="s">
        <v>53</v>
      </c>
      <c r="G510" t="s">
        <v>3549</v>
      </c>
      <c r="H510" t="s">
        <v>43</v>
      </c>
      <c r="I510" s="13" t="s">
        <v>3550</v>
      </c>
      <c r="J510" t="s">
        <v>31</v>
      </c>
      <c r="K510" t="s">
        <v>7879</v>
      </c>
      <c r="L510" t="s">
        <v>7981</v>
      </c>
      <c r="M510" t="s">
        <v>63</v>
      </c>
      <c r="N510" t="s">
        <v>33</v>
      </c>
      <c r="O510" s="17">
        <v>195000</v>
      </c>
      <c r="P510" s="17" t="s">
        <v>7854</v>
      </c>
      <c r="Q510" s="22">
        <v>0</v>
      </c>
      <c r="R510" s="22" t="s">
        <v>7854</v>
      </c>
      <c r="S510" s="24">
        <v>0</v>
      </c>
      <c r="T510" s="24" t="s">
        <v>7854</v>
      </c>
      <c r="U510" t="s">
        <v>3551</v>
      </c>
    </row>
    <row r="511" spans="1:21" x14ac:dyDescent="0.25">
      <c r="A511">
        <v>518</v>
      </c>
      <c r="B511">
        <v>19880</v>
      </c>
      <c r="C511" t="s">
        <v>3552</v>
      </c>
      <c r="D511" t="s">
        <v>7324</v>
      </c>
      <c r="E511" t="s">
        <v>3556</v>
      </c>
      <c r="F511" t="s">
        <v>53</v>
      </c>
      <c r="G511" t="s">
        <v>3557</v>
      </c>
      <c r="H511" t="s">
        <v>43</v>
      </c>
      <c r="I511" s="12">
        <v>2348030832758</v>
      </c>
      <c r="J511" t="s">
        <v>31</v>
      </c>
      <c r="K511" t="s">
        <v>7886</v>
      </c>
      <c r="L511" t="s">
        <v>7888</v>
      </c>
      <c r="M511" t="s">
        <v>46</v>
      </c>
      <c r="N511" t="s">
        <v>33</v>
      </c>
      <c r="O511" s="17">
        <v>812500</v>
      </c>
      <c r="P511" s="17" t="s">
        <v>7854</v>
      </c>
      <c r="Q511" s="22">
        <v>0</v>
      </c>
      <c r="R511" s="22" t="s">
        <v>7854</v>
      </c>
      <c r="S511" s="24">
        <v>162500</v>
      </c>
      <c r="T511" s="24" t="s">
        <v>7854</v>
      </c>
      <c r="U511" t="s">
        <v>3558</v>
      </c>
    </row>
    <row r="512" spans="1:21" x14ac:dyDescent="0.25">
      <c r="A512">
        <v>519</v>
      </c>
      <c r="B512">
        <v>7602</v>
      </c>
      <c r="C512" t="s">
        <v>3559</v>
      </c>
      <c r="D512" t="s">
        <v>7325</v>
      </c>
      <c r="E512" t="s">
        <v>7958</v>
      </c>
      <c r="F512" t="s">
        <v>53</v>
      </c>
      <c r="G512" t="s">
        <v>3563</v>
      </c>
      <c r="H512" t="s">
        <v>43</v>
      </c>
      <c r="I512" s="13" t="s">
        <v>3564</v>
      </c>
      <c r="J512" t="s">
        <v>31</v>
      </c>
      <c r="K512" t="s">
        <v>7886</v>
      </c>
      <c r="L512" t="s">
        <v>7940</v>
      </c>
      <c r="M512" t="s">
        <v>63</v>
      </c>
      <c r="N512" t="s">
        <v>33</v>
      </c>
      <c r="O512" s="17">
        <v>812500</v>
      </c>
      <c r="P512" s="17" t="s">
        <v>7854</v>
      </c>
      <c r="Q512" s="22">
        <v>0</v>
      </c>
      <c r="R512" s="22" t="s">
        <v>7854</v>
      </c>
      <c r="S512" s="24">
        <v>162500</v>
      </c>
      <c r="T512" s="24" t="s">
        <v>7854</v>
      </c>
      <c r="U512" t="s">
        <v>3565</v>
      </c>
    </row>
    <row r="513" spans="1:21" x14ac:dyDescent="0.25">
      <c r="A513">
        <v>520</v>
      </c>
      <c r="B513">
        <v>1223</v>
      </c>
      <c r="C513" t="s">
        <v>3566</v>
      </c>
      <c r="D513" t="s">
        <v>7326</v>
      </c>
      <c r="E513" t="s">
        <v>3568</v>
      </c>
      <c r="F513" t="s">
        <v>28</v>
      </c>
      <c r="G513" t="s">
        <v>3569</v>
      </c>
      <c r="H513" t="s">
        <v>43</v>
      </c>
      <c r="I513" s="13" t="s">
        <v>3570</v>
      </c>
      <c r="J513" t="s">
        <v>45</v>
      </c>
      <c r="K513" t="s">
        <v>7881</v>
      </c>
      <c r="L513" t="s">
        <v>7981</v>
      </c>
      <c r="M513" t="s">
        <v>46</v>
      </c>
      <c r="N513" t="s">
        <v>33</v>
      </c>
      <c r="O513" s="17">
        <v>552500</v>
      </c>
      <c r="P513" s="17" t="s">
        <v>7854</v>
      </c>
      <c r="Q513" s="22">
        <v>0</v>
      </c>
      <c r="R513" s="22" t="s">
        <v>7854</v>
      </c>
      <c r="S513" s="24">
        <v>0</v>
      </c>
      <c r="T513" s="24" t="s">
        <v>7854</v>
      </c>
      <c r="U513" t="s">
        <v>3571</v>
      </c>
    </row>
    <row r="514" spans="1:21" x14ac:dyDescent="0.25">
      <c r="A514">
        <v>521</v>
      </c>
      <c r="B514">
        <v>3112</v>
      </c>
      <c r="C514" t="s">
        <v>3572</v>
      </c>
      <c r="D514" t="s">
        <v>7327</v>
      </c>
      <c r="E514" t="s">
        <v>3574</v>
      </c>
      <c r="F514" t="s">
        <v>28</v>
      </c>
      <c r="G514" t="s">
        <v>3575</v>
      </c>
      <c r="H514" t="s">
        <v>43</v>
      </c>
      <c r="I514" s="12">
        <v>8037034147</v>
      </c>
      <c r="J514" t="s">
        <v>31</v>
      </c>
      <c r="K514" t="s">
        <v>7886</v>
      </c>
      <c r="L514" t="s">
        <v>7888</v>
      </c>
      <c r="M514" t="s">
        <v>46</v>
      </c>
      <c r="N514" t="s">
        <v>33</v>
      </c>
      <c r="O514" s="17">
        <v>812500</v>
      </c>
      <c r="P514" s="17" t="s">
        <v>7854</v>
      </c>
      <c r="Q514" s="22">
        <v>0</v>
      </c>
      <c r="R514" s="22" t="s">
        <v>7854</v>
      </c>
      <c r="S514" s="24">
        <v>162500</v>
      </c>
      <c r="T514" s="24" t="s">
        <v>7854</v>
      </c>
      <c r="U514" t="s">
        <v>3576</v>
      </c>
    </row>
    <row r="515" spans="1:21" x14ac:dyDescent="0.25">
      <c r="A515">
        <v>522</v>
      </c>
      <c r="B515">
        <v>24401</v>
      </c>
      <c r="C515" t="s">
        <v>3577</v>
      </c>
      <c r="D515" t="s">
        <v>7328</v>
      </c>
      <c r="E515" t="s">
        <v>3581</v>
      </c>
      <c r="F515" t="s">
        <v>53</v>
      </c>
      <c r="G515" t="s">
        <v>3582</v>
      </c>
      <c r="H515" t="s">
        <v>43</v>
      </c>
      <c r="I515" s="13" t="s">
        <v>3583</v>
      </c>
      <c r="J515" t="s">
        <v>31</v>
      </c>
      <c r="K515" t="s">
        <v>7879</v>
      </c>
      <c r="L515" t="s">
        <v>7940</v>
      </c>
      <c r="M515" t="s">
        <v>63</v>
      </c>
      <c r="N515" t="s">
        <v>33</v>
      </c>
      <c r="O515" s="17">
        <v>195000</v>
      </c>
      <c r="P515" s="17" t="s">
        <v>7854</v>
      </c>
      <c r="Q515" s="22">
        <v>0</v>
      </c>
      <c r="R515" s="22" t="s">
        <v>7854</v>
      </c>
      <c r="S515" s="24">
        <v>0</v>
      </c>
      <c r="T515" s="24" t="s">
        <v>7854</v>
      </c>
      <c r="U515" t="s">
        <v>3584</v>
      </c>
    </row>
    <row r="516" spans="1:21" x14ac:dyDescent="0.25">
      <c r="A516">
        <v>523</v>
      </c>
      <c r="B516">
        <v>20497</v>
      </c>
      <c r="C516" t="s">
        <v>3585</v>
      </c>
      <c r="D516" t="s">
        <v>7329</v>
      </c>
      <c r="E516" t="s">
        <v>3589</v>
      </c>
      <c r="F516" t="s">
        <v>53</v>
      </c>
      <c r="G516" t="s">
        <v>1945</v>
      </c>
      <c r="H516" t="s">
        <v>43</v>
      </c>
      <c r="I516" s="13" t="s">
        <v>3590</v>
      </c>
      <c r="J516" t="s">
        <v>31</v>
      </c>
      <c r="K516" t="s">
        <v>7881</v>
      </c>
      <c r="L516" t="s">
        <v>7888</v>
      </c>
      <c r="M516" t="s">
        <v>46</v>
      </c>
      <c r="N516" t="s">
        <v>33</v>
      </c>
      <c r="O516" s="17">
        <v>552500</v>
      </c>
      <c r="P516" s="17" t="s">
        <v>7854</v>
      </c>
      <c r="Q516" s="22">
        <v>110500</v>
      </c>
      <c r="R516" s="22" t="s">
        <v>7854</v>
      </c>
      <c r="S516" s="24">
        <v>0</v>
      </c>
      <c r="T516" s="24" t="s">
        <v>7854</v>
      </c>
      <c r="U516" t="s">
        <v>3591</v>
      </c>
    </row>
    <row r="517" spans="1:21" x14ac:dyDescent="0.25">
      <c r="A517">
        <v>524</v>
      </c>
      <c r="B517">
        <v>21277</v>
      </c>
      <c r="C517" t="s">
        <v>3592</v>
      </c>
      <c r="D517" t="s">
        <v>7330</v>
      </c>
      <c r="E517" t="s">
        <v>3596</v>
      </c>
      <c r="F517" t="s">
        <v>53</v>
      </c>
      <c r="G517" t="s">
        <v>2512</v>
      </c>
      <c r="H517" t="s">
        <v>43</v>
      </c>
      <c r="I517" s="13" t="s">
        <v>3597</v>
      </c>
      <c r="J517" t="s">
        <v>31</v>
      </c>
      <c r="K517" t="s">
        <v>7881</v>
      </c>
      <c r="L517" t="s">
        <v>7981</v>
      </c>
      <c r="M517" t="s">
        <v>63</v>
      </c>
      <c r="N517" t="s">
        <v>33</v>
      </c>
      <c r="O517" s="17">
        <v>552500</v>
      </c>
      <c r="P517" s="17" t="s">
        <v>7854</v>
      </c>
      <c r="Q517" s="22">
        <v>0</v>
      </c>
      <c r="R517" s="22" t="s">
        <v>7854</v>
      </c>
      <c r="S517" s="24">
        <v>0</v>
      </c>
      <c r="T517" s="24" t="s">
        <v>7854</v>
      </c>
      <c r="U517" t="s">
        <v>3598</v>
      </c>
    </row>
    <row r="518" spans="1:21" x14ac:dyDescent="0.25">
      <c r="A518">
        <v>525</v>
      </c>
      <c r="B518">
        <v>6044</v>
      </c>
      <c r="C518" t="s">
        <v>3599</v>
      </c>
      <c r="D518" t="s">
        <v>7331</v>
      </c>
      <c r="E518" t="s">
        <v>3602</v>
      </c>
      <c r="F518" t="s">
        <v>28</v>
      </c>
      <c r="G518" t="s">
        <v>3603</v>
      </c>
      <c r="H518" t="s">
        <v>43</v>
      </c>
      <c r="I518" s="12">
        <v>8036914049</v>
      </c>
      <c r="J518" t="s">
        <v>31</v>
      </c>
      <c r="K518" t="s">
        <v>7886</v>
      </c>
      <c r="L518" t="s">
        <v>7888</v>
      </c>
      <c r="M518" t="s">
        <v>46</v>
      </c>
      <c r="N518" t="s">
        <v>33</v>
      </c>
      <c r="O518" s="17">
        <v>812500</v>
      </c>
      <c r="P518" s="17" t="s">
        <v>7854</v>
      </c>
      <c r="Q518" s="22">
        <v>0</v>
      </c>
      <c r="R518" s="22" t="s">
        <v>7854</v>
      </c>
      <c r="S518" s="24">
        <v>162500</v>
      </c>
      <c r="T518" s="24" t="s">
        <v>7854</v>
      </c>
      <c r="U518" t="s">
        <v>3604</v>
      </c>
    </row>
    <row r="519" spans="1:21" x14ac:dyDescent="0.25">
      <c r="A519">
        <v>526</v>
      </c>
      <c r="B519">
        <v>8222</v>
      </c>
      <c r="C519" t="s">
        <v>3605</v>
      </c>
      <c r="D519" t="s">
        <v>7332</v>
      </c>
      <c r="E519" t="s">
        <v>3609</v>
      </c>
      <c r="F519" t="s">
        <v>53</v>
      </c>
      <c r="G519" t="s">
        <v>3610</v>
      </c>
      <c r="H519" t="s">
        <v>43</v>
      </c>
      <c r="I519" s="12">
        <v>8030880899</v>
      </c>
      <c r="J519" t="s">
        <v>31</v>
      </c>
      <c r="K519" t="s">
        <v>7886</v>
      </c>
      <c r="L519" t="s">
        <v>7888</v>
      </c>
      <c r="M519" t="s">
        <v>46</v>
      </c>
      <c r="N519" t="s">
        <v>33</v>
      </c>
      <c r="O519" s="17">
        <v>812500</v>
      </c>
      <c r="P519" s="17" t="s">
        <v>7854</v>
      </c>
      <c r="Q519" s="22">
        <v>0</v>
      </c>
      <c r="R519" s="22" t="s">
        <v>7854</v>
      </c>
      <c r="S519" s="24">
        <v>162500</v>
      </c>
      <c r="T519" s="24" t="s">
        <v>7854</v>
      </c>
      <c r="U519" t="s">
        <v>3611</v>
      </c>
    </row>
    <row r="520" spans="1:21" x14ac:dyDescent="0.25">
      <c r="A520">
        <v>527</v>
      </c>
      <c r="B520">
        <v>24091</v>
      </c>
      <c r="C520" t="s">
        <v>3612</v>
      </c>
      <c r="D520" t="s">
        <v>7333</v>
      </c>
      <c r="E520" t="s">
        <v>3615</v>
      </c>
      <c r="F520" t="s">
        <v>28</v>
      </c>
      <c r="G520" t="s">
        <v>3616</v>
      </c>
      <c r="H520" t="s">
        <v>43</v>
      </c>
      <c r="I520" s="13" t="s">
        <v>3617</v>
      </c>
      <c r="J520" t="s">
        <v>31</v>
      </c>
      <c r="K520" t="s">
        <v>7879</v>
      </c>
      <c r="L520" t="s">
        <v>7940</v>
      </c>
      <c r="M520" t="s">
        <v>63</v>
      </c>
      <c r="N520" t="s">
        <v>33</v>
      </c>
      <c r="O520" s="17">
        <v>195000</v>
      </c>
      <c r="P520" s="17" t="s">
        <v>7854</v>
      </c>
      <c r="Q520" s="22">
        <v>0</v>
      </c>
      <c r="R520" s="22" t="s">
        <v>7854</v>
      </c>
      <c r="S520" s="24">
        <v>0</v>
      </c>
      <c r="T520" s="24" t="s">
        <v>7854</v>
      </c>
      <c r="U520" t="s">
        <v>3618</v>
      </c>
    </row>
    <row r="521" spans="1:21" x14ac:dyDescent="0.25">
      <c r="A521">
        <v>528</v>
      </c>
      <c r="B521">
        <v>10473</v>
      </c>
      <c r="C521" t="s">
        <v>3619</v>
      </c>
      <c r="D521" t="s">
        <v>7334</v>
      </c>
      <c r="E521" t="s">
        <v>7959</v>
      </c>
      <c r="F521" t="s">
        <v>53</v>
      </c>
      <c r="G521" t="s">
        <v>3623</v>
      </c>
      <c r="H521" t="s">
        <v>43</v>
      </c>
      <c r="I521" s="12">
        <v>2349136446611</v>
      </c>
      <c r="J521" t="s">
        <v>21</v>
      </c>
      <c r="K521" t="s">
        <v>7886</v>
      </c>
      <c r="L521" t="s">
        <v>7940</v>
      </c>
      <c r="M521" t="s">
        <v>63</v>
      </c>
      <c r="N521" t="s">
        <v>33</v>
      </c>
      <c r="O521" s="17">
        <v>812500</v>
      </c>
      <c r="P521" s="17" t="s">
        <v>7854</v>
      </c>
      <c r="Q521" s="22">
        <v>0</v>
      </c>
      <c r="R521" s="22" t="s">
        <v>7854</v>
      </c>
      <c r="S521" s="24">
        <v>162500</v>
      </c>
      <c r="T521" s="24" t="s">
        <v>7854</v>
      </c>
      <c r="U521" t="s">
        <v>3624</v>
      </c>
    </row>
    <row r="522" spans="1:21" x14ac:dyDescent="0.25">
      <c r="A522">
        <v>529</v>
      </c>
      <c r="B522">
        <v>4302</v>
      </c>
      <c r="C522" t="s">
        <v>3625</v>
      </c>
      <c r="D522" t="s">
        <v>7335</v>
      </c>
      <c r="E522" t="s">
        <v>3628</v>
      </c>
      <c r="F522" t="s">
        <v>53</v>
      </c>
      <c r="G522" t="s">
        <v>2878</v>
      </c>
      <c r="H522" t="s">
        <v>43</v>
      </c>
      <c r="I522" s="12">
        <v>7030924299</v>
      </c>
      <c r="J522" t="s">
        <v>31</v>
      </c>
      <c r="K522" t="s">
        <v>7881</v>
      </c>
      <c r="L522" t="s">
        <v>7940</v>
      </c>
      <c r="M522" t="s">
        <v>46</v>
      </c>
      <c r="N522" t="s">
        <v>33</v>
      </c>
      <c r="O522" s="17">
        <v>552500</v>
      </c>
      <c r="P522" s="17" t="s">
        <v>7854</v>
      </c>
      <c r="Q522" s="22">
        <v>0</v>
      </c>
      <c r="R522" s="22" t="s">
        <v>7854</v>
      </c>
      <c r="S522" s="24">
        <v>0</v>
      </c>
      <c r="T522" s="24" t="s">
        <v>7854</v>
      </c>
      <c r="U522" t="s">
        <v>3629</v>
      </c>
    </row>
    <row r="523" spans="1:21" x14ac:dyDescent="0.25">
      <c r="A523">
        <v>530</v>
      </c>
      <c r="B523">
        <v>24342</v>
      </c>
      <c r="C523" t="s">
        <v>3630</v>
      </c>
      <c r="D523" t="s">
        <v>7336</v>
      </c>
      <c r="E523" t="s">
        <v>3634</v>
      </c>
      <c r="F523" t="s">
        <v>28</v>
      </c>
      <c r="G523" t="s">
        <v>3635</v>
      </c>
      <c r="H523" t="s">
        <v>43</v>
      </c>
      <c r="I523" s="13" t="s">
        <v>3636</v>
      </c>
      <c r="J523" t="s">
        <v>31</v>
      </c>
      <c r="K523" t="s">
        <v>7879</v>
      </c>
      <c r="L523" t="s">
        <v>7893</v>
      </c>
      <c r="M523" t="s">
        <v>63</v>
      </c>
      <c r="N523" t="s">
        <v>33</v>
      </c>
      <c r="O523" s="17">
        <v>195000</v>
      </c>
      <c r="P523" s="17" t="s">
        <v>7854</v>
      </c>
      <c r="Q523" s="22">
        <v>0</v>
      </c>
      <c r="R523" s="22" t="s">
        <v>7854</v>
      </c>
      <c r="S523" s="24">
        <v>0</v>
      </c>
      <c r="T523" s="24" t="s">
        <v>7854</v>
      </c>
      <c r="U523" t="s">
        <v>3637</v>
      </c>
    </row>
    <row r="524" spans="1:21" x14ac:dyDescent="0.25">
      <c r="A524">
        <v>531</v>
      </c>
      <c r="B524">
        <v>18457</v>
      </c>
      <c r="C524" t="s">
        <v>3638</v>
      </c>
      <c r="D524" t="s">
        <v>7337</v>
      </c>
      <c r="E524" t="s">
        <v>3641</v>
      </c>
      <c r="F524" t="s">
        <v>28</v>
      </c>
      <c r="G524" t="s">
        <v>3642</v>
      </c>
      <c r="H524" t="s">
        <v>43</v>
      </c>
      <c r="I524" s="13" t="s">
        <v>3643</v>
      </c>
      <c r="J524" t="s">
        <v>31</v>
      </c>
      <c r="K524" t="s">
        <v>7881</v>
      </c>
      <c r="L524" t="s">
        <v>7940</v>
      </c>
      <c r="M524" t="s">
        <v>63</v>
      </c>
      <c r="N524" t="s">
        <v>33</v>
      </c>
      <c r="O524" s="17">
        <v>552500</v>
      </c>
      <c r="P524" s="17" t="s">
        <v>7854</v>
      </c>
      <c r="Q524" s="22">
        <v>110500</v>
      </c>
      <c r="R524" s="22" t="s">
        <v>7854</v>
      </c>
      <c r="S524" s="24">
        <v>0</v>
      </c>
      <c r="T524" s="24" t="s">
        <v>7854</v>
      </c>
      <c r="U524" t="s">
        <v>3644</v>
      </c>
    </row>
    <row r="525" spans="1:21" x14ac:dyDescent="0.25">
      <c r="A525">
        <v>532</v>
      </c>
      <c r="B525">
        <v>11044</v>
      </c>
      <c r="C525" t="s">
        <v>3645</v>
      </c>
      <c r="D525" t="s">
        <v>7338</v>
      </c>
      <c r="E525" t="s">
        <v>3647</v>
      </c>
      <c r="F525" t="s">
        <v>28</v>
      </c>
      <c r="G525" t="s">
        <v>3648</v>
      </c>
      <c r="H525" t="s">
        <v>43</v>
      </c>
      <c r="I525" s="12">
        <v>8149794612</v>
      </c>
      <c r="J525" t="s">
        <v>31</v>
      </c>
      <c r="K525" t="s">
        <v>7881</v>
      </c>
      <c r="L525" t="s">
        <v>7893</v>
      </c>
      <c r="M525" t="s">
        <v>46</v>
      </c>
      <c r="N525" t="s">
        <v>33</v>
      </c>
      <c r="O525" s="17">
        <v>552500</v>
      </c>
      <c r="P525" s="17" t="s">
        <v>7854</v>
      </c>
      <c r="Q525" s="22">
        <v>0</v>
      </c>
      <c r="R525" s="22" t="s">
        <v>7854</v>
      </c>
      <c r="S525" s="24">
        <v>0</v>
      </c>
      <c r="T525" s="24" t="s">
        <v>7854</v>
      </c>
      <c r="U525" t="s">
        <v>3649</v>
      </c>
    </row>
    <row r="526" spans="1:21" x14ac:dyDescent="0.25">
      <c r="A526">
        <v>533</v>
      </c>
      <c r="B526">
        <v>24444</v>
      </c>
      <c r="C526" t="s">
        <v>3650</v>
      </c>
      <c r="D526" t="s">
        <v>7339</v>
      </c>
      <c r="E526" t="s">
        <v>3654</v>
      </c>
      <c r="F526" t="s">
        <v>53</v>
      </c>
      <c r="G526" t="s">
        <v>3655</v>
      </c>
      <c r="H526" t="s">
        <v>765</v>
      </c>
      <c r="I526" s="13" t="s">
        <v>3656</v>
      </c>
      <c r="J526" t="s">
        <v>31</v>
      </c>
      <c r="K526" t="s">
        <v>7879</v>
      </c>
      <c r="L526" t="s">
        <v>7981</v>
      </c>
      <c r="M526" t="s">
        <v>1480</v>
      </c>
      <c r="N526" t="s">
        <v>33</v>
      </c>
      <c r="O526" s="17">
        <v>195000</v>
      </c>
      <c r="P526" s="17" t="s">
        <v>7854</v>
      </c>
      <c r="Q526" s="22">
        <v>0</v>
      </c>
      <c r="R526" s="22" t="s">
        <v>7854</v>
      </c>
      <c r="S526" s="24">
        <v>0</v>
      </c>
      <c r="T526" s="24" t="s">
        <v>7854</v>
      </c>
      <c r="U526" t="s">
        <v>3657</v>
      </c>
    </row>
    <row r="527" spans="1:21" x14ac:dyDescent="0.25">
      <c r="A527">
        <v>534</v>
      </c>
      <c r="B527">
        <v>21873</v>
      </c>
      <c r="C527" s="11" t="s">
        <v>3658</v>
      </c>
      <c r="D527" t="s">
        <v>7340</v>
      </c>
      <c r="E527" t="s">
        <v>3660</v>
      </c>
      <c r="F527" t="s">
        <v>53</v>
      </c>
      <c r="G527" t="s">
        <v>3661</v>
      </c>
      <c r="H527" t="s">
        <v>43</v>
      </c>
      <c r="I527" s="13" t="s">
        <v>3662</v>
      </c>
      <c r="J527" t="s">
        <v>31</v>
      </c>
      <c r="K527" t="s">
        <v>7881</v>
      </c>
      <c r="L527" t="s">
        <v>7888</v>
      </c>
      <c r="M527" t="s">
        <v>46</v>
      </c>
      <c r="N527" t="s">
        <v>33</v>
      </c>
      <c r="O527" s="17">
        <v>552500</v>
      </c>
      <c r="P527" s="17" t="s">
        <v>7854</v>
      </c>
      <c r="Q527" s="22">
        <v>110500</v>
      </c>
      <c r="R527" s="22" t="s">
        <v>7854</v>
      </c>
      <c r="S527" s="24">
        <v>0</v>
      </c>
      <c r="T527" s="24" t="s">
        <v>7854</v>
      </c>
      <c r="U527" t="s">
        <v>3663</v>
      </c>
    </row>
    <row r="528" spans="1:21" x14ac:dyDescent="0.25">
      <c r="A528">
        <v>535</v>
      </c>
      <c r="B528">
        <v>24384</v>
      </c>
      <c r="C528" t="s">
        <v>3664</v>
      </c>
      <c r="D528" t="s">
        <v>7341</v>
      </c>
      <c r="E528" t="s">
        <v>3667</v>
      </c>
      <c r="F528" t="s">
        <v>28</v>
      </c>
      <c r="G528" t="s">
        <v>3668</v>
      </c>
      <c r="H528" t="s">
        <v>43</v>
      </c>
      <c r="I528" s="13" t="s">
        <v>3669</v>
      </c>
      <c r="J528" t="s">
        <v>31</v>
      </c>
      <c r="K528" t="s">
        <v>7879</v>
      </c>
      <c r="L528" t="s">
        <v>7981</v>
      </c>
      <c r="M528" t="s">
        <v>46</v>
      </c>
      <c r="N528" t="s">
        <v>33</v>
      </c>
      <c r="O528" s="17">
        <v>195000</v>
      </c>
      <c r="P528" s="17" t="s">
        <v>7854</v>
      </c>
      <c r="Q528" s="22">
        <v>0</v>
      </c>
      <c r="R528" s="22" t="s">
        <v>7854</v>
      </c>
      <c r="S528" s="24">
        <v>0</v>
      </c>
      <c r="T528" s="24" t="s">
        <v>7854</v>
      </c>
      <c r="U528" t="s">
        <v>3670</v>
      </c>
    </row>
    <row r="529" spans="1:21" x14ac:dyDescent="0.25">
      <c r="A529">
        <v>536</v>
      </c>
      <c r="B529">
        <v>6664</v>
      </c>
      <c r="C529" t="s">
        <v>3671</v>
      </c>
      <c r="D529" t="s">
        <v>7342</v>
      </c>
      <c r="E529" t="s">
        <v>3675</v>
      </c>
      <c r="F529" t="s">
        <v>53</v>
      </c>
      <c r="G529" t="s">
        <v>3676</v>
      </c>
      <c r="H529" t="s">
        <v>43</v>
      </c>
      <c r="I529" s="13" t="s">
        <v>3677</v>
      </c>
      <c r="J529" t="s">
        <v>31</v>
      </c>
      <c r="K529" t="s">
        <v>7886</v>
      </c>
      <c r="L529" t="s">
        <v>7940</v>
      </c>
      <c r="M529" t="s">
        <v>46</v>
      </c>
      <c r="N529" t="s">
        <v>33</v>
      </c>
      <c r="O529" s="17">
        <v>812500</v>
      </c>
      <c r="P529" s="17" t="s">
        <v>7854</v>
      </c>
      <c r="Q529" s="22">
        <v>0</v>
      </c>
      <c r="R529" s="22" t="s">
        <v>7854</v>
      </c>
      <c r="S529" s="24">
        <v>162500</v>
      </c>
      <c r="T529" s="24" t="s">
        <v>7854</v>
      </c>
      <c r="U529" t="s">
        <v>3678</v>
      </c>
    </row>
    <row r="530" spans="1:21" x14ac:dyDescent="0.25">
      <c r="A530">
        <v>537</v>
      </c>
      <c r="B530">
        <v>11012</v>
      </c>
      <c r="C530" t="s">
        <v>3679</v>
      </c>
      <c r="D530" t="s">
        <v>7343</v>
      </c>
      <c r="E530" t="s">
        <v>3680</v>
      </c>
      <c r="F530" t="s">
        <v>28</v>
      </c>
      <c r="G530" t="s">
        <v>3681</v>
      </c>
      <c r="H530" t="s">
        <v>43</v>
      </c>
      <c r="I530" s="12">
        <v>8067193124</v>
      </c>
      <c r="J530" t="s">
        <v>31</v>
      </c>
      <c r="K530" t="s">
        <v>7881</v>
      </c>
      <c r="L530" t="s">
        <v>7940</v>
      </c>
      <c r="M530" t="s">
        <v>46</v>
      </c>
      <c r="N530" t="s">
        <v>33</v>
      </c>
      <c r="O530" s="17">
        <v>552500</v>
      </c>
      <c r="P530" s="17" t="s">
        <v>7854</v>
      </c>
      <c r="Q530" s="22">
        <v>0</v>
      </c>
      <c r="R530" s="22" t="s">
        <v>7854</v>
      </c>
      <c r="S530" s="24">
        <v>0</v>
      </c>
      <c r="T530" s="24" t="s">
        <v>7854</v>
      </c>
      <c r="U530" t="s">
        <v>3682</v>
      </c>
    </row>
    <row r="531" spans="1:21" x14ac:dyDescent="0.25">
      <c r="A531">
        <v>538</v>
      </c>
      <c r="B531">
        <v>24465</v>
      </c>
      <c r="C531" t="s">
        <v>3683</v>
      </c>
      <c r="D531" t="s">
        <v>7344</v>
      </c>
      <c r="E531" t="s">
        <v>3686</v>
      </c>
      <c r="F531" t="s">
        <v>28</v>
      </c>
      <c r="G531" t="s">
        <v>3687</v>
      </c>
      <c r="H531" t="s">
        <v>43</v>
      </c>
      <c r="I531" s="13" t="s">
        <v>3688</v>
      </c>
      <c r="J531" t="s">
        <v>31</v>
      </c>
      <c r="K531" t="s">
        <v>7879</v>
      </c>
      <c r="L531" t="s">
        <v>7888</v>
      </c>
      <c r="M531" t="s">
        <v>46</v>
      </c>
      <c r="N531" t="s">
        <v>33</v>
      </c>
      <c r="O531" s="17">
        <v>195000</v>
      </c>
      <c r="P531" s="17" t="s">
        <v>7854</v>
      </c>
      <c r="Q531" s="22">
        <v>0</v>
      </c>
      <c r="R531" s="22" t="s">
        <v>7854</v>
      </c>
      <c r="S531" s="24">
        <v>0</v>
      </c>
      <c r="T531" s="24" t="s">
        <v>7854</v>
      </c>
      <c r="U531" t="s">
        <v>3689</v>
      </c>
    </row>
    <row r="532" spans="1:21" x14ac:dyDescent="0.25">
      <c r="A532">
        <v>539</v>
      </c>
      <c r="B532">
        <v>20273</v>
      </c>
      <c r="C532" t="s">
        <v>3690</v>
      </c>
      <c r="D532" t="s">
        <v>7345</v>
      </c>
      <c r="E532" t="s">
        <v>3693</v>
      </c>
      <c r="F532" t="s">
        <v>53</v>
      </c>
      <c r="G532" t="s">
        <v>3694</v>
      </c>
      <c r="H532" t="s">
        <v>43</v>
      </c>
      <c r="I532" s="12">
        <v>2348025265640</v>
      </c>
      <c r="J532" t="s">
        <v>31</v>
      </c>
      <c r="K532" t="s">
        <v>7881</v>
      </c>
      <c r="L532" t="s">
        <v>7893</v>
      </c>
      <c r="M532" t="s">
        <v>46</v>
      </c>
      <c r="N532" t="s">
        <v>33</v>
      </c>
      <c r="O532" s="17">
        <v>552500</v>
      </c>
      <c r="P532" s="17" t="s">
        <v>7854</v>
      </c>
      <c r="Q532" s="22">
        <v>0</v>
      </c>
      <c r="R532" s="22" t="s">
        <v>7854</v>
      </c>
      <c r="S532" s="24">
        <v>0</v>
      </c>
      <c r="T532" s="24" t="s">
        <v>7854</v>
      </c>
      <c r="U532" t="s">
        <v>3695</v>
      </c>
    </row>
    <row r="533" spans="1:21" x14ac:dyDescent="0.25">
      <c r="A533">
        <v>540</v>
      </c>
      <c r="B533">
        <v>24457</v>
      </c>
      <c r="C533" t="s">
        <v>3696</v>
      </c>
      <c r="D533" t="s">
        <v>7346</v>
      </c>
      <c r="E533" t="s">
        <v>3698</v>
      </c>
      <c r="F533" t="s">
        <v>28</v>
      </c>
      <c r="G533" t="s">
        <v>3699</v>
      </c>
      <c r="H533" t="s">
        <v>765</v>
      </c>
      <c r="I533" s="12" t="s">
        <v>3700</v>
      </c>
      <c r="J533" t="s">
        <v>31</v>
      </c>
      <c r="K533" t="s">
        <v>7879</v>
      </c>
      <c r="L533" t="s">
        <v>7981</v>
      </c>
      <c r="M533" t="s">
        <v>1480</v>
      </c>
      <c r="N533" t="s">
        <v>33</v>
      </c>
      <c r="O533" s="17">
        <v>195000</v>
      </c>
      <c r="P533" s="17" t="s">
        <v>7854</v>
      </c>
      <c r="Q533" s="22">
        <v>0</v>
      </c>
      <c r="R533" s="22" t="s">
        <v>7854</v>
      </c>
      <c r="S533" s="24">
        <v>0</v>
      </c>
      <c r="T533" s="24" t="s">
        <v>7854</v>
      </c>
      <c r="U533" t="s">
        <v>3701</v>
      </c>
    </row>
    <row r="534" spans="1:21" x14ac:dyDescent="0.25">
      <c r="A534">
        <v>541</v>
      </c>
      <c r="B534">
        <v>24446</v>
      </c>
      <c r="C534" t="s">
        <v>3702</v>
      </c>
      <c r="D534" t="s">
        <v>7347</v>
      </c>
      <c r="E534" t="s">
        <v>3704</v>
      </c>
      <c r="F534" t="s">
        <v>53</v>
      </c>
      <c r="G534" t="s">
        <v>3705</v>
      </c>
      <c r="H534" t="s">
        <v>765</v>
      </c>
      <c r="I534" s="12">
        <v>23234120469</v>
      </c>
      <c r="J534" t="s">
        <v>31</v>
      </c>
      <c r="K534" t="s">
        <v>7879</v>
      </c>
      <c r="L534" t="s">
        <v>7981</v>
      </c>
      <c r="M534" t="s">
        <v>1480</v>
      </c>
      <c r="N534" t="s">
        <v>33</v>
      </c>
      <c r="O534" s="17">
        <v>195000</v>
      </c>
      <c r="P534" s="17" t="s">
        <v>7854</v>
      </c>
      <c r="Q534" s="22">
        <v>0</v>
      </c>
      <c r="R534" s="22" t="s">
        <v>7854</v>
      </c>
      <c r="S534" s="24">
        <v>0</v>
      </c>
      <c r="T534" s="24" t="s">
        <v>7854</v>
      </c>
      <c r="U534" t="s">
        <v>3706</v>
      </c>
    </row>
    <row r="535" spans="1:21" x14ac:dyDescent="0.25">
      <c r="A535">
        <v>542</v>
      </c>
      <c r="B535">
        <v>24413</v>
      </c>
      <c r="C535" t="s">
        <v>3707</v>
      </c>
      <c r="D535" t="s">
        <v>7348</v>
      </c>
      <c r="E535" t="s">
        <v>3709</v>
      </c>
      <c r="F535" t="s">
        <v>53</v>
      </c>
      <c r="G535" t="s">
        <v>3705</v>
      </c>
      <c r="H535" t="s">
        <v>765</v>
      </c>
      <c r="I535" s="12">
        <v>23231819123</v>
      </c>
      <c r="J535" t="s">
        <v>31</v>
      </c>
      <c r="K535" t="s">
        <v>7879</v>
      </c>
      <c r="L535" t="s">
        <v>7981</v>
      </c>
      <c r="M535" t="s">
        <v>1480</v>
      </c>
      <c r="N535" t="s">
        <v>33</v>
      </c>
      <c r="O535" s="17">
        <v>195000</v>
      </c>
      <c r="P535" s="17" t="s">
        <v>7854</v>
      </c>
      <c r="Q535" s="22">
        <v>0</v>
      </c>
      <c r="R535" s="22" t="s">
        <v>7854</v>
      </c>
      <c r="S535" s="24">
        <v>0</v>
      </c>
      <c r="T535" s="24" t="s">
        <v>7854</v>
      </c>
      <c r="U535" t="s">
        <v>3710</v>
      </c>
    </row>
    <row r="536" spans="1:21" x14ac:dyDescent="0.25">
      <c r="A536">
        <v>543</v>
      </c>
      <c r="B536">
        <v>24456</v>
      </c>
      <c r="C536" t="s">
        <v>3711</v>
      </c>
      <c r="D536" t="s">
        <v>7349</v>
      </c>
      <c r="E536" t="s">
        <v>3715</v>
      </c>
      <c r="F536" t="s">
        <v>53</v>
      </c>
      <c r="G536" t="s">
        <v>3716</v>
      </c>
      <c r="H536" t="s">
        <v>765</v>
      </c>
      <c r="I536" s="12">
        <v>23234610270</v>
      </c>
      <c r="J536" t="s">
        <v>31</v>
      </c>
      <c r="K536" t="s">
        <v>7879</v>
      </c>
      <c r="L536" t="s">
        <v>7981</v>
      </c>
      <c r="M536" t="s">
        <v>1480</v>
      </c>
      <c r="N536" t="s">
        <v>33</v>
      </c>
      <c r="O536" s="17">
        <v>195000</v>
      </c>
      <c r="P536" s="17" t="s">
        <v>7854</v>
      </c>
      <c r="Q536" s="22">
        <v>0</v>
      </c>
      <c r="R536" s="22" t="s">
        <v>7854</v>
      </c>
      <c r="S536" s="24">
        <v>0</v>
      </c>
      <c r="T536" s="24" t="s">
        <v>7854</v>
      </c>
      <c r="U536" t="s">
        <v>3717</v>
      </c>
    </row>
    <row r="537" spans="1:21" x14ac:dyDescent="0.25">
      <c r="A537">
        <v>544</v>
      </c>
      <c r="B537">
        <v>24467</v>
      </c>
      <c r="C537" t="s">
        <v>3718</v>
      </c>
      <c r="D537" t="s">
        <v>7350</v>
      </c>
      <c r="E537" t="s">
        <v>3722</v>
      </c>
      <c r="F537" t="s">
        <v>53</v>
      </c>
      <c r="G537" t="s">
        <v>3705</v>
      </c>
      <c r="H537" t="s">
        <v>765</v>
      </c>
      <c r="I537" s="12">
        <v>23278255197</v>
      </c>
      <c r="J537" t="s">
        <v>31</v>
      </c>
      <c r="K537" t="s">
        <v>7879</v>
      </c>
      <c r="L537" t="s">
        <v>7981</v>
      </c>
      <c r="M537" t="s">
        <v>1480</v>
      </c>
      <c r="N537" t="s">
        <v>33</v>
      </c>
      <c r="O537" s="17">
        <v>195000</v>
      </c>
      <c r="P537" s="17" t="s">
        <v>7854</v>
      </c>
      <c r="Q537" s="22">
        <v>0</v>
      </c>
      <c r="R537" s="22" t="s">
        <v>7854</v>
      </c>
      <c r="S537" s="24">
        <v>0</v>
      </c>
      <c r="T537" s="24" t="s">
        <v>7854</v>
      </c>
      <c r="U537" t="s">
        <v>3723</v>
      </c>
    </row>
    <row r="538" spans="1:21" x14ac:dyDescent="0.25">
      <c r="A538">
        <v>545</v>
      </c>
      <c r="B538">
        <v>4859</v>
      </c>
      <c r="C538" t="s">
        <v>3724</v>
      </c>
      <c r="D538" t="s">
        <v>7351</v>
      </c>
      <c r="E538" t="s">
        <v>7891</v>
      </c>
      <c r="F538" t="s">
        <v>53</v>
      </c>
      <c r="G538" t="s">
        <v>3727</v>
      </c>
      <c r="H538" t="s">
        <v>43</v>
      </c>
      <c r="I538" s="13" t="s">
        <v>3728</v>
      </c>
      <c r="J538" t="s">
        <v>31</v>
      </c>
      <c r="K538" t="s">
        <v>7886</v>
      </c>
      <c r="L538" t="s">
        <v>7888</v>
      </c>
      <c r="M538" t="s">
        <v>63</v>
      </c>
      <c r="N538" t="s">
        <v>33</v>
      </c>
      <c r="O538" s="17">
        <v>812500</v>
      </c>
      <c r="P538" s="17" t="s">
        <v>7854</v>
      </c>
      <c r="Q538" s="22">
        <v>0</v>
      </c>
      <c r="R538" s="22" t="s">
        <v>7854</v>
      </c>
      <c r="S538" s="24">
        <v>162500</v>
      </c>
      <c r="T538" s="24" t="s">
        <v>7854</v>
      </c>
      <c r="U538" t="s">
        <v>3729</v>
      </c>
    </row>
    <row r="539" spans="1:21" x14ac:dyDescent="0.25">
      <c r="A539">
        <v>546</v>
      </c>
      <c r="B539">
        <v>24409</v>
      </c>
      <c r="C539" t="s">
        <v>3730</v>
      </c>
      <c r="D539" t="s">
        <v>7352</v>
      </c>
      <c r="E539" t="s">
        <v>3734</v>
      </c>
      <c r="F539" t="s">
        <v>28</v>
      </c>
      <c r="G539" t="s">
        <v>3734</v>
      </c>
      <c r="H539" t="s">
        <v>43</v>
      </c>
      <c r="I539" s="13" t="s">
        <v>3735</v>
      </c>
      <c r="J539" t="s">
        <v>31</v>
      </c>
      <c r="K539" t="s">
        <v>7879</v>
      </c>
      <c r="L539" t="s">
        <v>8028</v>
      </c>
      <c r="M539" t="s">
        <v>87</v>
      </c>
      <c r="N539" t="s">
        <v>33</v>
      </c>
      <c r="O539" s="17">
        <v>195000</v>
      </c>
      <c r="P539" s="17" t="s">
        <v>7854</v>
      </c>
      <c r="Q539" s="22">
        <v>0</v>
      </c>
      <c r="R539" s="22" t="s">
        <v>7854</v>
      </c>
      <c r="S539" s="24">
        <v>0</v>
      </c>
      <c r="T539" s="24" t="s">
        <v>7854</v>
      </c>
      <c r="U539" t="s">
        <v>3736</v>
      </c>
    </row>
    <row r="540" spans="1:21" x14ac:dyDescent="0.25">
      <c r="A540">
        <v>547</v>
      </c>
      <c r="B540">
        <v>21097</v>
      </c>
      <c r="C540" t="s">
        <v>3737</v>
      </c>
      <c r="D540" t="s">
        <v>7353</v>
      </c>
      <c r="E540" t="s">
        <v>3741</v>
      </c>
      <c r="F540" t="s">
        <v>53</v>
      </c>
      <c r="G540" t="s">
        <v>1624</v>
      </c>
      <c r="H540" t="s">
        <v>453</v>
      </c>
      <c r="I540" s="13" t="s">
        <v>3742</v>
      </c>
      <c r="J540" t="s">
        <v>31</v>
      </c>
      <c r="K540" t="s">
        <v>7879</v>
      </c>
      <c r="L540" t="s">
        <v>8028</v>
      </c>
      <c r="M540" t="s">
        <v>455</v>
      </c>
      <c r="N540" t="s">
        <v>130</v>
      </c>
      <c r="O540" s="17" t="s">
        <v>7854</v>
      </c>
      <c r="P540" s="17">
        <v>150</v>
      </c>
      <c r="Q540" s="22" t="s">
        <v>7854</v>
      </c>
      <c r="R540" s="22">
        <v>0</v>
      </c>
      <c r="S540" s="24" t="s">
        <v>7854</v>
      </c>
      <c r="T540" s="24">
        <v>0</v>
      </c>
      <c r="U540" t="s">
        <v>3743</v>
      </c>
    </row>
    <row r="541" spans="1:21" x14ac:dyDescent="0.25">
      <c r="A541">
        <v>548</v>
      </c>
      <c r="B541">
        <v>24463</v>
      </c>
      <c r="C541" t="s">
        <v>3744</v>
      </c>
      <c r="D541" t="s">
        <v>7354</v>
      </c>
      <c r="E541" t="s">
        <v>3747</v>
      </c>
      <c r="F541" t="s">
        <v>28</v>
      </c>
      <c r="G541" t="s">
        <v>3748</v>
      </c>
      <c r="H541" t="s">
        <v>765</v>
      </c>
      <c r="I541" s="12">
        <v>23280644495</v>
      </c>
      <c r="J541" t="s">
        <v>31</v>
      </c>
      <c r="K541" t="s">
        <v>7879</v>
      </c>
      <c r="L541" t="s">
        <v>7981</v>
      </c>
      <c r="M541" t="s">
        <v>1480</v>
      </c>
      <c r="N541" t="s">
        <v>33</v>
      </c>
      <c r="O541" s="17">
        <v>195000</v>
      </c>
      <c r="P541" s="17" t="s">
        <v>7854</v>
      </c>
      <c r="Q541" s="22">
        <v>0</v>
      </c>
      <c r="R541" s="22" t="s">
        <v>7854</v>
      </c>
      <c r="S541" s="24">
        <v>0</v>
      </c>
      <c r="T541" s="24" t="s">
        <v>7854</v>
      </c>
      <c r="U541" t="s">
        <v>3749</v>
      </c>
    </row>
    <row r="542" spans="1:21" x14ac:dyDescent="0.25">
      <c r="A542">
        <v>549</v>
      </c>
      <c r="B542">
        <v>23609</v>
      </c>
      <c r="C542" t="s">
        <v>3750</v>
      </c>
      <c r="D542" t="s">
        <v>7355</v>
      </c>
      <c r="E542" t="s">
        <v>3753</v>
      </c>
      <c r="F542" t="s">
        <v>28</v>
      </c>
      <c r="G542" t="s">
        <v>1923</v>
      </c>
      <c r="H542" t="s">
        <v>43</v>
      </c>
      <c r="I542" s="13" t="s">
        <v>3754</v>
      </c>
      <c r="J542" t="s">
        <v>45</v>
      </c>
      <c r="K542" t="s">
        <v>7879</v>
      </c>
      <c r="L542" t="s">
        <v>7981</v>
      </c>
      <c r="M542" t="s">
        <v>63</v>
      </c>
      <c r="N542" t="s">
        <v>33</v>
      </c>
      <c r="O542" s="17">
        <v>195000</v>
      </c>
      <c r="P542" s="17" t="s">
        <v>7854</v>
      </c>
      <c r="Q542" s="22">
        <v>0</v>
      </c>
      <c r="R542" s="22" t="s">
        <v>7854</v>
      </c>
      <c r="S542" s="24">
        <v>0</v>
      </c>
      <c r="T542" s="24" t="s">
        <v>7854</v>
      </c>
      <c r="U542" t="s">
        <v>3755</v>
      </c>
    </row>
    <row r="543" spans="1:21" x14ac:dyDescent="0.25">
      <c r="A543">
        <v>550</v>
      </c>
      <c r="B543">
        <v>9454</v>
      </c>
      <c r="C543" t="s">
        <v>3756</v>
      </c>
      <c r="D543" t="s">
        <v>7356</v>
      </c>
      <c r="E543" t="s">
        <v>7999</v>
      </c>
      <c r="F543" t="s">
        <v>53</v>
      </c>
      <c r="G543" t="s">
        <v>3760</v>
      </c>
      <c r="H543" t="s">
        <v>43</v>
      </c>
      <c r="I543" s="12">
        <v>8036921324</v>
      </c>
      <c r="J543" t="s">
        <v>45</v>
      </c>
      <c r="K543" t="s">
        <v>7881</v>
      </c>
      <c r="L543" t="s">
        <v>7981</v>
      </c>
      <c r="M543" t="s">
        <v>46</v>
      </c>
      <c r="N543" t="s">
        <v>33</v>
      </c>
      <c r="O543" s="17">
        <v>552500</v>
      </c>
      <c r="P543" s="17" t="s">
        <v>7854</v>
      </c>
      <c r="Q543" s="22">
        <v>0</v>
      </c>
      <c r="R543" s="22" t="s">
        <v>7854</v>
      </c>
      <c r="S543" s="24">
        <v>0</v>
      </c>
      <c r="T543" s="24" t="s">
        <v>7854</v>
      </c>
      <c r="U543" t="s">
        <v>3761</v>
      </c>
    </row>
    <row r="544" spans="1:21" x14ac:dyDescent="0.25">
      <c r="A544">
        <v>551</v>
      </c>
      <c r="B544">
        <v>6096</v>
      </c>
      <c r="C544" t="s">
        <v>3762</v>
      </c>
      <c r="D544" t="s">
        <v>7357</v>
      </c>
      <c r="E544" t="s">
        <v>8000</v>
      </c>
      <c r="F544" t="s">
        <v>28</v>
      </c>
      <c r="G544" t="s">
        <v>3765</v>
      </c>
      <c r="H544" t="s">
        <v>43</v>
      </c>
      <c r="I544" s="13" t="s">
        <v>3766</v>
      </c>
      <c r="J544" t="s">
        <v>45</v>
      </c>
      <c r="K544" t="s">
        <v>7886</v>
      </c>
      <c r="L544" t="s">
        <v>7981</v>
      </c>
      <c r="M544" t="s">
        <v>46</v>
      </c>
      <c r="N544" t="s">
        <v>33</v>
      </c>
      <c r="O544" s="17">
        <v>812500</v>
      </c>
      <c r="P544" s="17" t="s">
        <v>7854</v>
      </c>
      <c r="Q544" s="22">
        <v>0</v>
      </c>
      <c r="R544" s="22" t="s">
        <v>7854</v>
      </c>
      <c r="S544" s="24">
        <v>162500</v>
      </c>
      <c r="T544" s="24" t="s">
        <v>7854</v>
      </c>
      <c r="U544" t="s">
        <v>3767</v>
      </c>
    </row>
    <row r="545" spans="1:21" x14ac:dyDescent="0.25">
      <c r="A545">
        <v>552</v>
      </c>
      <c r="B545">
        <v>24185</v>
      </c>
      <c r="C545" t="s">
        <v>3768</v>
      </c>
      <c r="D545" t="s">
        <v>7358</v>
      </c>
      <c r="E545" t="s">
        <v>3770</v>
      </c>
      <c r="F545" t="s">
        <v>28</v>
      </c>
      <c r="G545" t="s">
        <v>3771</v>
      </c>
      <c r="H545" t="s">
        <v>43</v>
      </c>
      <c r="I545" s="13" t="s">
        <v>3772</v>
      </c>
      <c r="J545" t="s">
        <v>31</v>
      </c>
      <c r="K545" t="s">
        <v>7879</v>
      </c>
      <c r="L545" t="s">
        <v>7940</v>
      </c>
      <c r="M545" t="s">
        <v>46</v>
      </c>
      <c r="N545" t="s">
        <v>33</v>
      </c>
      <c r="O545" s="17">
        <v>195000</v>
      </c>
      <c r="P545" s="17" t="s">
        <v>7854</v>
      </c>
      <c r="Q545" s="22">
        <v>0</v>
      </c>
      <c r="R545" s="22" t="s">
        <v>7854</v>
      </c>
      <c r="S545" s="24">
        <v>0</v>
      </c>
      <c r="T545" s="24" t="s">
        <v>7854</v>
      </c>
      <c r="U545" t="s">
        <v>3773</v>
      </c>
    </row>
    <row r="546" spans="1:21" x14ac:dyDescent="0.25">
      <c r="A546">
        <v>553</v>
      </c>
      <c r="B546">
        <v>20767</v>
      </c>
      <c r="C546" t="s">
        <v>3774</v>
      </c>
      <c r="D546" t="s">
        <v>7359</v>
      </c>
      <c r="E546" t="s">
        <v>3777</v>
      </c>
      <c r="F546" t="s">
        <v>28</v>
      </c>
      <c r="G546" t="s">
        <v>3403</v>
      </c>
      <c r="H546" t="s">
        <v>43</v>
      </c>
      <c r="I546" s="13" t="s">
        <v>3778</v>
      </c>
      <c r="J546" t="s">
        <v>31</v>
      </c>
      <c r="K546" t="s">
        <v>7881</v>
      </c>
      <c r="L546" t="s">
        <v>7940</v>
      </c>
      <c r="M546" t="s">
        <v>46</v>
      </c>
      <c r="N546" t="s">
        <v>33</v>
      </c>
      <c r="O546" s="17">
        <v>552500</v>
      </c>
      <c r="P546" s="17" t="s">
        <v>7854</v>
      </c>
      <c r="Q546" s="22">
        <v>0</v>
      </c>
      <c r="R546" s="22" t="s">
        <v>7854</v>
      </c>
      <c r="S546" s="24">
        <v>0</v>
      </c>
      <c r="T546" s="24" t="s">
        <v>7854</v>
      </c>
      <c r="U546" t="s">
        <v>3779</v>
      </c>
    </row>
    <row r="547" spans="1:21" x14ac:dyDescent="0.25">
      <c r="A547">
        <v>554</v>
      </c>
      <c r="B547">
        <v>2747</v>
      </c>
      <c r="C547" t="s">
        <v>3780</v>
      </c>
      <c r="D547" t="s">
        <v>7360</v>
      </c>
      <c r="E547" t="s">
        <v>8001</v>
      </c>
      <c r="F547" t="s">
        <v>28</v>
      </c>
      <c r="G547" t="s">
        <v>3782</v>
      </c>
      <c r="H547" t="s">
        <v>43</v>
      </c>
      <c r="I547" s="12">
        <v>8131391831</v>
      </c>
      <c r="J547" t="s">
        <v>31</v>
      </c>
      <c r="K547" t="s">
        <v>7886</v>
      </c>
      <c r="L547" t="s">
        <v>7981</v>
      </c>
      <c r="M547" t="s">
        <v>46</v>
      </c>
      <c r="N547" t="s">
        <v>33</v>
      </c>
      <c r="O547" s="17">
        <v>812500</v>
      </c>
      <c r="P547" s="17" t="s">
        <v>7854</v>
      </c>
      <c r="Q547" s="22">
        <v>0</v>
      </c>
      <c r="R547" s="22" t="s">
        <v>7854</v>
      </c>
      <c r="S547" s="24">
        <v>162500</v>
      </c>
      <c r="T547" s="24" t="s">
        <v>7854</v>
      </c>
      <c r="U547" t="s">
        <v>3783</v>
      </c>
    </row>
    <row r="548" spans="1:21" x14ac:dyDescent="0.25">
      <c r="A548">
        <v>555</v>
      </c>
      <c r="B548">
        <v>24341</v>
      </c>
      <c r="C548" t="s">
        <v>3784</v>
      </c>
      <c r="D548" t="s">
        <v>7361</v>
      </c>
      <c r="E548" t="s">
        <v>3786</v>
      </c>
      <c r="F548" t="s">
        <v>53</v>
      </c>
      <c r="G548" t="s">
        <v>3787</v>
      </c>
      <c r="H548" t="s">
        <v>43</v>
      </c>
      <c r="I548" s="13" t="s">
        <v>3788</v>
      </c>
      <c r="J548" t="s">
        <v>31</v>
      </c>
      <c r="K548" t="s">
        <v>7879</v>
      </c>
      <c r="L548" t="s">
        <v>7893</v>
      </c>
      <c r="M548" t="s">
        <v>46</v>
      </c>
      <c r="N548" t="s">
        <v>33</v>
      </c>
      <c r="O548" s="17">
        <v>195000</v>
      </c>
      <c r="P548" s="17" t="s">
        <v>7854</v>
      </c>
      <c r="Q548" s="22">
        <v>0</v>
      </c>
      <c r="R548" s="22" t="s">
        <v>7854</v>
      </c>
      <c r="S548" s="24">
        <v>0</v>
      </c>
      <c r="T548" s="24" t="s">
        <v>7854</v>
      </c>
      <c r="U548" t="s">
        <v>3789</v>
      </c>
    </row>
    <row r="549" spans="1:21" x14ac:dyDescent="0.25">
      <c r="A549">
        <v>556</v>
      </c>
      <c r="B549">
        <v>24466</v>
      </c>
      <c r="C549" t="s">
        <v>3790</v>
      </c>
      <c r="D549" t="s">
        <v>7362</v>
      </c>
      <c r="E549" t="s">
        <v>3794</v>
      </c>
      <c r="F549" t="s">
        <v>53</v>
      </c>
      <c r="G549" t="s">
        <v>3795</v>
      </c>
      <c r="H549" t="s">
        <v>765</v>
      </c>
      <c r="I549" s="12">
        <v>23279091886</v>
      </c>
      <c r="J549" t="s">
        <v>31</v>
      </c>
      <c r="K549" t="s">
        <v>7879</v>
      </c>
      <c r="L549" t="s">
        <v>7981</v>
      </c>
      <c r="M549" t="s">
        <v>1480</v>
      </c>
      <c r="N549" t="s">
        <v>33</v>
      </c>
      <c r="O549" s="17">
        <v>195000</v>
      </c>
      <c r="P549" s="17" t="s">
        <v>7854</v>
      </c>
      <c r="Q549" s="22">
        <v>0</v>
      </c>
      <c r="R549" s="22" t="s">
        <v>7854</v>
      </c>
      <c r="S549" s="24">
        <v>0</v>
      </c>
      <c r="T549" s="24" t="s">
        <v>7854</v>
      </c>
      <c r="U549" t="s">
        <v>3796</v>
      </c>
    </row>
    <row r="550" spans="1:21" x14ac:dyDescent="0.25">
      <c r="A550">
        <v>557</v>
      </c>
      <c r="B550">
        <v>10547</v>
      </c>
      <c r="C550" t="s">
        <v>3797</v>
      </c>
      <c r="D550" t="s">
        <v>7363</v>
      </c>
      <c r="E550" t="s">
        <v>7923</v>
      </c>
      <c r="F550" t="s">
        <v>53</v>
      </c>
      <c r="G550" t="s">
        <v>3800</v>
      </c>
      <c r="H550" t="s">
        <v>43</v>
      </c>
      <c r="I550" s="12">
        <v>7039053568</v>
      </c>
      <c r="J550" t="s">
        <v>31</v>
      </c>
      <c r="K550" t="s">
        <v>7886</v>
      </c>
      <c r="L550" t="s">
        <v>7893</v>
      </c>
      <c r="M550" t="s">
        <v>63</v>
      </c>
      <c r="N550" t="s">
        <v>33</v>
      </c>
      <c r="O550" s="17">
        <v>812500</v>
      </c>
      <c r="P550" s="17" t="s">
        <v>7854</v>
      </c>
      <c r="Q550" s="22">
        <v>0</v>
      </c>
      <c r="R550" s="22" t="s">
        <v>7854</v>
      </c>
      <c r="S550" s="24">
        <v>162500</v>
      </c>
      <c r="T550" s="24" t="s">
        <v>7854</v>
      </c>
      <c r="U550" t="s">
        <v>3801</v>
      </c>
    </row>
    <row r="551" spans="1:21" x14ac:dyDescent="0.25">
      <c r="A551">
        <v>558</v>
      </c>
      <c r="B551">
        <v>11126</v>
      </c>
      <c r="C551" t="s">
        <v>3802</v>
      </c>
      <c r="D551" t="s">
        <v>7364</v>
      </c>
      <c r="E551" t="s">
        <v>7960</v>
      </c>
      <c r="F551" t="s">
        <v>53</v>
      </c>
      <c r="G551" t="s">
        <v>3805</v>
      </c>
      <c r="H551" t="s">
        <v>43</v>
      </c>
      <c r="I551" s="12">
        <v>7030147475</v>
      </c>
      <c r="J551" t="s">
        <v>1207</v>
      </c>
      <c r="K551" t="s">
        <v>7886</v>
      </c>
      <c r="L551" t="s">
        <v>7940</v>
      </c>
      <c r="M551" t="s">
        <v>63</v>
      </c>
      <c r="N551" t="s">
        <v>33</v>
      </c>
      <c r="O551" s="17">
        <v>812500</v>
      </c>
      <c r="P551" s="17" t="s">
        <v>7854</v>
      </c>
      <c r="Q551" s="22">
        <v>0</v>
      </c>
      <c r="R551" s="22" t="s">
        <v>7854</v>
      </c>
      <c r="S551" s="24">
        <v>162500</v>
      </c>
      <c r="T551" s="24" t="s">
        <v>7854</v>
      </c>
      <c r="U551" t="s">
        <v>3806</v>
      </c>
    </row>
    <row r="552" spans="1:21" x14ac:dyDescent="0.25">
      <c r="A552">
        <v>559</v>
      </c>
      <c r="B552">
        <v>23915</v>
      </c>
      <c r="C552" t="s">
        <v>3807</v>
      </c>
      <c r="D552" t="s">
        <v>7365</v>
      </c>
      <c r="E552" t="s">
        <v>3810</v>
      </c>
      <c r="F552" t="s">
        <v>28</v>
      </c>
      <c r="G552" t="s">
        <v>3811</v>
      </c>
      <c r="H552" t="s">
        <v>453</v>
      </c>
      <c r="I552" s="13" t="s">
        <v>3812</v>
      </c>
      <c r="J552" t="s">
        <v>31</v>
      </c>
      <c r="K552" t="s">
        <v>7879</v>
      </c>
      <c r="L552" t="s">
        <v>7893</v>
      </c>
      <c r="M552" t="s">
        <v>455</v>
      </c>
      <c r="N552" t="s">
        <v>130</v>
      </c>
      <c r="O552" s="17" t="s">
        <v>7854</v>
      </c>
      <c r="P552" s="17">
        <v>150</v>
      </c>
      <c r="Q552" s="22" t="s">
        <v>7854</v>
      </c>
      <c r="R552" s="22">
        <v>0</v>
      </c>
      <c r="S552" s="24" t="s">
        <v>7854</v>
      </c>
      <c r="T552" s="24">
        <v>0</v>
      </c>
      <c r="U552" t="s">
        <v>3813</v>
      </c>
    </row>
    <row r="553" spans="1:21" x14ac:dyDescent="0.25">
      <c r="A553">
        <v>560</v>
      </c>
      <c r="B553">
        <v>19076</v>
      </c>
      <c r="C553" t="s">
        <v>3814</v>
      </c>
      <c r="D553" t="s">
        <v>7366</v>
      </c>
      <c r="E553" t="s">
        <v>3818</v>
      </c>
      <c r="F553" t="s">
        <v>28</v>
      </c>
      <c r="G553" t="s">
        <v>3819</v>
      </c>
      <c r="H553" t="s">
        <v>43</v>
      </c>
      <c r="I553" s="13" t="s">
        <v>3820</v>
      </c>
      <c r="J553" t="s">
        <v>45</v>
      </c>
      <c r="K553" t="s">
        <v>7879</v>
      </c>
      <c r="L553" t="s">
        <v>7981</v>
      </c>
      <c r="M553" t="s">
        <v>87</v>
      </c>
      <c r="N553" t="s">
        <v>33</v>
      </c>
      <c r="O553" s="17">
        <v>195000</v>
      </c>
      <c r="P553" s="17" t="s">
        <v>7854</v>
      </c>
      <c r="Q553" s="22">
        <v>0</v>
      </c>
      <c r="R553" s="22" t="s">
        <v>7854</v>
      </c>
      <c r="S553" s="24">
        <v>0</v>
      </c>
      <c r="T553" s="24" t="s">
        <v>7854</v>
      </c>
      <c r="U553" t="s">
        <v>3821</v>
      </c>
    </row>
    <row r="554" spans="1:21" x14ac:dyDescent="0.25">
      <c r="A554">
        <v>561</v>
      </c>
      <c r="B554">
        <v>5092</v>
      </c>
      <c r="C554" t="s">
        <v>3822</v>
      </c>
      <c r="D554" t="s">
        <v>7367</v>
      </c>
      <c r="E554" t="s">
        <v>3826</v>
      </c>
      <c r="F554" t="s">
        <v>28</v>
      </c>
      <c r="G554" t="s">
        <v>3827</v>
      </c>
      <c r="H554" t="s">
        <v>43</v>
      </c>
      <c r="I554" s="13" t="s">
        <v>3828</v>
      </c>
      <c r="J554" t="s">
        <v>31</v>
      </c>
      <c r="K554" t="s">
        <v>7886</v>
      </c>
      <c r="L554" t="s">
        <v>7940</v>
      </c>
      <c r="M554" t="s">
        <v>46</v>
      </c>
      <c r="N554" t="s">
        <v>33</v>
      </c>
      <c r="O554" s="17">
        <v>812500</v>
      </c>
      <c r="P554" s="17" t="s">
        <v>7854</v>
      </c>
      <c r="Q554" s="22">
        <v>0</v>
      </c>
      <c r="R554" s="22" t="s">
        <v>7854</v>
      </c>
      <c r="S554" s="24">
        <v>162500</v>
      </c>
      <c r="T554" s="24" t="s">
        <v>7854</v>
      </c>
      <c r="U554" t="s">
        <v>3829</v>
      </c>
    </row>
    <row r="555" spans="1:21" x14ac:dyDescent="0.25">
      <c r="A555">
        <v>562</v>
      </c>
      <c r="B555">
        <v>7518</v>
      </c>
      <c r="C555" t="s">
        <v>3830</v>
      </c>
      <c r="D555" t="s">
        <v>7368</v>
      </c>
      <c r="E555" t="s">
        <v>8002</v>
      </c>
      <c r="F555" t="s">
        <v>28</v>
      </c>
      <c r="G555" t="s">
        <v>2761</v>
      </c>
      <c r="H555" t="s">
        <v>43</v>
      </c>
      <c r="I555" s="12">
        <v>8068268420</v>
      </c>
      <c r="J555" t="s">
        <v>31</v>
      </c>
      <c r="K555" t="s">
        <v>7886</v>
      </c>
      <c r="L555" t="s">
        <v>7981</v>
      </c>
      <c r="M555" t="s">
        <v>46</v>
      </c>
      <c r="N555" t="s">
        <v>33</v>
      </c>
      <c r="O555" s="17">
        <v>812500</v>
      </c>
      <c r="P555" s="17" t="s">
        <v>7854</v>
      </c>
      <c r="Q555" s="22">
        <v>0</v>
      </c>
      <c r="R555" s="22" t="s">
        <v>7854</v>
      </c>
      <c r="S555" s="24">
        <v>162500</v>
      </c>
      <c r="T555" s="24" t="s">
        <v>7854</v>
      </c>
      <c r="U555" t="s">
        <v>3833</v>
      </c>
    </row>
    <row r="556" spans="1:21" x14ac:dyDescent="0.25">
      <c r="A556">
        <v>563</v>
      </c>
      <c r="B556">
        <v>24469</v>
      </c>
      <c r="C556" t="s">
        <v>3834</v>
      </c>
      <c r="D556" t="s">
        <v>7369</v>
      </c>
      <c r="E556" t="s">
        <v>3836</v>
      </c>
      <c r="F556" t="s">
        <v>53</v>
      </c>
      <c r="G556" t="s">
        <v>3837</v>
      </c>
      <c r="H556" t="s">
        <v>43</v>
      </c>
      <c r="I556" s="13" t="s">
        <v>3838</v>
      </c>
      <c r="J556" t="s">
        <v>31</v>
      </c>
      <c r="K556" t="s">
        <v>7879</v>
      </c>
      <c r="L556" t="s">
        <v>7940</v>
      </c>
      <c r="M556" t="s">
        <v>87</v>
      </c>
      <c r="N556" t="s">
        <v>33</v>
      </c>
      <c r="O556" s="17">
        <v>195000</v>
      </c>
      <c r="P556" s="17" t="s">
        <v>7854</v>
      </c>
      <c r="Q556" s="22">
        <v>0</v>
      </c>
      <c r="R556" s="22" t="s">
        <v>7854</v>
      </c>
      <c r="S556" s="24">
        <v>0</v>
      </c>
      <c r="T556" s="24" t="s">
        <v>7854</v>
      </c>
      <c r="U556" t="s">
        <v>3839</v>
      </c>
    </row>
    <row r="557" spans="1:21" x14ac:dyDescent="0.25">
      <c r="A557">
        <v>564</v>
      </c>
      <c r="B557">
        <v>24259</v>
      </c>
      <c r="C557" t="s">
        <v>3840</v>
      </c>
      <c r="D557" t="s">
        <v>7370</v>
      </c>
      <c r="E557" t="s">
        <v>3842</v>
      </c>
      <c r="F557" t="s">
        <v>28</v>
      </c>
      <c r="G557" t="s">
        <v>3843</v>
      </c>
      <c r="H557" t="s">
        <v>43</v>
      </c>
      <c r="I557" s="13" t="s">
        <v>3844</v>
      </c>
      <c r="J557" t="s">
        <v>31</v>
      </c>
      <c r="K557" t="s">
        <v>7879</v>
      </c>
      <c r="L557" t="s">
        <v>8028</v>
      </c>
      <c r="M557" t="s">
        <v>46</v>
      </c>
      <c r="N557" t="s">
        <v>33</v>
      </c>
      <c r="O557" s="17">
        <v>195000</v>
      </c>
      <c r="P557" s="17" t="s">
        <v>7854</v>
      </c>
      <c r="Q557" s="22">
        <v>0</v>
      </c>
      <c r="R557" s="22" t="s">
        <v>7854</v>
      </c>
      <c r="S557" s="24">
        <v>0</v>
      </c>
      <c r="T557" s="24" t="s">
        <v>7854</v>
      </c>
      <c r="U557" t="s">
        <v>3845</v>
      </c>
    </row>
    <row r="558" spans="1:21" x14ac:dyDescent="0.25">
      <c r="A558">
        <v>565</v>
      </c>
      <c r="B558">
        <v>24028</v>
      </c>
      <c r="C558" t="s">
        <v>3846</v>
      </c>
      <c r="D558" t="s">
        <v>7371</v>
      </c>
      <c r="E558" t="s">
        <v>3850</v>
      </c>
      <c r="F558" t="s">
        <v>28</v>
      </c>
      <c r="G558" t="s">
        <v>3851</v>
      </c>
      <c r="H558" t="s">
        <v>453</v>
      </c>
      <c r="I558" s="12" t="s">
        <v>3852</v>
      </c>
      <c r="J558" t="s">
        <v>31</v>
      </c>
      <c r="K558" t="s">
        <v>7879</v>
      </c>
      <c r="L558" t="s">
        <v>7893</v>
      </c>
      <c r="M558" t="s">
        <v>455</v>
      </c>
      <c r="N558" t="s">
        <v>130</v>
      </c>
      <c r="O558" s="17" t="s">
        <v>7854</v>
      </c>
      <c r="P558" s="17">
        <v>150</v>
      </c>
      <c r="Q558" s="22" t="s">
        <v>7854</v>
      </c>
      <c r="R558" s="22">
        <v>0</v>
      </c>
      <c r="S558" s="24" t="s">
        <v>7854</v>
      </c>
      <c r="T558" s="24">
        <v>0</v>
      </c>
      <c r="U558" t="s">
        <v>3853</v>
      </c>
    </row>
    <row r="559" spans="1:21" x14ac:dyDescent="0.25">
      <c r="A559">
        <v>566</v>
      </c>
      <c r="B559">
        <v>18416</v>
      </c>
      <c r="C559" t="s">
        <v>3854</v>
      </c>
      <c r="D559" t="s">
        <v>7372</v>
      </c>
      <c r="E559" t="s">
        <v>3857</v>
      </c>
      <c r="F559" t="s">
        <v>28</v>
      </c>
      <c r="G559" t="s">
        <v>3858</v>
      </c>
      <c r="H559" t="s">
        <v>43</v>
      </c>
      <c r="I559" s="13" t="s">
        <v>3859</v>
      </c>
      <c r="J559" t="s">
        <v>31</v>
      </c>
      <c r="K559" t="s">
        <v>7881</v>
      </c>
      <c r="L559" t="s">
        <v>7940</v>
      </c>
      <c r="M559" t="s">
        <v>46</v>
      </c>
      <c r="N559" t="s">
        <v>33</v>
      </c>
      <c r="O559" s="17">
        <v>552500</v>
      </c>
      <c r="P559" s="17" t="s">
        <v>7854</v>
      </c>
      <c r="Q559" s="22">
        <v>0</v>
      </c>
      <c r="R559" s="22" t="s">
        <v>7854</v>
      </c>
      <c r="S559" s="24">
        <v>0</v>
      </c>
      <c r="T559" s="24" t="s">
        <v>7854</v>
      </c>
      <c r="U559" t="s">
        <v>3860</v>
      </c>
    </row>
    <row r="560" spans="1:21" x14ac:dyDescent="0.25">
      <c r="A560">
        <v>568</v>
      </c>
      <c r="B560">
        <v>5785</v>
      </c>
      <c r="C560" t="s">
        <v>3861</v>
      </c>
      <c r="D560" t="s">
        <v>7373</v>
      </c>
      <c r="E560" t="s">
        <v>3863</v>
      </c>
      <c r="F560" t="s">
        <v>28</v>
      </c>
      <c r="G560" t="s">
        <v>3864</v>
      </c>
      <c r="H560" t="s">
        <v>43</v>
      </c>
      <c r="I560" s="12">
        <v>7062413660</v>
      </c>
      <c r="J560" t="s">
        <v>31</v>
      </c>
      <c r="K560" t="s">
        <v>7886</v>
      </c>
      <c r="L560" t="s">
        <v>7940</v>
      </c>
      <c r="M560" t="s">
        <v>63</v>
      </c>
      <c r="N560" t="s">
        <v>33</v>
      </c>
      <c r="O560" s="17">
        <v>812500</v>
      </c>
      <c r="P560" s="17" t="s">
        <v>7854</v>
      </c>
      <c r="Q560" s="22">
        <v>0</v>
      </c>
      <c r="R560" s="22" t="s">
        <v>7854</v>
      </c>
      <c r="S560" s="24">
        <v>162500</v>
      </c>
      <c r="T560" s="24" t="s">
        <v>7854</v>
      </c>
      <c r="U560" t="s">
        <v>3865</v>
      </c>
    </row>
    <row r="561" spans="1:21" x14ac:dyDescent="0.25">
      <c r="A561">
        <v>569</v>
      </c>
      <c r="B561">
        <v>24474</v>
      </c>
      <c r="C561" t="s">
        <v>3866</v>
      </c>
      <c r="D561" t="s">
        <v>7374</v>
      </c>
      <c r="E561" t="s">
        <v>3870</v>
      </c>
      <c r="F561" t="s">
        <v>28</v>
      </c>
      <c r="G561" t="s">
        <v>3870</v>
      </c>
      <c r="H561" t="s">
        <v>43</v>
      </c>
      <c r="I561" s="12">
        <v>2348125422516</v>
      </c>
      <c r="J561" t="s">
        <v>31</v>
      </c>
      <c r="K561" t="s">
        <v>7879</v>
      </c>
      <c r="L561" t="s">
        <v>7888</v>
      </c>
      <c r="M561" t="s">
        <v>46</v>
      </c>
      <c r="N561" t="s">
        <v>33</v>
      </c>
      <c r="O561" s="17">
        <v>195000</v>
      </c>
      <c r="P561" s="17" t="s">
        <v>7854</v>
      </c>
      <c r="Q561" s="22">
        <v>0</v>
      </c>
      <c r="R561" s="22" t="s">
        <v>7854</v>
      </c>
      <c r="S561" s="24">
        <v>0</v>
      </c>
      <c r="T561" s="24" t="s">
        <v>7854</v>
      </c>
      <c r="U561" t="s">
        <v>3871</v>
      </c>
    </row>
    <row r="562" spans="1:21" x14ac:dyDescent="0.25">
      <c r="A562">
        <v>570</v>
      </c>
      <c r="B562">
        <v>24292</v>
      </c>
      <c r="C562" t="s">
        <v>3872</v>
      </c>
      <c r="D562" t="s">
        <v>7375</v>
      </c>
      <c r="E562" t="s">
        <v>3874</v>
      </c>
      <c r="F562" t="s">
        <v>53</v>
      </c>
      <c r="G562" t="s">
        <v>3875</v>
      </c>
      <c r="H562" t="s">
        <v>43</v>
      </c>
      <c r="I562" s="13" t="s">
        <v>3876</v>
      </c>
      <c r="J562" t="s">
        <v>31</v>
      </c>
      <c r="K562" t="s">
        <v>7879</v>
      </c>
      <c r="L562" t="s">
        <v>7940</v>
      </c>
      <c r="M562" t="s">
        <v>87</v>
      </c>
      <c r="N562" t="s">
        <v>33</v>
      </c>
      <c r="O562" s="17">
        <v>195000</v>
      </c>
      <c r="P562" s="17" t="s">
        <v>7854</v>
      </c>
      <c r="Q562" s="22">
        <v>0</v>
      </c>
      <c r="R562" s="22" t="s">
        <v>7854</v>
      </c>
      <c r="S562" s="24">
        <v>0</v>
      </c>
      <c r="T562" s="24" t="s">
        <v>7854</v>
      </c>
      <c r="U562" t="s">
        <v>3877</v>
      </c>
    </row>
    <row r="563" spans="1:21" x14ac:dyDescent="0.25">
      <c r="A563">
        <v>571</v>
      </c>
      <c r="B563">
        <v>24383</v>
      </c>
      <c r="C563" t="s">
        <v>3878</v>
      </c>
      <c r="D563" t="s">
        <v>7376</v>
      </c>
      <c r="E563" t="s">
        <v>3881</v>
      </c>
      <c r="F563" t="s">
        <v>28</v>
      </c>
      <c r="G563" t="s">
        <v>3882</v>
      </c>
      <c r="H563" t="s">
        <v>43</v>
      </c>
      <c r="I563" s="12">
        <v>2349099717294</v>
      </c>
      <c r="J563" t="s">
        <v>31</v>
      </c>
      <c r="K563" t="s">
        <v>7879</v>
      </c>
      <c r="L563" t="s">
        <v>7888</v>
      </c>
      <c r="M563" t="s">
        <v>46</v>
      </c>
      <c r="N563" t="s">
        <v>33</v>
      </c>
      <c r="O563" s="17">
        <v>195000</v>
      </c>
      <c r="P563" s="17" t="s">
        <v>7854</v>
      </c>
      <c r="Q563" s="22">
        <v>0</v>
      </c>
      <c r="R563" s="22" t="s">
        <v>7854</v>
      </c>
      <c r="S563" s="24">
        <v>0</v>
      </c>
      <c r="T563" s="24" t="s">
        <v>7854</v>
      </c>
      <c r="U563" t="s">
        <v>3883</v>
      </c>
    </row>
    <row r="564" spans="1:21" x14ac:dyDescent="0.25">
      <c r="A564">
        <v>572</v>
      </c>
      <c r="B564">
        <v>19826</v>
      </c>
      <c r="C564" t="s">
        <v>3884</v>
      </c>
      <c r="D564" t="s">
        <v>7377</v>
      </c>
      <c r="E564" t="s">
        <v>3886</v>
      </c>
      <c r="F564" t="s">
        <v>28</v>
      </c>
      <c r="G564" t="s">
        <v>3887</v>
      </c>
      <c r="H564" t="s">
        <v>43</v>
      </c>
      <c r="I564" s="12">
        <v>2348038420446</v>
      </c>
      <c r="J564" t="s">
        <v>45</v>
      </c>
      <c r="K564" t="s">
        <v>7881</v>
      </c>
      <c r="L564" t="s">
        <v>7981</v>
      </c>
      <c r="M564" t="s">
        <v>63</v>
      </c>
      <c r="N564" t="s">
        <v>33</v>
      </c>
      <c r="O564" s="17">
        <v>552500</v>
      </c>
      <c r="P564" s="17" t="s">
        <v>7854</v>
      </c>
      <c r="Q564" s="22">
        <v>0</v>
      </c>
      <c r="R564" s="22" t="s">
        <v>7854</v>
      </c>
      <c r="S564" s="24">
        <v>0</v>
      </c>
      <c r="T564" s="24" t="s">
        <v>7854</v>
      </c>
      <c r="U564" t="s">
        <v>3888</v>
      </c>
    </row>
    <row r="565" spans="1:21" x14ac:dyDescent="0.25">
      <c r="A565">
        <v>573</v>
      </c>
      <c r="B565">
        <v>20132</v>
      </c>
      <c r="C565" t="s">
        <v>3889</v>
      </c>
      <c r="D565" t="s">
        <v>7378</v>
      </c>
      <c r="E565" t="s">
        <v>3892</v>
      </c>
      <c r="F565" t="s">
        <v>28</v>
      </c>
      <c r="G565" t="s">
        <v>3893</v>
      </c>
      <c r="H565" t="s">
        <v>43</v>
      </c>
      <c r="I565" s="13" t="s">
        <v>3894</v>
      </c>
      <c r="J565" t="s">
        <v>31</v>
      </c>
      <c r="K565" t="s">
        <v>7881</v>
      </c>
      <c r="L565" t="s">
        <v>7981</v>
      </c>
      <c r="M565" t="s">
        <v>46</v>
      </c>
      <c r="N565" t="s">
        <v>33</v>
      </c>
      <c r="O565" s="17">
        <v>552500</v>
      </c>
      <c r="P565" s="17" t="s">
        <v>7854</v>
      </c>
      <c r="Q565" s="22">
        <v>0</v>
      </c>
      <c r="R565" s="22" t="s">
        <v>7854</v>
      </c>
      <c r="S565" s="24">
        <v>0</v>
      </c>
      <c r="T565" s="24" t="s">
        <v>7854</v>
      </c>
      <c r="U565" t="s">
        <v>3895</v>
      </c>
    </row>
    <row r="566" spans="1:21" x14ac:dyDescent="0.25">
      <c r="A566">
        <v>574</v>
      </c>
      <c r="B566">
        <v>6601</v>
      </c>
      <c r="C566" t="s">
        <v>3896</v>
      </c>
      <c r="D566" t="s">
        <v>7379</v>
      </c>
      <c r="E566" t="s">
        <v>8003</v>
      </c>
      <c r="F566" t="s">
        <v>28</v>
      </c>
      <c r="G566" t="s">
        <v>3900</v>
      </c>
      <c r="H566" t="s">
        <v>43</v>
      </c>
      <c r="I566" s="12">
        <v>8078497024</v>
      </c>
      <c r="J566" t="s">
        <v>2333</v>
      </c>
      <c r="K566" t="s">
        <v>7886</v>
      </c>
      <c r="L566" t="s">
        <v>7981</v>
      </c>
      <c r="M566" t="s">
        <v>63</v>
      </c>
      <c r="N566" t="s">
        <v>33</v>
      </c>
      <c r="O566" s="17">
        <v>812500</v>
      </c>
      <c r="P566" s="17" t="s">
        <v>7854</v>
      </c>
      <c r="Q566" s="22">
        <v>0</v>
      </c>
      <c r="R566" s="22" t="s">
        <v>7854</v>
      </c>
      <c r="S566" s="24">
        <v>162500</v>
      </c>
      <c r="T566" s="24" t="s">
        <v>7854</v>
      </c>
      <c r="U566" t="s">
        <v>3901</v>
      </c>
    </row>
    <row r="567" spans="1:21" x14ac:dyDescent="0.25">
      <c r="A567">
        <v>575</v>
      </c>
      <c r="B567">
        <v>24303</v>
      </c>
      <c r="C567" t="s">
        <v>3902</v>
      </c>
      <c r="D567" t="s">
        <v>7380</v>
      </c>
      <c r="E567" t="s">
        <v>3905</v>
      </c>
      <c r="F567" t="s">
        <v>28</v>
      </c>
      <c r="G567" t="s">
        <v>3906</v>
      </c>
      <c r="H567" t="s">
        <v>43</v>
      </c>
      <c r="I567" s="13" t="s">
        <v>3907</v>
      </c>
      <c r="J567" t="s">
        <v>31</v>
      </c>
      <c r="K567" t="s">
        <v>7879</v>
      </c>
      <c r="L567" t="s">
        <v>7940</v>
      </c>
      <c r="M567" t="s">
        <v>46</v>
      </c>
      <c r="N567" t="s">
        <v>33</v>
      </c>
      <c r="O567" s="17">
        <v>195000</v>
      </c>
      <c r="P567" s="17" t="s">
        <v>7854</v>
      </c>
      <c r="Q567" s="22">
        <v>0</v>
      </c>
      <c r="R567" s="22" t="s">
        <v>7854</v>
      </c>
      <c r="S567" s="24">
        <v>0</v>
      </c>
      <c r="T567" s="24" t="s">
        <v>7854</v>
      </c>
      <c r="U567" t="s">
        <v>3908</v>
      </c>
    </row>
    <row r="568" spans="1:21" x14ac:dyDescent="0.25">
      <c r="A568">
        <v>576</v>
      </c>
      <c r="B568">
        <v>526</v>
      </c>
      <c r="C568" t="s">
        <v>3909</v>
      </c>
      <c r="D568" t="s">
        <v>7381</v>
      </c>
      <c r="E568" t="s">
        <v>3912</v>
      </c>
      <c r="F568" t="s">
        <v>28</v>
      </c>
      <c r="G568" t="s">
        <v>3913</v>
      </c>
      <c r="H568" t="s">
        <v>43</v>
      </c>
      <c r="I568" s="13" t="s">
        <v>3914</v>
      </c>
      <c r="J568" t="s">
        <v>31</v>
      </c>
      <c r="K568" t="s">
        <v>7886</v>
      </c>
      <c r="L568" t="s">
        <v>7940</v>
      </c>
      <c r="M568" t="s">
        <v>46</v>
      </c>
      <c r="N568" t="s">
        <v>33</v>
      </c>
      <c r="O568" s="17">
        <v>812500</v>
      </c>
      <c r="P568" s="17" t="s">
        <v>7854</v>
      </c>
      <c r="Q568" s="22">
        <v>0</v>
      </c>
      <c r="R568" s="22" t="s">
        <v>7854</v>
      </c>
      <c r="S568" s="24">
        <v>162500</v>
      </c>
      <c r="T568" s="24" t="s">
        <v>7854</v>
      </c>
      <c r="U568" t="s">
        <v>3915</v>
      </c>
    </row>
    <row r="569" spans="1:21" x14ac:dyDescent="0.25">
      <c r="A569">
        <v>577</v>
      </c>
      <c r="B569">
        <v>944</v>
      </c>
      <c r="C569" t="s">
        <v>3916</v>
      </c>
      <c r="D569" t="s">
        <v>7382</v>
      </c>
      <c r="E569" t="s">
        <v>3919</v>
      </c>
      <c r="F569" t="s">
        <v>53</v>
      </c>
      <c r="G569" t="s">
        <v>3920</v>
      </c>
      <c r="H569" t="s">
        <v>43</v>
      </c>
      <c r="I569" s="12">
        <v>7036196102</v>
      </c>
      <c r="J569" t="s">
        <v>31</v>
      </c>
      <c r="K569" t="s">
        <v>7886</v>
      </c>
      <c r="L569" t="s">
        <v>7940</v>
      </c>
      <c r="M569" t="s">
        <v>46</v>
      </c>
      <c r="N569" t="s">
        <v>33</v>
      </c>
      <c r="O569" s="17">
        <v>812500</v>
      </c>
      <c r="P569" s="17" t="s">
        <v>7854</v>
      </c>
      <c r="Q569" s="22">
        <v>0</v>
      </c>
      <c r="R569" s="22" t="s">
        <v>7854</v>
      </c>
      <c r="S569" s="24">
        <v>162500</v>
      </c>
      <c r="T569" s="24" t="s">
        <v>7854</v>
      </c>
      <c r="U569" t="s">
        <v>3921</v>
      </c>
    </row>
    <row r="570" spans="1:21" x14ac:dyDescent="0.25">
      <c r="A570">
        <v>578</v>
      </c>
      <c r="B570">
        <v>1318</v>
      </c>
      <c r="C570" t="s">
        <v>3922</v>
      </c>
      <c r="D570" t="s">
        <v>7383</v>
      </c>
      <c r="E570" t="s">
        <v>7892</v>
      </c>
      <c r="F570" t="s">
        <v>28</v>
      </c>
      <c r="G570" t="s">
        <v>3926</v>
      </c>
      <c r="H570" t="s">
        <v>43</v>
      </c>
      <c r="I570" s="13" t="s">
        <v>3927</v>
      </c>
      <c r="J570" t="s">
        <v>31</v>
      </c>
      <c r="K570" t="s">
        <v>7886</v>
      </c>
      <c r="L570" t="s">
        <v>7888</v>
      </c>
      <c r="M570" t="s">
        <v>46</v>
      </c>
      <c r="N570" t="s">
        <v>33</v>
      </c>
      <c r="O570" s="17">
        <v>812500</v>
      </c>
      <c r="P570" s="17" t="s">
        <v>7854</v>
      </c>
      <c r="Q570" s="22">
        <v>0</v>
      </c>
      <c r="R570" s="22" t="s">
        <v>7854</v>
      </c>
      <c r="S570" s="24">
        <v>162500</v>
      </c>
      <c r="T570" s="24" t="s">
        <v>7854</v>
      </c>
      <c r="U570" t="s">
        <v>3928</v>
      </c>
    </row>
    <row r="571" spans="1:21" x14ac:dyDescent="0.25">
      <c r="A571">
        <v>579</v>
      </c>
      <c r="B571">
        <v>5169</v>
      </c>
      <c r="C571" t="s">
        <v>3929</v>
      </c>
      <c r="D571" t="s">
        <v>7384</v>
      </c>
      <c r="E571" t="s">
        <v>3933</v>
      </c>
      <c r="F571" t="s">
        <v>53</v>
      </c>
      <c r="G571" t="s">
        <v>3934</v>
      </c>
      <c r="H571" t="s">
        <v>43</v>
      </c>
      <c r="I571" s="13" t="s">
        <v>3935</v>
      </c>
      <c r="J571" t="s">
        <v>45</v>
      </c>
      <c r="K571" t="s">
        <v>7879</v>
      </c>
      <c r="L571" t="s">
        <v>7940</v>
      </c>
      <c r="M571" t="s">
        <v>46</v>
      </c>
      <c r="N571" t="s">
        <v>33</v>
      </c>
      <c r="O571" s="17">
        <v>195000</v>
      </c>
      <c r="P571" s="17" t="s">
        <v>7854</v>
      </c>
      <c r="Q571" s="22">
        <v>0</v>
      </c>
      <c r="R571" s="22" t="s">
        <v>7854</v>
      </c>
      <c r="S571" s="24">
        <v>0</v>
      </c>
      <c r="T571" s="24" t="s">
        <v>7854</v>
      </c>
      <c r="U571" t="s">
        <v>3936</v>
      </c>
    </row>
    <row r="572" spans="1:21" x14ac:dyDescent="0.25">
      <c r="A572">
        <v>580</v>
      </c>
      <c r="B572">
        <v>10374</v>
      </c>
      <c r="C572" t="s">
        <v>3937</v>
      </c>
      <c r="D572" t="s">
        <v>7385</v>
      </c>
      <c r="E572" t="s">
        <v>3940</v>
      </c>
      <c r="F572" t="s">
        <v>53</v>
      </c>
      <c r="G572" t="s">
        <v>3941</v>
      </c>
      <c r="H572" t="s">
        <v>43</v>
      </c>
      <c r="I572" s="13" t="s">
        <v>3942</v>
      </c>
      <c r="J572" t="s">
        <v>31</v>
      </c>
      <c r="K572" t="s">
        <v>7886</v>
      </c>
      <c r="L572" t="s">
        <v>7940</v>
      </c>
      <c r="M572" t="s">
        <v>63</v>
      </c>
      <c r="N572" t="s">
        <v>33</v>
      </c>
      <c r="O572" s="17">
        <v>812500</v>
      </c>
      <c r="P572" s="17" t="s">
        <v>7854</v>
      </c>
      <c r="Q572" s="22">
        <v>0</v>
      </c>
      <c r="R572" s="22" t="s">
        <v>7854</v>
      </c>
      <c r="S572" s="24">
        <v>162500</v>
      </c>
      <c r="T572" s="24" t="s">
        <v>7854</v>
      </c>
      <c r="U572" t="s">
        <v>3943</v>
      </c>
    </row>
    <row r="573" spans="1:21" x14ac:dyDescent="0.25">
      <c r="A573">
        <v>581</v>
      </c>
      <c r="B573">
        <v>19569</v>
      </c>
      <c r="C573" t="s">
        <v>3944</v>
      </c>
      <c r="D573" t="s">
        <v>7386</v>
      </c>
      <c r="E573" t="s">
        <v>3948</v>
      </c>
      <c r="F573" t="s">
        <v>28</v>
      </c>
      <c r="G573" t="s">
        <v>3949</v>
      </c>
      <c r="H573" t="s">
        <v>43</v>
      </c>
      <c r="I573" s="12">
        <v>2348038536811</v>
      </c>
      <c r="J573" t="s">
        <v>31</v>
      </c>
      <c r="K573" t="s">
        <v>7881</v>
      </c>
      <c r="L573" t="s">
        <v>7981</v>
      </c>
      <c r="M573" t="s">
        <v>63</v>
      </c>
      <c r="N573" t="s">
        <v>33</v>
      </c>
      <c r="O573" s="17">
        <v>552500</v>
      </c>
      <c r="P573" s="17" t="s">
        <v>7854</v>
      </c>
      <c r="Q573" s="22">
        <v>0</v>
      </c>
      <c r="R573" s="22" t="s">
        <v>7854</v>
      </c>
      <c r="S573" s="24">
        <v>0</v>
      </c>
      <c r="T573" s="24" t="s">
        <v>7854</v>
      </c>
      <c r="U573" t="s">
        <v>3950</v>
      </c>
    </row>
    <row r="574" spans="1:21" x14ac:dyDescent="0.25">
      <c r="A574">
        <v>582</v>
      </c>
      <c r="B574">
        <v>19462</v>
      </c>
      <c r="C574" t="s">
        <v>3951</v>
      </c>
      <c r="D574" t="s">
        <v>7387</v>
      </c>
      <c r="E574" t="s">
        <v>3955</v>
      </c>
      <c r="F574" t="s">
        <v>28</v>
      </c>
      <c r="G574" t="s">
        <v>3956</v>
      </c>
      <c r="H574" t="s">
        <v>43</v>
      </c>
      <c r="I574" s="13" t="s">
        <v>3957</v>
      </c>
      <c r="J574" t="s">
        <v>31</v>
      </c>
      <c r="K574" t="s">
        <v>7886</v>
      </c>
      <c r="L574" t="s">
        <v>7940</v>
      </c>
      <c r="M574" t="s">
        <v>63</v>
      </c>
      <c r="N574" t="s">
        <v>33</v>
      </c>
      <c r="O574" s="17">
        <v>812500</v>
      </c>
      <c r="P574" s="17" t="s">
        <v>7854</v>
      </c>
      <c r="Q574" s="22">
        <v>0</v>
      </c>
      <c r="R574" s="22" t="s">
        <v>7854</v>
      </c>
      <c r="S574" s="24">
        <v>162500</v>
      </c>
      <c r="T574" s="24" t="s">
        <v>7854</v>
      </c>
      <c r="U574" t="s">
        <v>3958</v>
      </c>
    </row>
    <row r="575" spans="1:21" x14ac:dyDescent="0.25">
      <c r="A575">
        <v>583</v>
      </c>
      <c r="B575">
        <v>24268</v>
      </c>
      <c r="C575" t="s">
        <v>3959</v>
      </c>
      <c r="D575" t="s">
        <v>7388</v>
      </c>
      <c r="E575" t="s">
        <v>3963</v>
      </c>
      <c r="F575" t="s">
        <v>28</v>
      </c>
      <c r="G575" t="s">
        <v>3964</v>
      </c>
      <c r="H575" t="s">
        <v>43</v>
      </c>
      <c r="I575" s="13" t="s">
        <v>3965</v>
      </c>
      <c r="J575" t="s">
        <v>31</v>
      </c>
      <c r="K575" t="s">
        <v>7881</v>
      </c>
      <c r="L575" t="s">
        <v>7888</v>
      </c>
      <c r="M575" t="s">
        <v>63</v>
      </c>
      <c r="N575" t="s">
        <v>33</v>
      </c>
      <c r="O575" s="17">
        <v>552500</v>
      </c>
      <c r="P575" s="17" t="s">
        <v>7854</v>
      </c>
      <c r="Q575" s="22">
        <v>110500</v>
      </c>
      <c r="R575" s="22" t="s">
        <v>7854</v>
      </c>
      <c r="S575" s="24">
        <v>0</v>
      </c>
      <c r="T575" s="24" t="s">
        <v>7854</v>
      </c>
      <c r="U575" t="s">
        <v>3966</v>
      </c>
    </row>
    <row r="576" spans="1:21" x14ac:dyDescent="0.25">
      <c r="A576">
        <v>584</v>
      </c>
      <c r="B576">
        <v>4983</v>
      </c>
      <c r="C576" t="s">
        <v>3967</v>
      </c>
      <c r="D576" t="s">
        <v>7389</v>
      </c>
      <c r="E576" t="s">
        <v>7961</v>
      </c>
      <c r="F576" t="s">
        <v>53</v>
      </c>
      <c r="G576" t="s">
        <v>3971</v>
      </c>
      <c r="H576" t="s">
        <v>43</v>
      </c>
      <c r="I576" s="12">
        <v>2347031577322</v>
      </c>
      <c r="J576" t="s">
        <v>31</v>
      </c>
      <c r="K576" t="s">
        <v>7886</v>
      </c>
      <c r="L576" t="s">
        <v>7940</v>
      </c>
      <c r="M576" t="s">
        <v>63</v>
      </c>
      <c r="N576" t="s">
        <v>33</v>
      </c>
      <c r="O576" s="17">
        <v>812500</v>
      </c>
      <c r="P576" s="17" t="s">
        <v>7854</v>
      </c>
      <c r="Q576" s="22">
        <v>0</v>
      </c>
      <c r="R576" s="22" t="s">
        <v>7854</v>
      </c>
      <c r="S576" s="24">
        <v>162500</v>
      </c>
      <c r="T576" s="24" t="s">
        <v>7854</v>
      </c>
      <c r="U576" t="s">
        <v>3972</v>
      </c>
    </row>
    <row r="577" spans="1:21" x14ac:dyDescent="0.25">
      <c r="A577">
        <v>585</v>
      </c>
      <c r="B577">
        <v>20430</v>
      </c>
      <c r="C577" t="s">
        <v>3973</v>
      </c>
      <c r="D577" t="s">
        <v>7390</v>
      </c>
      <c r="E577" t="s">
        <v>3975</v>
      </c>
      <c r="F577" t="s">
        <v>28</v>
      </c>
      <c r="G577" t="s">
        <v>3681</v>
      </c>
      <c r="H577" t="s">
        <v>43</v>
      </c>
      <c r="I577" s="13" t="s">
        <v>3976</v>
      </c>
      <c r="J577" t="s">
        <v>31</v>
      </c>
      <c r="K577" t="s">
        <v>7881</v>
      </c>
      <c r="L577" t="s">
        <v>7940</v>
      </c>
      <c r="M577" t="s">
        <v>46</v>
      </c>
      <c r="N577" t="s">
        <v>33</v>
      </c>
      <c r="O577" s="17">
        <v>552500</v>
      </c>
      <c r="P577" s="17" t="s">
        <v>7854</v>
      </c>
      <c r="Q577" s="22">
        <v>0</v>
      </c>
      <c r="R577" s="22" t="s">
        <v>7854</v>
      </c>
      <c r="S577" s="24">
        <v>0</v>
      </c>
      <c r="T577" s="24" t="s">
        <v>7854</v>
      </c>
      <c r="U577" t="s">
        <v>3977</v>
      </c>
    </row>
    <row r="578" spans="1:21" x14ac:dyDescent="0.25">
      <c r="A578">
        <v>586</v>
      </c>
      <c r="B578">
        <v>1490</v>
      </c>
      <c r="C578" t="s">
        <v>3978</v>
      </c>
      <c r="D578" t="s">
        <v>7391</v>
      </c>
      <c r="E578" t="s">
        <v>7924</v>
      </c>
      <c r="F578" t="s">
        <v>53</v>
      </c>
      <c r="G578" t="s">
        <v>3982</v>
      </c>
      <c r="H578" t="s">
        <v>43</v>
      </c>
      <c r="I578" s="12">
        <v>8161534496</v>
      </c>
      <c r="J578" t="s">
        <v>31</v>
      </c>
      <c r="K578" t="s">
        <v>7886</v>
      </c>
      <c r="L578" t="s">
        <v>7893</v>
      </c>
      <c r="M578" t="s">
        <v>63</v>
      </c>
      <c r="N578" t="s">
        <v>33</v>
      </c>
      <c r="O578" s="17">
        <v>812500</v>
      </c>
      <c r="P578" s="17" t="s">
        <v>7854</v>
      </c>
      <c r="Q578" s="22">
        <v>0</v>
      </c>
      <c r="R578" s="22" t="s">
        <v>7854</v>
      </c>
      <c r="S578" s="24">
        <v>162500</v>
      </c>
      <c r="T578" s="24" t="s">
        <v>7854</v>
      </c>
      <c r="U578" t="s">
        <v>3983</v>
      </c>
    </row>
    <row r="579" spans="1:21" x14ac:dyDescent="0.25">
      <c r="A579">
        <v>587</v>
      </c>
      <c r="B579">
        <v>18899</v>
      </c>
      <c r="C579" t="s">
        <v>3984</v>
      </c>
      <c r="D579" t="s">
        <v>7392</v>
      </c>
      <c r="E579" t="s">
        <v>3987</v>
      </c>
      <c r="F579" t="s">
        <v>28</v>
      </c>
      <c r="G579" t="s">
        <v>1152</v>
      </c>
      <c r="H579" t="s">
        <v>30</v>
      </c>
      <c r="I579" s="12" t="s">
        <v>3988</v>
      </c>
      <c r="J579" t="s">
        <v>31</v>
      </c>
      <c r="K579" t="s">
        <v>7881</v>
      </c>
      <c r="L579" t="s">
        <v>7940</v>
      </c>
      <c r="M579" t="s">
        <v>455</v>
      </c>
      <c r="N579" t="s">
        <v>33</v>
      </c>
      <c r="O579" s="17">
        <v>552500</v>
      </c>
      <c r="P579" s="17" t="s">
        <v>7854</v>
      </c>
      <c r="Q579" s="22">
        <v>0</v>
      </c>
      <c r="R579" s="22" t="s">
        <v>7854</v>
      </c>
      <c r="S579" s="24">
        <v>0</v>
      </c>
      <c r="T579" s="24" t="s">
        <v>7854</v>
      </c>
      <c r="U579" t="s">
        <v>3989</v>
      </c>
    </row>
    <row r="580" spans="1:21" x14ac:dyDescent="0.25">
      <c r="A580">
        <v>588</v>
      </c>
      <c r="B580">
        <v>5757</v>
      </c>
      <c r="C580" t="s">
        <v>3990</v>
      </c>
      <c r="D580" t="s">
        <v>7393</v>
      </c>
      <c r="E580" t="s">
        <v>3994</v>
      </c>
      <c r="F580" t="s">
        <v>28</v>
      </c>
      <c r="G580" t="s">
        <v>3995</v>
      </c>
      <c r="H580" t="s">
        <v>43</v>
      </c>
      <c r="I580" s="12" t="s">
        <v>3996</v>
      </c>
      <c r="J580" t="s">
        <v>31</v>
      </c>
      <c r="K580" t="s">
        <v>7886</v>
      </c>
      <c r="L580" t="s">
        <v>7940</v>
      </c>
      <c r="M580" t="s">
        <v>63</v>
      </c>
      <c r="N580" t="s">
        <v>33</v>
      </c>
      <c r="O580" s="17">
        <v>812500</v>
      </c>
      <c r="P580" s="17" t="s">
        <v>7854</v>
      </c>
      <c r="Q580" s="22">
        <v>0</v>
      </c>
      <c r="R580" s="22" t="s">
        <v>7854</v>
      </c>
      <c r="S580" s="24">
        <v>162500</v>
      </c>
      <c r="T580" s="24" t="s">
        <v>7854</v>
      </c>
      <c r="U580" t="s">
        <v>3997</v>
      </c>
    </row>
    <row r="581" spans="1:21" x14ac:dyDescent="0.25">
      <c r="A581">
        <v>589</v>
      </c>
      <c r="B581">
        <v>24471</v>
      </c>
      <c r="C581" t="s">
        <v>3998</v>
      </c>
      <c r="D581" t="s">
        <v>7394</v>
      </c>
      <c r="E581" t="s">
        <v>4001</v>
      </c>
      <c r="F581" t="s">
        <v>53</v>
      </c>
      <c r="G581" t="s">
        <v>4002</v>
      </c>
      <c r="H581" t="s">
        <v>43</v>
      </c>
      <c r="I581" s="13" t="s">
        <v>4003</v>
      </c>
      <c r="J581" t="s">
        <v>31</v>
      </c>
      <c r="K581" t="s">
        <v>7879</v>
      </c>
      <c r="L581" t="s">
        <v>8028</v>
      </c>
      <c r="M581" t="s">
        <v>63</v>
      </c>
      <c r="N581" t="s">
        <v>33</v>
      </c>
      <c r="O581" s="17">
        <v>195000</v>
      </c>
      <c r="P581" s="17" t="s">
        <v>7854</v>
      </c>
      <c r="Q581" s="22">
        <v>0</v>
      </c>
      <c r="R581" s="22" t="s">
        <v>7854</v>
      </c>
      <c r="S581" s="24">
        <v>0</v>
      </c>
      <c r="T581" s="24" t="s">
        <v>7854</v>
      </c>
      <c r="U581" t="s">
        <v>4004</v>
      </c>
    </row>
    <row r="582" spans="1:21" x14ac:dyDescent="0.25">
      <c r="A582">
        <v>590</v>
      </c>
      <c r="B582">
        <v>24214</v>
      </c>
      <c r="C582" t="s">
        <v>4005</v>
      </c>
      <c r="D582" t="s">
        <v>7395</v>
      </c>
      <c r="E582" t="s">
        <v>4006</v>
      </c>
      <c r="F582" t="s">
        <v>28</v>
      </c>
      <c r="G582" t="s">
        <v>2677</v>
      </c>
      <c r="H582" t="s">
        <v>43</v>
      </c>
      <c r="I582" s="13" t="s">
        <v>4007</v>
      </c>
      <c r="J582" t="s">
        <v>31</v>
      </c>
      <c r="K582" t="s">
        <v>7879</v>
      </c>
      <c r="L582" t="s">
        <v>7981</v>
      </c>
      <c r="M582" t="s">
        <v>63</v>
      </c>
      <c r="N582" t="s">
        <v>33</v>
      </c>
      <c r="O582" s="17">
        <v>195000</v>
      </c>
      <c r="P582" s="17" t="s">
        <v>7854</v>
      </c>
      <c r="Q582" s="22">
        <v>0</v>
      </c>
      <c r="R582" s="22" t="s">
        <v>7854</v>
      </c>
      <c r="S582" s="24">
        <v>0</v>
      </c>
      <c r="T582" s="24" t="s">
        <v>7854</v>
      </c>
      <c r="U582" t="s">
        <v>4008</v>
      </c>
    </row>
    <row r="583" spans="1:21" x14ac:dyDescent="0.25">
      <c r="A583">
        <v>591</v>
      </c>
      <c r="B583">
        <v>24451</v>
      </c>
      <c r="C583" t="s">
        <v>4009</v>
      </c>
      <c r="D583" t="s">
        <v>7396</v>
      </c>
      <c r="E583" t="s">
        <v>4013</v>
      </c>
      <c r="F583" t="s">
        <v>28</v>
      </c>
      <c r="G583" t="s">
        <v>4014</v>
      </c>
      <c r="H583" t="s">
        <v>43</v>
      </c>
      <c r="I583" s="13" t="s">
        <v>4015</v>
      </c>
      <c r="J583" t="s">
        <v>31</v>
      </c>
      <c r="K583" t="s">
        <v>7879</v>
      </c>
      <c r="L583" t="s">
        <v>7940</v>
      </c>
      <c r="M583" t="s">
        <v>87</v>
      </c>
      <c r="N583" t="s">
        <v>33</v>
      </c>
      <c r="O583" s="17">
        <v>195000</v>
      </c>
      <c r="P583" s="17" t="s">
        <v>7854</v>
      </c>
      <c r="Q583" s="22">
        <v>0</v>
      </c>
      <c r="R583" s="22" t="s">
        <v>7854</v>
      </c>
      <c r="S583" s="24">
        <v>0</v>
      </c>
      <c r="T583" s="24" t="s">
        <v>7854</v>
      </c>
      <c r="U583" t="s">
        <v>4016</v>
      </c>
    </row>
    <row r="584" spans="1:21" x14ac:dyDescent="0.25">
      <c r="A584">
        <v>592</v>
      </c>
      <c r="B584">
        <v>23976</v>
      </c>
      <c r="C584" t="s">
        <v>4017</v>
      </c>
      <c r="D584" t="s">
        <v>7397</v>
      </c>
      <c r="E584" t="s">
        <v>4021</v>
      </c>
      <c r="F584" t="s">
        <v>28</v>
      </c>
      <c r="G584" t="s">
        <v>4022</v>
      </c>
      <c r="H584" t="s">
        <v>453</v>
      </c>
      <c r="I584" s="12" t="s">
        <v>4023</v>
      </c>
      <c r="J584" t="s">
        <v>31</v>
      </c>
      <c r="K584" t="s">
        <v>7879</v>
      </c>
      <c r="L584" t="s">
        <v>7940</v>
      </c>
      <c r="M584" t="s">
        <v>455</v>
      </c>
      <c r="N584" t="s">
        <v>130</v>
      </c>
      <c r="O584" s="17" t="s">
        <v>7854</v>
      </c>
      <c r="P584" s="17">
        <v>150</v>
      </c>
      <c r="Q584" s="22" t="s">
        <v>7854</v>
      </c>
      <c r="R584" s="22">
        <v>0</v>
      </c>
      <c r="S584" s="24" t="s">
        <v>7854</v>
      </c>
      <c r="T584" s="24">
        <v>0</v>
      </c>
      <c r="U584" t="s">
        <v>4024</v>
      </c>
    </row>
    <row r="585" spans="1:21" x14ac:dyDescent="0.25">
      <c r="A585">
        <v>593</v>
      </c>
      <c r="B585">
        <v>19264</v>
      </c>
      <c r="C585" t="s">
        <v>4025</v>
      </c>
      <c r="D585" t="s">
        <v>7398</v>
      </c>
      <c r="E585" t="s">
        <v>4027</v>
      </c>
      <c r="F585" t="s">
        <v>28</v>
      </c>
      <c r="G585" t="s">
        <v>4028</v>
      </c>
      <c r="H585" t="s">
        <v>43</v>
      </c>
      <c r="I585" s="13" t="s">
        <v>4029</v>
      </c>
      <c r="J585" t="s">
        <v>31</v>
      </c>
      <c r="K585" t="s">
        <v>7881</v>
      </c>
      <c r="L585" t="s">
        <v>7893</v>
      </c>
      <c r="M585" t="s">
        <v>46</v>
      </c>
      <c r="N585" t="s">
        <v>33</v>
      </c>
      <c r="O585" s="17">
        <v>552500</v>
      </c>
      <c r="P585" s="17" t="s">
        <v>7854</v>
      </c>
      <c r="Q585" s="22">
        <v>0</v>
      </c>
      <c r="R585" s="22" t="s">
        <v>7854</v>
      </c>
      <c r="S585" s="24">
        <v>0</v>
      </c>
      <c r="T585" s="24" t="s">
        <v>7854</v>
      </c>
      <c r="U585" t="s">
        <v>4030</v>
      </c>
    </row>
    <row r="586" spans="1:21" x14ac:dyDescent="0.25">
      <c r="A586">
        <v>594</v>
      </c>
      <c r="B586">
        <v>2134</v>
      </c>
      <c r="C586" t="s">
        <v>4031</v>
      </c>
      <c r="D586" t="s">
        <v>7399</v>
      </c>
      <c r="E586" t="s">
        <v>8004</v>
      </c>
      <c r="F586" t="s">
        <v>28</v>
      </c>
      <c r="G586" t="s">
        <v>2443</v>
      </c>
      <c r="H586" t="s">
        <v>43</v>
      </c>
      <c r="I586" s="12">
        <v>8039207203</v>
      </c>
      <c r="J586" t="s">
        <v>31</v>
      </c>
      <c r="K586" t="s">
        <v>7886</v>
      </c>
      <c r="L586" t="s">
        <v>7981</v>
      </c>
      <c r="M586" t="s">
        <v>46</v>
      </c>
      <c r="N586" t="s">
        <v>33</v>
      </c>
      <c r="O586" s="17">
        <v>812500</v>
      </c>
      <c r="P586" s="17" t="s">
        <v>7854</v>
      </c>
      <c r="Q586" s="22">
        <v>0</v>
      </c>
      <c r="R586" s="22" t="s">
        <v>7854</v>
      </c>
      <c r="S586" s="24">
        <v>162500</v>
      </c>
      <c r="T586" s="24" t="s">
        <v>7854</v>
      </c>
      <c r="U586" t="s">
        <v>4033</v>
      </c>
    </row>
    <row r="587" spans="1:21" x14ac:dyDescent="0.25">
      <c r="A587">
        <v>595</v>
      </c>
      <c r="B587">
        <v>6354</v>
      </c>
      <c r="C587" t="s">
        <v>4034</v>
      </c>
      <c r="D587" t="s">
        <v>7400</v>
      </c>
      <c r="E587" t="s">
        <v>7962</v>
      </c>
      <c r="F587" t="s">
        <v>28</v>
      </c>
      <c r="G587" t="s">
        <v>4037</v>
      </c>
      <c r="H587" t="s">
        <v>43</v>
      </c>
      <c r="I587" s="13" t="s">
        <v>4038</v>
      </c>
      <c r="J587" t="s">
        <v>1207</v>
      </c>
      <c r="K587" t="s">
        <v>7886</v>
      </c>
      <c r="L587" t="s">
        <v>7940</v>
      </c>
      <c r="M587" t="s">
        <v>46</v>
      </c>
      <c r="N587" t="s">
        <v>33</v>
      </c>
      <c r="O587" s="17">
        <v>812500</v>
      </c>
      <c r="P587" s="17" t="s">
        <v>7854</v>
      </c>
      <c r="Q587" s="22">
        <v>0</v>
      </c>
      <c r="R587" s="22" t="s">
        <v>7854</v>
      </c>
      <c r="S587" s="24">
        <v>162500</v>
      </c>
      <c r="T587" s="24" t="s">
        <v>7854</v>
      </c>
      <c r="U587" t="s">
        <v>4039</v>
      </c>
    </row>
    <row r="588" spans="1:21" x14ac:dyDescent="0.25">
      <c r="A588">
        <v>596</v>
      </c>
      <c r="B588">
        <v>22520</v>
      </c>
      <c r="C588" t="s">
        <v>4040</v>
      </c>
      <c r="D588" t="s">
        <v>7401</v>
      </c>
      <c r="E588" t="s">
        <v>7963</v>
      </c>
      <c r="F588" t="s">
        <v>28</v>
      </c>
      <c r="G588" t="s">
        <v>4043</v>
      </c>
      <c r="H588" t="s">
        <v>43</v>
      </c>
      <c r="I588" s="12">
        <v>2349032828496</v>
      </c>
      <c r="J588" t="s">
        <v>31</v>
      </c>
      <c r="K588" t="s">
        <v>7879</v>
      </c>
      <c r="L588" t="s">
        <v>7940</v>
      </c>
      <c r="M588" t="s">
        <v>63</v>
      </c>
      <c r="N588" t="s">
        <v>33</v>
      </c>
      <c r="O588" s="17">
        <v>195000</v>
      </c>
      <c r="P588" s="17" t="s">
        <v>7854</v>
      </c>
      <c r="Q588" s="22">
        <v>0</v>
      </c>
      <c r="R588" s="22" t="s">
        <v>7854</v>
      </c>
      <c r="S588" s="24">
        <v>0</v>
      </c>
      <c r="T588" s="24" t="s">
        <v>7854</v>
      </c>
      <c r="U588" t="s">
        <v>4044</v>
      </c>
    </row>
    <row r="589" spans="1:21" x14ac:dyDescent="0.25">
      <c r="A589">
        <v>597</v>
      </c>
      <c r="B589">
        <v>5493</v>
      </c>
      <c r="C589" t="s">
        <v>4045</v>
      </c>
      <c r="D589" t="s">
        <v>7402</v>
      </c>
      <c r="E589" t="s">
        <v>7925</v>
      </c>
      <c r="F589" t="s">
        <v>53</v>
      </c>
      <c r="G589" t="s">
        <v>4049</v>
      </c>
      <c r="H589" t="s">
        <v>43</v>
      </c>
      <c r="I589" s="12">
        <v>8037827888</v>
      </c>
      <c r="J589" t="s">
        <v>45</v>
      </c>
      <c r="K589" t="s">
        <v>7881</v>
      </c>
      <c r="L589" t="s">
        <v>7893</v>
      </c>
      <c r="M589" t="s">
        <v>46</v>
      </c>
      <c r="N589" t="s">
        <v>33</v>
      </c>
      <c r="O589" s="17">
        <v>552500</v>
      </c>
      <c r="P589" s="17" t="s">
        <v>7854</v>
      </c>
      <c r="Q589" s="22">
        <v>0</v>
      </c>
      <c r="R589" s="22" t="s">
        <v>7854</v>
      </c>
      <c r="S589" s="24">
        <v>0</v>
      </c>
      <c r="T589" s="24" t="s">
        <v>7854</v>
      </c>
      <c r="U589" t="s">
        <v>4050</v>
      </c>
    </row>
    <row r="590" spans="1:21" x14ac:dyDescent="0.25">
      <c r="A590">
        <v>598</v>
      </c>
      <c r="B590">
        <v>24340</v>
      </c>
      <c r="C590" t="s">
        <v>4051</v>
      </c>
      <c r="D590" t="s">
        <v>7403</v>
      </c>
      <c r="E590" t="s">
        <v>4054</v>
      </c>
      <c r="F590" t="s">
        <v>53</v>
      </c>
      <c r="G590" t="s">
        <v>4055</v>
      </c>
      <c r="H590" t="s">
        <v>43</v>
      </c>
      <c r="I590" s="13" t="s">
        <v>4056</v>
      </c>
      <c r="J590" t="s">
        <v>31</v>
      </c>
      <c r="K590" t="s">
        <v>7879</v>
      </c>
      <c r="L590" t="s">
        <v>7893</v>
      </c>
      <c r="M590" t="s">
        <v>63</v>
      </c>
      <c r="N590" t="s">
        <v>33</v>
      </c>
      <c r="O590" s="17">
        <v>195000</v>
      </c>
      <c r="P590" s="17" t="s">
        <v>7854</v>
      </c>
      <c r="Q590" s="22">
        <v>0</v>
      </c>
      <c r="R590" s="22" t="s">
        <v>7854</v>
      </c>
      <c r="S590" s="24">
        <v>0</v>
      </c>
      <c r="T590" s="24" t="s">
        <v>7854</v>
      </c>
      <c r="U590" t="s">
        <v>4057</v>
      </c>
    </row>
    <row r="591" spans="1:21" x14ac:dyDescent="0.25">
      <c r="A591">
        <v>599</v>
      </c>
      <c r="B591">
        <v>24426</v>
      </c>
      <c r="C591" t="s">
        <v>4058</v>
      </c>
      <c r="D591" t="s">
        <v>7404</v>
      </c>
      <c r="E591" t="s">
        <v>4061</v>
      </c>
      <c r="F591" t="s">
        <v>53</v>
      </c>
      <c r="G591" t="s">
        <v>4062</v>
      </c>
      <c r="H591" t="s">
        <v>43</v>
      </c>
      <c r="I591" s="12">
        <v>2349039968196</v>
      </c>
      <c r="J591" t="s">
        <v>31</v>
      </c>
      <c r="K591" t="s">
        <v>7879</v>
      </c>
      <c r="L591" t="s">
        <v>7893</v>
      </c>
      <c r="M591" t="s">
        <v>63</v>
      </c>
      <c r="N591" t="s">
        <v>33</v>
      </c>
      <c r="O591" s="17">
        <v>195000</v>
      </c>
      <c r="P591" s="17" t="s">
        <v>7854</v>
      </c>
      <c r="Q591" s="22">
        <v>0</v>
      </c>
      <c r="R591" s="22" t="s">
        <v>7854</v>
      </c>
      <c r="S591" s="24">
        <v>0</v>
      </c>
      <c r="T591" s="24" t="s">
        <v>7854</v>
      </c>
      <c r="U591" t="s">
        <v>4063</v>
      </c>
    </row>
    <row r="592" spans="1:21" x14ac:dyDescent="0.25">
      <c r="A592">
        <v>600</v>
      </c>
      <c r="B592">
        <v>21117</v>
      </c>
      <c r="C592" t="s">
        <v>4064</v>
      </c>
      <c r="D592" t="s">
        <v>7405</v>
      </c>
      <c r="E592" t="s">
        <v>4068</v>
      </c>
      <c r="F592" t="s">
        <v>53</v>
      </c>
      <c r="G592" t="s">
        <v>4069</v>
      </c>
      <c r="H592" t="s">
        <v>43</v>
      </c>
      <c r="I592" s="13" t="s">
        <v>4070</v>
      </c>
      <c r="J592" t="s">
        <v>31</v>
      </c>
      <c r="K592" t="s">
        <v>7881</v>
      </c>
      <c r="L592" t="s">
        <v>7981</v>
      </c>
      <c r="M592" t="s">
        <v>46</v>
      </c>
      <c r="N592" t="s">
        <v>33</v>
      </c>
      <c r="O592" s="17">
        <v>552500</v>
      </c>
      <c r="P592" s="17" t="s">
        <v>7854</v>
      </c>
      <c r="Q592" s="22">
        <v>0</v>
      </c>
      <c r="R592" s="22" t="s">
        <v>7854</v>
      </c>
      <c r="S592" s="24">
        <v>0</v>
      </c>
      <c r="T592" s="24" t="s">
        <v>7854</v>
      </c>
      <c r="U592" t="s">
        <v>4071</v>
      </c>
    </row>
    <row r="593" spans="1:21" x14ac:dyDescent="0.25">
      <c r="A593">
        <v>601</v>
      </c>
      <c r="B593">
        <v>7792</v>
      </c>
      <c r="C593" t="s">
        <v>4072</v>
      </c>
      <c r="D593" t="s">
        <v>7406</v>
      </c>
      <c r="E593" t="s">
        <v>4075</v>
      </c>
      <c r="F593" t="s">
        <v>28</v>
      </c>
      <c r="G593" t="s">
        <v>4076</v>
      </c>
      <c r="H593" t="s">
        <v>43</v>
      </c>
      <c r="I593" s="12">
        <v>7030656265</v>
      </c>
      <c r="J593" t="s">
        <v>31</v>
      </c>
      <c r="K593" t="s">
        <v>7886</v>
      </c>
      <c r="L593" t="s">
        <v>7981</v>
      </c>
      <c r="M593" t="s">
        <v>63</v>
      </c>
      <c r="N593" t="s">
        <v>33</v>
      </c>
      <c r="O593" s="17">
        <v>812500</v>
      </c>
      <c r="P593" s="17" t="s">
        <v>7854</v>
      </c>
      <c r="Q593" s="22">
        <v>0</v>
      </c>
      <c r="R593" s="22" t="s">
        <v>7854</v>
      </c>
      <c r="S593" s="24">
        <v>162500</v>
      </c>
      <c r="T593" s="24" t="s">
        <v>7854</v>
      </c>
      <c r="U593" t="s">
        <v>4077</v>
      </c>
    </row>
    <row r="594" spans="1:21" x14ac:dyDescent="0.25">
      <c r="A594">
        <v>602</v>
      </c>
      <c r="B594">
        <v>8135</v>
      </c>
      <c r="C594" t="s">
        <v>4078</v>
      </c>
      <c r="D594" t="s">
        <v>7407</v>
      </c>
      <c r="E594" t="s">
        <v>8005</v>
      </c>
      <c r="F594" t="s">
        <v>53</v>
      </c>
      <c r="G594" t="s">
        <v>4082</v>
      </c>
      <c r="H594" t="s">
        <v>43</v>
      </c>
      <c r="I594" s="12">
        <v>7060489302</v>
      </c>
      <c r="J594" t="s">
        <v>31</v>
      </c>
      <c r="K594" t="s">
        <v>7886</v>
      </c>
      <c r="L594" t="s">
        <v>7981</v>
      </c>
      <c r="M594" t="s">
        <v>63</v>
      </c>
      <c r="N594" t="s">
        <v>33</v>
      </c>
      <c r="O594" s="17">
        <v>812500</v>
      </c>
      <c r="P594" s="17" t="s">
        <v>7854</v>
      </c>
      <c r="Q594" s="22">
        <v>0</v>
      </c>
      <c r="R594" s="22" t="s">
        <v>7854</v>
      </c>
      <c r="S594" s="24">
        <v>162500</v>
      </c>
      <c r="T594" s="24" t="s">
        <v>7854</v>
      </c>
      <c r="U594" t="s">
        <v>4083</v>
      </c>
    </row>
    <row r="595" spans="1:21" x14ac:dyDescent="0.25">
      <c r="A595">
        <v>603</v>
      </c>
      <c r="B595">
        <v>24429</v>
      </c>
      <c r="C595" t="s">
        <v>4084</v>
      </c>
      <c r="D595" t="s">
        <v>7408</v>
      </c>
      <c r="E595" t="s">
        <v>4088</v>
      </c>
      <c r="F595" t="s">
        <v>53</v>
      </c>
      <c r="G595" t="s">
        <v>4089</v>
      </c>
      <c r="H595" t="s">
        <v>43</v>
      </c>
      <c r="I595" s="13" t="s">
        <v>4090</v>
      </c>
      <c r="J595" t="s">
        <v>31</v>
      </c>
      <c r="K595" t="s">
        <v>7879</v>
      </c>
      <c r="L595" t="s">
        <v>7940</v>
      </c>
      <c r="M595" t="s">
        <v>63</v>
      </c>
      <c r="N595" t="s">
        <v>33</v>
      </c>
      <c r="O595" s="17">
        <v>195000</v>
      </c>
      <c r="P595" s="17" t="s">
        <v>7854</v>
      </c>
      <c r="Q595" s="22">
        <v>0</v>
      </c>
      <c r="R595" s="22" t="s">
        <v>7854</v>
      </c>
      <c r="S595" s="24">
        <v>0</v>
      </c>
      <c r="T595" s="24" t="s">
        <v>7854</v>
      </c>
      <c r="U595" t="s">
        <v>4091</v>
      </c>
    </row>
    <row r="596" spans="1:21" x14ac:dyDescent="0.25">
      <c r="A596">
        <v>604</v>
      </c>
      <c r="B596">
        <v>4328</v>
      </c>
      <c r="C596" t="s">
        <v>4092</v>
      </c>
      <c r="D596" t="s">
        <v>7409</v>
      </c>
      <c r="E596" t="s">
        <v>4095</v>
      </c>
      <c r="F596" t="s">
        <v>53</v>
      </c>
      <c r="G596" t="s">
        <v>4096</v>
      </c>
      <c r="H596" t="s">
        <v>43</v>
      </c>
      <c r="I596" s="13" t="s">
        <v>4097</v>
      </c>
      <c r="J596" t="s">
        <v>31</v>
      </c>
      <c r="K596" t="s">
        <v>7881</v>
      </c>
      <c r="L596" t="s">
        <v>7893</v>
      </c>
      <c r="M596" t="s">
        <v>63</v>
      </c>
      <c r="N596" t="s">
        <v>33</v>
      </c>
      <c r="O596" s="17">
        <v>552500</v>
      </c>
      <c r="P596" s="17" t="s">
        <v>7854</v>
      </c>
      <c r="Q596" s="22">
        <v>0</v>
      </c>
      <c r="R596" s="22" t="s">
        <v>7854</v>
      </c>
      <c r="S596" s="24">
        <v>0</v>
      </c>
      <c r="T596" s="24" t="s">
        <v>7854</v>
      </c>
      <c r="U596" t="s">
        <v>4098</v>
      </c>
    </row>
    <row r="597" spans="1:21" x14ac:dyDescent="0.25">
      <c r="A597">
        <v>605</v>
      </c>
      <c r="B597">
        <v>6047</v>
      </c>
      <c r="C597" t="s">
        <v>4099</v>
      </c>
      <c r="D597" t="s">
        <v>7410</v>
      </c>
      <c r="E597" t="s">
        <v>7964</v>
      </c>
      <c r="F597" t="s">
        <v>28</v>
      </c>
      <c r="G597" t="s">
        <v>4101</v>
      </c>
      <c r="H597" t="s">
        <v>43</v>
      </c>
      <c r="I597" s="12" t="s">
        <v>4102</v>
      </c>
      <c r="J597" t="s">
        <v>31</v>
      </c>
      <c r="K597" t="s">
        <v>7886</v>
      </c>
      <c r="L597" t="s">
        <v>7940</v>
      </c>
      <c r="M597" t="s">
        <v>46</v>
      </c>
      <c r="N597" t="s">
        <v>33</v>
      </c>
      <c r="O597" s="17">
        <v>812500</v>
      </c>
      <c r="P597" s="17" t="s">
        <v>7854</v>
      </c>
      <c r="Q597" s="22">
        <v>0</v>
      </c>
      <c r="R597" s="22" t="s">
        <v>7854</v>
      </c>
      <c r="S597" s="24">
        <v>162500</v>
      </c>
      <c r="T597" s="24" t="s">
        <v>7854</v>
      </c>
      <c r="U597" t="s">
        <v>4103</v>
      </c>
    </row>
    <row r="598" spans="1:21" x14ac:dyDescent="0.25">
      <c r="A598">
        <v>606</v>
      </c>
      <c r="B598">
        <v>10266</v>
      </c>
      <c r="C598" t="s">
        <v>4104</v>
      </c>
      <c r="D598" t="s">
        <v>7411</v>
      </c>
      <c r="E598" t="s">
        <v>4106</v>
      </c>
      <c r="F598" t="s">
        <v>28</v>
      </c>
      <c r="G598" t="s">
        <v>4107</v>
      </c>
      <c r="H598" t="s">
        <v>43</v>
      </c>
      <c r="I598" s="13" t="s">
        <v>4108</v>
      </c>
      <c r="J598" t="s">
        <v>31</v>
      </c>
      <c r="K598" t="s">
        <v>7881</v>
      </c>
      <c r="L598" t="s">
        <v>7981</v>
      </c>
      <c r="M598" t="s">
        <v>46</v>
      </c>
      <c r="N598" t="s">
        <v>33</v>
      </c>
      <c r="O598" s="17">
        <v>552500</v>
      </c>
      <c r="P598" s="17" t="s">
        <v>7854</v>
      </c>
      <c r="Q598" s="22">
        <v>0</v>
      </c>
      <c r="R598" s="22" t="s">
        <v>7854</v>
      </c>
      <c r="S598" s="24">
        <v>0</v>
      </c>
      <c r="T598" s="24" t="s">
        <v>7854</v>
      </c>
      <c r="U598" t="s">
        <v>4109</v>
      </c>
    </row>
    <row r="599" spans="1:21" x14ac:dyDescent="0.25">
      <c r="A599">
        <v>607</v>
      </c>
      <c r="B599">
        <v>24373</v>
      </c>
      <c r="C599" t="s">
        <v>4110</v>
      </c>
      <c r="D599" t="s">
        <v>7412</v>
      </c>
      <c r="E599" t="s">
        <v>4113</v>
      </c>
      <c r="F599" t="s">
        <v>53</v>
      </c>
      <c r="G599" t="s">
        <v>4114</v>
      </c>
      <c r="H599" t="s">
        <v>43</v>
      </c>
      <c r="I599" s="13" t="s">
        <v>4115</v>
      </c>
      <c r="J599" t="s">
        <v>31</v>
      </c>
      <c r="K599" t="s">
        <v>7879</v>
      </c>
      <c r="L599" t="s">
        <v>7940</v>
      </c>
      <c r="M599" t="s">
        <v>63</v>
      </c>
      <c r="N599" t="s">
        <v>33</v>
      </c>
      <c r="O599" s="17">
        <v>195000</v>
      </c>
      <c r="P599" s="17" t="s">
        <v>7854</v>
      </c>
      <c r="Q599" s="22">
        <v>0</v>
      </c>
      <c r="R599" s="22" t="s">
        <v>7854</v>
      </c>
      <c r="S599" s="24">
        <v>0</v>
      </c>
      <c r="T599" s="24" t="s">
        <v>7854</v>
      </c>
      <c r="U599" t="s">
        <v>4116</v>
      </c>
    </row>
    <row r="600" spans="1:21" x14ac:dyDescent="0.25">
      <c r="A600">
        <v>608</v>
      </c>
      <c r="B600">
        <v>1559</v>
      </c>
      <c r="C600" t="s">
        <v>4117</v>
      </c>
      <c r="D600" t="s">
        <v>7413</v>
      </c>
      <c r="E600" t="s">
        <v>8006</v>
      </c>
      <c r="F600" t="s">
        <v>53</v>
      </c>
      <c r="G600" t="s">
        <v>4120</v>
      </c>
      <c r="H600" t="s">
        <v>43</v>
      </c>
      <c r="I600" s="12">
        <v>8036516058</v>
      </c>
      <c r="J600" t="s">
        <v>2333</v>
      </c>
      <c r="K600" t="s">
        <v>7886</v>
      </c>
      <c r="L600" t="s">
        <v>7981</v>
      </c>
      <c r="M600" t="s">
        <v>46</v>
      </c>
      <c r="N600" t="s">
        <v>33</v>
      </c>
      <c r="O600" s="17">
        <v>812500</v>
      </c>
      <c r="P600" s="17" t="s">
        <v>7854</v>
      </c>
      <c r="Q600" s="22">
        <v>0</v>
      </c>
      <c r="R600" s="22" t="s">
        <v>7854</v>
      </c>
      <c r="S600" s="24">
        <v>162500</v>
      </c>
      <c r="T600" s="24" t="s">
        <v>7854</v>
      </c>
      <c r="U600" t="s">
        <v>4121</v>
      </c>
    </row>
    <row r="601" spans="1:21" x14ac:dyDescent="0.25">
      <c r="A601">
        <v>609</v>
      </c>
      <c r="B601">
        <v>5252</v>
      </c>
      <c r="C601" t="s">
        <v>4122</v>
      </c>
      <c r="D601" t="s">
        <v>7414</v>
      </c>
      <c r="E601" t="s">
        <v>7910</v>
      </c>
      <c r="F601" t="s">
        <v>28</v>
      </c>
      <c r="G601" t="s">
        <v>717</v>
      </c>
      <c r="H601" t="s">
        <v>43</v>
      </c>
      <c r="I601" s="12">
        <v>8033790384</v>
      </c>
      <c r="J601" t="s">
        <v>31</v>
      </c>
      <c r="K601" t="s">
        <v>7886</v>
      </c>
      <c r="L601" t="s">
        <v>7893</v>
      </c>
      <c r="M601" t="s">
        <v>63</v>
      </c>
      <c r="N601" t="s">
        <v>33</v>
      </c>
      <c r="O601" s="17">
        <v>812500</v>
      </c>
      <c r="P601" s="17" t="s">
        <v>7854</v>
      </c>
      <c r="Q601" s="22">
        <v>0</v>
      </c>
      <c r="R601" s="22" t="s">
        <v>7854</v>
      </c>
      <c r="S601" s="24">
        <v>162500</v>
      </c>
      <c r="T601" s="24" t="s">
        <v>7854</v>
      </c>
      <c r="U601" t="s">
        <v>4125</v>
      </c>
    </row>
    <row r="602" spans="1:21" x14ac:dyDescent="0.25">
      <c r="A602">
        <v>610</v>
      </c>
      <c r="B602">
        <v>5956</v>
      </c>
      <c r="C602" t="s">
        <v>4126</v>
      </c>
      <c r="D602" t="s">
        <v>7415</v>
      </c>
      <c r="E602" t="s">
        <v>7965</v>
      </c>
      <c r="F602" t="s">
        <v>53</v>
      </c>
      <c r="G602" t="s">
        <v>4129</v>
      </c>
      <c r="H602" t="s">
        <v>43</v>
      </c>
      <c r="I602" s="13" t="s">
        <v>4130</v>
      </c>
      <c r="J602" t="s">
        <v>31</v>
      </c>
      <c r="K602" t="s">
        <v>7886</v>
      </c>
      <c r="L602" t="s">
        <v>7940</v>
      </c>
      <c r="M602" t="s">
        <v>63</v>
      </c>
      <c r="N602" t="s">
        <v>33</v>
      </c>
      <c r="O602" s="17">
        <v>812500</v>
      </c>
      <c r="P602" s="17" t="s">
        <v>7854</v>
      </c>
      <c r="Q602" s="22">
        <v>0</v>
      </c>
      <c r="R602" s="22" t="s">
        <v>7854</v>
      </c>
      <c r="S602" s="24">
        <v>162500</v>
      </c>
      <c r="T602" s="24" t="s">
        <v>7854</v>
      </c>
      <c r="U602" t="s">
        <v>4131</v>
      </c>
    </row>
    <row r="603" spans="1:21" x14ac:dyDescent="0.25">
      <c r="A603">
        <v>611</v>
      </c>
      <c r="B603">
        <v>24478</v>
      </c>
      <c r="C603" t="s">
        <v>4132</v>
      </c>
      <c r="D603" t="s">
        <v>7416</v>
      </c>
      <c r="E603" t="s">
        <v>4134</v>
      </c>
      <c r="F603" t="s">
        <v>53</v>
      </c>
      <c r="G603" t="s">
        <v>4135</v>
      </c>
      <c r="H603" t="s">
        <v>43</v>
      </c>
      <c r="I603" s="13" t="s">
        <v>4136</v>
      </c>
      <c r="J603" t="s">
        <v>31</v>
      </c>
      <c r="K603" t="s">
        <v>7879</v>
      </c>
      <c r="L603" t="s">
        <v>7893</v>
      </c>
      <c r="M603" t="s">
        <v>46</v>
      </c>
      <c r="N603" t="s">
        <v>33</v>
      </c>
      <c r="O603" s="17">
        <v>195000</v>
      </c>
      <c r="P603" s="17" t="s">
        <v>7854</v>
      </c>
      <c r="Q603" s="22">
        <v>0</v>
      </c>
      <c r="R603" s="22" t="s">
        <v>7854</v>
      </c>
      <c r="S603" s="24">
        <v>0</v>
      </c>
      <c r="T603" s="24" t="s">
        <v>7854</v>
      </c>
      <c r="U603" t="s">
        <v>4137</v>
      </c>
    </row>
    <row r="604" spans="1:21" x14ac:dyDescent="0.25">
      <c r="A604">
        <v>612</v>
      </c>
      <c r="B604">
        <v>1385</v>
      </c>
      <c r="C604" t="s">
        <v>4138</v>
      </c>
      <c r="D604" t="s">
        <v>7417</v>
      </c>
      <c r="E604" t="s">
        <v>7926</v>
      </c>
      <c r="F604" t="s">
        <v>53</v>
      </c>
      <c r="G604" t="s">
        <v>4140</v>
      </c>
      <c r="H604" t="s">
        <v>43</v>
      </c>
      <c r="I604" s="12">
        <v>8032828142</v>
      </c>
      <c r="J604" t="s">
        <v>31</v>
      </c>
      <c r="K604" t="s">
        <v>7886</v>
      </c>
      <c r="L604" t="s">
        <v>7893</v>
      </c>
      <c r="M604" t="s">
        <v>46</v>
      </c>
      <c r="N604" t="s">
        <v>33</v>
      </c>
      <c r="O604" s="17">
        <v>812500</v>
      </c>
      <c r="P604" s="17" t="s">
        <v>7854</v>
      </c>
      <c r="Q604" s="22">
        <v>0</v>
      </c>
      <c r="R604" s="22" t="s">
        <v>7854</v>
      </c>
      <c r="S604" s="24">
        <v>162500</v>
      </c>
      <c r="T604" s="24" t="s">
        <v>7854</v>
      </c>
      <c r="U604" t="s">
        <v>4141</v>
      </c>
    </row>
    <row r="605" spans="1:21" x14ac:dyDescent="0.25">
      <c r="A605">
        <v>613</v>
      </c>
      <c r="B605">
        <v>23651</v>
      </c>
      <c r="C605" t="s">
        <v>4142</v>
      </c>
      <c r="D605" t="s">
        <v>7418</v>
      </c>
      <c r="E605" t="s">
        <v>4145</v>
      </c>
      <c r="F605" t="s">
        <v>28</v>
      </c>
      <c r="G605" t="s">
        <v>4146</v>
      </c>
      <c r="H605" t="s">
        <v>43</v>
      </c>
      <c r="I605" s="13" t="s">
        <v>4147</v>
      </c>
      <c r="J605" t="s">
        <v>31</v>
      </c>
      <c r="K605" t="s">
        <v>7879</v>
      </c>
      <c r="L605" t="s">
        <v>7940</v>
      </c>
      <c r="M605" t="s">
        <v>87</v>
      </c>
      <c r="N605" t="s">
        <v>33</v>
      </c>
      <c r="O605" s="17">
        <v>195000</v>
      </c>
      <c r="P605" s="17" t="s">
        <v>7854</v>
      </c>
      <c r="Q605" s="22">
        <v>0</v>
      </c>
      <c r="R605" s="22" t="s">
        <v>7854</v>
      </c>
      <c r="S605" s="24">
        <v>0</v>
      </c>
      <c r="T605" s="24" t="s">
        <v>7854</v>
      </c>
      <c r="U605" t="s">
        <v>4148</v>
      </c>
    </row>
    <row r="606" spans="1:21" x14ac:dyDescent="0.25">
      <c r="A606">
        <v>614</v>
      </c>
      <c r="B606">
        <v>8082</v>
      </c>
      <c r="C606" t="s">
        <v>4149</v>
      </c>
      <c r="D606" t="s">
        <v>7419</v>
      </c>
      <c r="E606" t="s">
        <v>4152</v>
      </c>
      <c r="F606" t="s">
        <v>28</v>
      </c>
      <c r="G606" t="s">
        <v>4153</v>
      </c>
      <c r="H606" t="s">
        <v>43</v>
      </c>
      <c r="I606" s="12">
        <v>8037550532</v>
      </c>
      <c r="J606" t="s">
        <v>2333</v>
      </c>
      <c r="K606" t="s">
        <v>7886</v>
      </c>
      <c r="L606" t="s">
        <v>7981</v>
      </c>
      <c r="M606" t="s">
        <v>46</v>
      </c>
      <c r="N606" t="s">
        <v>33</v>
      </c>
      <c r="O606" s="17">
        <v>812500</v>
      </c>
      <c r="P606" s="17" t="s">
        <v>7854</v>
      </c>
      <c r="Q606" s="22">
        <v>0</v>
      </c>
      <c r="R606" s="22" t="s">
        <v>7854</v>
      </c>
      <c r="S606" s="24">
        <v>162500</v>
      </c>
      <c r="T606" s="24" t="s">
        <v>7854</v>
      </c>
      <c r="U606" t="s">
        <v>4154</v>
      </c>
    </row>
    <row r="607" spans="1:21" x14ac:dyDescent="0.25">
      <c r="A607">
        <v>615</v>
      </c>
      <c r="B607">
        <v>2078</v>
      </c>
      <c r="C607" t="s">
        <v>4155</v>
      </c>
      <c r="D607" t="s">
        <v>7420</v>
      </c>
      <c r="E607" t="s">
        <v>8007</v>
      </c>
      <c r="F607" t="s">
        <v>28</v>
      </c>
      <c r="G607" t="s">
        <v>93</v>
      </c>
      <c r="H607" t="s">
        <v>43</v>
      </c>
      <c r="I607" s="13" t="s">
        <v>4158</v>
      </c>
      <c r="J607" t="s">
        <v>31</v>
      </c>
      <c r="K607" t="s">
        <v>7886</v>
      </c>
      <c r="L607" t="s">
        <v>7981</v>
      </c>
      <c r="M607" t="s">
        <v>46</v>
      </c>
      <c r="N607" t="s">
        <v>33</v>
      </c>
      <c r="O607" s="17">
        <v>812500</v>
      </c>
      <c r="P607" s="17" t="s">
        <v>7854</v>
      </c>
      <c r="Q607" s="22">
        <v>0</v>
      </c>
      <c r="R607" s="22" t="s">
        <v>7854</v>
      </c>
      <c r="S607" s="24">
        <v>162500</v>
      </c>
      <c r="T607" s="24" t="s">
        <v>7854</v>
      </c>
      <c r="U607" t="s">
        <v>4159</v>
      </c>
    </row>
    <row r="608" spans="1:21" x14ac:dyDescent="0.25">
      <c r="A608">
        <v>616</v>
      </c>
      <c r="B608">
        <v>18519</v>
      </c>
      <c r="C608" t="s">
        <v>4160</v>
      </c>
      <c r="D608" t="s">
        <v>7421</v>
      </c>
      <c r="E608" t="s">
        <v>4163</v>
      </c>
      <c r="F608" t="s">
        <v>28</v>
      </c>
      <c r="G608" t="s">
        <v>4164</v>
      </c>
      <c r="H608" t="s">
        <v>43</v>
      </c>
      <c r="I608" s="13" t="s">
        <v>4165</v>
      </c>
      <c r="J608" t="s">
        <v>31</v>
      </c>
      <c r="K608" t="s">
        <v>7886</v>
      </c>
      <c r="L608" t="s">
        <v>7940</v>
      </c>
      <c r="M608" t="s">
        <v>46</v>
      </c>
      <c r="N608" t="s">
        <v>33</v>
      </c>
      <c r="O608" s="17">
        <v>812500</v>
      </c>
      <c r="P608" s="17" t="s">
        <v>7854</v>
      </c>
      <c r="Q608" s="22">
        <v>0</v>
      </c>
      <c r="R608" s="22" t="s">
        <v>7854</v>
      </c>
      <c r="S608" s="24">
        <v>162500</v>
      </c>
      <c r="T608" s="24" t="s">
        <v>7854</v>
      </c>
      <c r="U608" t="s">
        <v>4166</v>
      </c>
    </row>
    <row r="609" spans="1:21" x14ac:dyDescent="0.25">
      <c r="A609">
        <v>617</v>
      </c>
      <c r="B609">
        <v>24396</v>
      </c>
      <c r="C609" t="s">
        <v>4167</v>
      </c>
      <c r="D609" t="s">
        <v>7422</v>
      </c>
      <c r="E609">
        <v>233204967492</v>
      </c>
      <c r="F609" t="s">
        <v>53</v>
      </c>
      <c r="G609" t="s">
        <v>480</v>
      </c>
      <c r="H609" t="s">
        <v>453</v>
      </c>
      <c r="I609" s="12">
        <v>233204967492</v>
      </c>
      <c r="J609" t="s">
        <v>31</v>
      </c>
      <c r="K609" t="s">
        <v>7879</v>
      </c>
      <c r="L609" t="s">
        <v>7893</v>
      </c>
      <c r="M609" t="s">
        <v>455</v>
      </c>
      <c r="N609" t="s">
        <v>130</v>
      </c>
      <c r="O609" s="17" t="s">
        <v>7854</v>
      </c>
      <c r="P609" s="17">
        <v>150</v>
      </c>
      <c r="Q609" s="22" t="s">
        <v>7854</v>
      </c>
      <c r="R609" s="22">
        <v>0</v>
      </c>
      <c r="S609" s="24" t="s">
        <v>7854</v>
      </c>
      <c r="T609" s="24">
        <v>0</v>
      </c>
      <c r="U609" t="s">
        <v>4170</v>
      </c>
    </row>
    <row r="610" spans="1:21" x14ac:dyDescent="0.25">
      <c r="A610">
        <v>618</v>
      </c>
      <c r="B610">
        <v>20503</v>
      </c>
      <c r="C610" t="s">
        <v>4171</v>
      </c>
      <c r="D610" t="s">
        <v>7423</v>
      </c>
      <c r="E610" t="s">
        <v>4175</v>
      </c>
      <c r="F610" t="s">
        <v>53</v>
      </c>
      <c r="G610" t="s">
        <v>4176</v>
      </c>
      <c r="H610" t="s">
        <v>453</v>
      </c>
      <c r="I610" s="13" t="s">
        <v>4177</v>
      </c>
      <c r="J610" t="s">
        <v>45</v>
      </c>
      <c r="K610" t="s">
        <v>7879</v>
      </c>
      <c r="L610" t="s">
        <v>7940</v>
      </c>
      <c r="M610" t="s">
        <v>455</v>
      </c>
      <c r="N610" t="s">
        <v>130</v>
      </c>
      <c r="O610" s="17" t="s">
        <v>7854</v>
      </c>
      <c r="P610" s="17">
        <v>150</v>
      </c>
      <c r="Q610" s="22" t="s">
        <v>7854</v>
      </c>
      <c r="R610" s="22">
        <v>0</v>
      </c>
      <c r="S610" s="24" t="s">
        <v>7854</v>
      </c>
      <c r="T610" s="24">
        <v>0</v>
      </c>
      <c r="U610" t="s">
        <v>4178</v>
      </c>
    </row>
    <row r="611" spans="1:21" x14ac:dyDescent="0.25">
      <c r="A611">
        <v>619</v>
      </c>
      <c r="B611">
        <v>24417</v>
      </c>
      <c r="C611" t="s">
        <v>4179</v>
      </c>
      <c r="D611" t="s">
        <v>7424</v>
      </c>
      <c r="E611" t="s">
        <v>4182</v>
      </c>
      <c r="F611" t="s">
        <v>53</v>
      </c>
      <c r="G611" t="s">
        <v>289</v>
      </c>
      <c r="H611" t="s">
        <v>43</v>
      </c>
      <c r="I611" s="13" t="s">
        <v>4183</v>
      </c>
      <c r="J611" t="s">
        <v>31</v>
      </c>
      <c r="K611" t="s">
        <v>7879</v>
      </c>
      <c r="L611" t="s">
        <v>8028</v>
      </c>
      <c r="M611" t="s">
        <v>46</v>
      </c>
      <c r="N611" t="s">
        <v>33</v>
      </c>
      <c r="O611" s="17">
        <v>195000</v>
      </c>
      <c r="P611" s="17" t="s">
        <v>7854</v>
      </c>
      <c r="Q611" s="22">
        <v>0</v>
      </c>
      <c r="R611" s="22" t="s">
        <v>7854</v>
      </c>
      <c r="S611" s="24">
        <v>0</v>
      </c>
      <c r="T611" s="24" t="s">
        <v>7854</v>
      </c>
      <c r="U611" t="s">
        <v>4184</v>
      </c>
    </row>
    <row r="612" spans="1:21" x14ac:dyDescent="0.25">
      <c r="A612">
        <v>620</v>
      </c>
      <c r="B612">
        <v>21514</v>
      </c>
      <c r="C612" t="s">
        <v>4185</v>
      </c>
      <c r="D612" t="s">
        <v>7425</v>
      </c>
      <c r="E612" t="s">
        <v>4186</v>
      </c>
      <c r="F612" t="s">
        <v>28</v>
      </c>
      <c r="G612" t="s">
        <v>4187</v>
      </c>
      <c r="H612" t="s">
        <v>43</v>
      </c>
      <c r="I612" s="13" t="s">
        <v>4188</v>
      </c>
      <c r="J612" t="s">
        <v>31</v>
      </c>
      <c r="K612" t="s">
        <v>7881</v>
      </c>
      <c r="L612" t="s">
        <v>7888</v>
      </c>
      <c r="M612" t="s">
        <v>46</v>
      </c>
      <c r="N612" t="s">
        <v>33</v>
      </c>
      <c r="O612" s="17">
        <v>552500</v>
      </c>
      <c r="P612" s="17" t="s">
        <v>7854</v>
      </c>
      <c r="Q612" s="22">
        <v>110500</v>
      </c>
      <c r="R612" s="22" t="s">
        <v>7854</v>
      </c>
      <c r="S612" s="24">
        <v>0</v>
      </c>
      <c r="T612" s="24" t="s">
        <v>7854</v>
      </c>
      <c r="U612" t="s">
        <v>4189</v>
      </c>
    </row>
    <row r="613" spans="1:21" x14ac:dyDescent="0.25">
      <c r="A613">
        <v>621</v>
      </c>
      <c r="B613">
        <v>7824</v>
      </c>
      <c r="C613" t="s">
        <v>4190</v>
      </c>
      <c r="D613" t="s">
        <v>7426</v>
      </c>
      <c r="E613" t="s">
        <v>7927</v>
      </c>
      <c r="F613" t="s">
        <v>53</v>
      </c>
      <c r="G613" t="s">
        <v>4194</v>
      </c>
      <c r="H613" t="s">
        <v>43</v>
      </c>
      <c r="I613" s="12">
        <v>8062401688</v>
      </c>
      <c r="J613" t="s">
        <v>31</v>
      </c>
      <c r="K613" t="s">
        <v>7886</v>
      </c>
      <c r="L613" t="s">
        <v>7893</v>
      </c>
      <c r="M613" t="s">
        <v>46</v>
      </c>
      <c r="N613" t="s">
        <v>33</v>
      </c>
      <c r="O613" s="17">
        <v>812500</v>
      </c>
      <c r="P613" s="17" t="s">
        <v>7854</v>
      </c>
      <c r="Q613" s="22">
        <v>0</v>
      </c>
      <c r="R613" s="22" t="s">
        <v>7854</v>
      </c>
      <c r="S613" s="24">
        <v>162500</v>
      </c>
      <c r="T613" s="24" t="s">
        <v>7854</v>
      </c>
      <c r="U613" t="s">
        <v>4195</v>
      </c>
    </row>
    <row r="614" spans="1:21" x14ac:dyDescent="0.25">
      <c r="A614">
        <v>622</v>
      </c>
      <c r="B614">
        <v>24464</v>
      </c>
      <c r="C614" t="s">
        <v>4196</v>
      </c>
      <c r="D614" t="s">
        <v>7427</v>
      </c>
      <c r="E614" t="s">
        <v>4200</v>
      </c>
      <c r="F614" t="s">
        <v>28</v>
      </c>
      <c r="G614" t="s">
        <v>4201</v>
      </c>
      <c r="H614" t="s">
        <v>43</v>
      </c>
      <c r="I614" s="13" t="s">
        <v>4202</v>
      </c>
      <c r="J614" t="s">
        <v>31</v>
      </c>
      <c r="K614" t="s">
        <v>7879</v>
      </c>
      <c r="L614" t="s">
        <v>7981</v>
      </c>
      <c r="M614" t="s">
        <v>63</v>
      </c>
      <c r="N614" t="s">
        <v>33</v>
      </c>
      <c r="O614" s="17">
        <v>195000</v>
      </c>
      <c r="P614" s="17" t="s">
        <v>7854</v>
      </c>
      <c r="Q614" s="22">
        <v>0</v>
      </c>
      <c r="R614" s="22" t="s">
        <v>7854</v>
      </c>
      <c r="S614" s="24">
        <v>0</v>
      </c>
      <c r="T614" s="24" t="s">
        <v>7854</v>
      </c>
      <c r="U614" t="s">
        <v>4203</v>
      </c>
    </row>
    <row r="615" spans="1:21" x14ac:dyDescent="0.25">
      <c r="A615">
        <v>623</v>
      </c>
      <c r="B615">
        <v>24131</v>
      </c>
      <c r="C615" t="s">
        <v>4204</v>
      </c>
      <c r="D615" t="s">
        <v>7428</v>
      </c>
      <c r="E615" t="s">
        <v>4208</v>
      </c>
      <c r="F615" t="s">
        <v>53</v>
      </c>
      <c r="G615" t="s">
        <v>364</v>
      </c>
      <c r="H615" t="s">
        <v>43</v>
      </c>
      <c r="I615" s="13" t="s">
        <v>4209</v>
      </c>
      <c r="J615" t="s">
        <v>31</v>
      </c>
      <c r="K615" t="s">
        <v>7879</v>
      </c>
      <c r="L615" t="s">
        <v>7893</v>
      </c>
      <c r="M615" t="s">
        <v>46</v>
      </c>
      <c r="N615" t="s">
        <v>33</v>
      </c>
      <c r="O615" s="17">
        <v>195000</v>
      </c>
      <c r="P615" s="17" t="s">
        <v>7854</v>
      </c>
      <c r="Q615" s="22">
        <v>0</v>
      </c>
      <c r="R615" s="22" t="s">
        <v>7854</v>
      </c>
      <c r="S615" s="24">
        <v>0</v>
      </c>
      <c r="T615" s="24" t="s">
        <v>7854</v>
      </c>
      <c r="U615" t="s">
        <v>4210</v>
      </c>
    </row>
    <row r="616" spans="1:21" x14ac:dyDescent="0.25">
      <c r="A616">
        <v>624</v>
      </c>
      <c r="B616">
        <v>6439</v>
      </c>
      <c r="C616" t="s">
        <v>4211</v>
      </c>
      <c r="D616" t="s">
        <v>7429</v>
      </c>
      <c r="E616" t="s">
        <v>8008</v>
      </c>
      <c r="F616" t="s">
        <v>53</v>
      </c>
      <c r="G616" t="s">
        <v>4214</v>
      </c>
      <c r="H616" t="s">
        <v>43</v>
      </c>
      <c r="I616" s="12">
        <v>8035338658</v>
      </c>
      <c r="J616" t="s">
        <v>31</v>
      </c>
      <c r="K616" t="s">
        <v>7886</v>
      </c>
      <c r="L616" t="s">
        <v>7981</v>
      </c>
      <c r="M616" t="s">
        <v>46</v>
      </c>
      <c r="N616" t="s">
        <v>33</v>
      </c>
      <c r="O616" s="17">
        <v>812500</v>
      </c>
      <c r="P616" s="17" t="s">
        <v>7854</v>
      </c>
      <c r="Q616" s="22">
        <v>0</v>
      </c>
      <c r="R616" s="22" t="s">
        <v>7854</v>
      </c>
      <c r="S616" s="24">
        <v>162500</v>
      </c>
      <c r="T616" s="24" t="s">
        <v>7854</v>
      </c>
      <c r="U616" t="s">
        <v>4215</v>
      </c>
    </row>
    <row r="617" spans="1:21" x14ac:dyDescent="0.25">
      <c r="A617">
        <v>625</v>
      </c>
      <c r="B617">
        <v>3734</v>
      </c>
      <c r="C617" t="s">
        <v>4216</v>
      </c>
      <c r="D617" t="s">
        <v>7430</v>
      </c>
      <c r="E617" t="s">
        <v>8009</v>
      </c>
      <c r="F617" t="s">
        <v>53</v>
      </c>
      <c r="G617" t="s">
        <v>4220</v>
      </c>
      <c r="H617" t="s">
        <v>43</v>
      </c>
      <c r="I617" s="13" t="s">
        <v>4221</v>
      </c>
      <c r="J617" t="s">
        <v>31</v>
      </c>
      <c r="K617" t="s">
        <v>7886</v>
      </c>
      <c r="L617" t="s">
        <v>7981</v>
      </c>
      <c r="M617" t="s">
        <v>63</v>
      </c>
      <c r="N617" t="s">
        <v>33</v>
      </c>
      <c r="O617" s="17">
        <v>812500</v>
      </c>
      <c r="P617" s="17" t="s">
        <v>7854</v>
      </c>
      <c r="Q617" s="22">
        <v>0</v>
      </c>
      <c r="R617" s="22" t="s">
        <v>7854</v>
      </c>
      <c r="S617" s="24">
        <v>162500</v>
      </c>
      <c r="T617" s="24" t="s">
        <v>7854</v>
      </c>
      <c r="U617" t="s">
        <v>4222</v>
      </c>
    </row>
    <row r="618" spans="1:21" x14ac:dyDescent="0.25">
      <c r="A618">
        <v>626</v>
      </c>
      <c r="B618">
        <v>24327</v>
      </c>
      <c r="C618" t="s">
        <v>4223</v>
      </c>
      <c r="D618" t="s">
        <v>7431</v>
      </c>
      <c r="E618" t="s">
        <v>4225</v>
      </c>
      <c r="F618" t="s">
        <v>28</v>
      </c>
      <c r="G618" t="s">
        <v>4226</v>
      </c>
      <c r="H618" t="s">
        <v>43</v>
      </c>
      <c r="I618" s="13" t="s">
        <v>4227</v>
      </c>
      <c r="J618" t="s">
        <v>31</v>
      </c>
      <c r="K618" t="s">
        <v>7879</v>
      </c>
      <c r="L618" t="s">
        <v>7940</v>
      </c>
      <c r="M618" t="s">
        <v>87</v>
      </c>
      <c r="N618" t="s">
        <v>33</v>
      </c>
      <c r="O618" s="17">
        <v>195000</v>
      </c>
      <c r="P618" s="17" t="s">
        <v>7854</v>
      </c>
      <c r="Q618" s="22">
        <v>0</v>
      </c>
      <c r="R618" s="22" t="s">
        <v>7854</v>
      </c>
      <c r="S618" s="24">
        <v>0</v>
      </c>
      <c r="T618" s="24" t="s">
        <v>7854</v>
      </c>
      <c r="U618" t="s">
        <v>4228</v>
      </c>
    </row>
    <row r="619" spans="1:21" x14ac:dyDescent="0.25">
      <c r="A619">
        <v>627</v>
      </c>
      <c r="B619">
        <v>24480</v>
      </c>
      <c r="C619" t="s">
        <v>4229</v>
      </c>
      <c r="D619" t="s">
        <v>7432</v>
      </c>
      <c r="E619" t="s">
        <v>4232</v>
      </c>
      <c r="F619" t="s">
        <v>53</v>
      </c>
      <c r="G619" t="s">
        <v>2483</v>
      </c>
      <c r="H619" t="s">
        <v>43</v>
      </c>
      <c r="I619" s="13" t="s">
        <v>4233</v>
      </c>
      <c r="J619" t="s">
        <v>31</v>
      </c>
      <c r="K619" t="s">
        <v>7879</v>
      </c>
      <c r="L619" t="s">
        <v>7940</v>
      </c>
      <c r="M619" t="s">
        <v>46</v>
      </c>
      <c r="N619" t="s">
        <v>33</v>
      </c>
      <c r="O619" s="17">
        <v>195000</v>
      </c>
      <c r="P619" s="17" t="s">
        <v>7854</v>
      </c>
      <c r="Q619" s="22">
        <v>0</v>
      </c>
      <c r="R619" s="22" t="s">
        <v>7854</v>
      </c>
      <c r="S619" s="24">
        <v>0</v>
      </c>
      <c r="T619" s="24" t="s">
        <v>7854</v>
      </c>
      <c r="U619" t="s">
        <v>4234</v>
      </c>
    </row>
    <row r="620" spans="1:21" x14ac:dyDescent="0.25">
      <c r="A620">
        <v>628</v>
      </c>
      <c r="B620">
        <v>2729</v>
      </c>
      <c r="C620" t="s">
        <v>4235</v>
      </c>
      <c r="D620" t="s">
        <v>7433</v>
      </c>
      <c r="E620" t="s">
        <v>8010</v>
      </c>
      <c r="F620" t="s">
        <v>53</v>
      </c>
      <c r="G620" t="s">
        <v>4238</v>
      </c>
      <c r="H620" t="s">
        <v>43</v>
      </c>
      <c r="I620" s="12">
        <v>2347039715050</v>
      </c>
      <c r="J620" t="s">
        <v>31</v>
      </c>
      <c r="K620" t="s">
        <v>7886</v>
      </c>
      <c r="L620" t="s">
        <v>7981</v>
      </c>
      <c r="M620" t="s">
        <v>63</v>
      </c>
      <c r="N620" t="s">
        <v>33</v>
      </c>
      <c r="O620" s="17">
        <v>812500</v>
      </c>
      <c r="P620" s="17" t="s">
        <v>7854</v>
      </c>
      <c r="Q620" s="22">
        <v>0</v>
      </c>
      <c r="R620" s="22" t="s">
        <v>7854</v>
      </c>
      <c r="S620" s="24">
        <v>162500</v>
      </c>
      <c r="T620" s="24" t="s">
        <v>7854</v>
      </c>
      <c r="U620" t="s">
        <v>4239</v>
      </c>
    </row>
    <row r="621" spans="1:21" x14ac:dyDescent="0.25">
      <c r="A621">
        <v>629</v>
      </c>
      <c r="B621">
        <v>19602</v>
      </c>
      <c r="C621" t="s">
        <v>4240</v>
      </c>
      <c r="D621" t="s">
        <v>7434</v>
      </c>
      <c r="E621" t="s">
        <v>4243</v>
      </c>
      <c r="F621" t="s">
        <v>28</v>
      </c>
      <c r="G621" t="s">
        <v>4244</v>
      </c>
      <c r="H621" t="s">
        <v>43</v>
      </c>
      <c r="I621" s="13" t="s">
        <v>4245</v>
      </c>
      <c r="J621" t="s">
        <v>45</v>
      </c>
      <c r="K621" t="s">
        <v>7881</v>
      </c>
      <c r="L621" t="s">
        <v>7981</v>
      </c>
      <c r="M621" t="s">
        <v>46</v>
      </c>
      <c r="N621" t="s">
        <v>33</v>
      </c>
      <c r="O621" s="17">
        <v>552500</v>
      </c>
      <c r="P621" s="17" t="s">
        <v>7854</v>
      </c>
      <c r="Q621" s="22">
        <v>0</v>
      </c>
      <c r="R621" s="22" t="s">
        <v>7854</v>
      </c>
      <c r="S621" s="24">
        <v>0</v>
      </c>
      <c r="T621" s="24" t="s">
        <v>7854</v>
      </c>
      <c r="U621" t="s">
        <v>4246</v>
      </c>
    </row>
    <row r="622" spans="1:21" x14ac:dyDescent="0.25">
      <c r="A622">
        <v>630</v>
      </c>
      <c r="B622">
        <v>9476</v>
      </c>
      <c r="C622" t="s">
        <v>4247</v>
      </c>
      <c r="D622" t="s">
        <v>7435</v>
      </c>
      <c r="E622" t="s">
        <v>4251</v>
      </c>
      <c r="F622" t="s">
        <v>28</v>
      </c>
      <c r="G622" t="s">
        <v>4252</v>
      </c>
      <c r="H622" t="s">
        <v>43</v>
      </c>
      <c r="I622" s="12">
        <v>8136194195</v>
      </c>
      <c r="J622" t="s">
        <v>31</v>
      </c>
      <c r="K622" t="s">
        <v>7881</v>
      </c>
      <c r="L622" t="s">
        <v>7940</v>
      </c>
      <c r="M622" t="s">
        <v>63</v>
      </c>
      <c r="N622" t="s">
        <v>33</v>
      </c>
      <c r="O622" s="17">
        <v>552500</v>
      </c>
      <c r="P622" s="17" t="s">
        <v>7854</v>
      </c>
      <c r="Q622" s="22">
        <v>0</v>
      </c>
      <c r="R622" s="22" t="s">
        <v>7854</v>
      </c>
      <c r="S622" s="24">
        <v>0</v>
      </c>
      <c r="T622" s="24" t="s">
        <v>7854</v>
      </c>
      <c r="U622" t="s">
        <v>4253</v>
      </c>
    </row>
    <row r="623" spans="1:21" x14ac:dyDescent="0.25">
      <c r="A623">
        <v>631</v>
      </c>
      <c r="B623">
        <v>23253</v>
      </c>
      <c r="C623" t="s">
        <v>4254</v>
      </c>
      <c r="D623" t="s">
        <v>7436</v>
      </c>
      <c r="E623" t="s">
        <v>4258</v>
      </c>
      <c r="F623" t="s">
        <v>28</v>
      </c>
      <c r="G623" t="s">
        <v>4259</v>
      </c>
      <c r="H623" t="s">
        <v>43</v>
      </c>
      <c r="I623" s="13" t="s">
        <v>4260</v>
      </c>
      <c r="J623" t="s">
        <v>31</v>
      </c>
      <c r="K623" t="s">
        <v>7879</v>
      </c>
      <c r="L623" t="s">
        <v>8028</v>
      </c>
      <c r="M623" t="s">
        <v>63</v>
      </c>
      <c r="N623" t="s">
        <v>33</v>
      </c>
      <c r="O623" s="17">
        <v>195000</v>
      </c>
      <c r="P623" s="17" t="s">
        <v>7854</v>
      </c>
      <c r="Q623" s="22">
        <v>0</v>
      </c>
      <c r="R623" s="22" t="s">
        <v>7854</v>
      </c>
      <c r="S623" s="24">
        <v>0</v>
      </c>
      <c r="T623" s="24" t="s">
        <v>7854</v>
      </c>
      <c r="U623" t="s">
        <v>4261</v>
      </c>
    </row>
    <row r="624" spans="1:21" x14ac:dyDescent="0.25">
      <c r="A624">
        <v>632</v>
      </c>
      <c r="B624">
        <v>19431</v>
      </c>
      <c r="C624" t="s">
        <v>4262</v>
      </c>
      <c r="D624" t="s">
        <v>7437</v>
      </c>
      <c r="E624" t="s">
        <v>4263</v>
      </c>
      <c r="F624" t="s">
        <v>53</v>
      </c>
      <c r="G624" t="s">
        <v>4264</v>
      </c>
      <c r="H624" t="s">
        <v>43</v>
      </c>
      <c r="I624" s="13" t="s">
        <v>4265</v>
      </c>
      <c r="J624" t="s">
        <v>31</v>
      </c>
      <c r="K624" t="s">
        <v>7881</v>
      </c>
      <c r="L624" t="s">
        <v>7981</v>
      </c>
      <c r="M624" t="s">
        <v>46</v>
      </c>
      <c r="N624" t="s">
        <v>33</v>
      </c>
      <c r="O624" s="17">
        <v>552500</v>
      </c>
      <c r="P624" s="17" t="s">
        <v>7854</v>
      </c>
      <c r="Q624" s="22">
        <v>0</v>
      </c>
      <c r="R624" s="22" t="s">
        <v>7854</v>
      </c>
      <c r="S624" s="24">
        <v>0</v>
      </c>
      <c r="T624" s="24" t="s">
        <v>7854</v>
      </c>
      <c r="U624" t="s">
        <v>4266</v>
      </c>
    </row>
    <row r="625" spans="1:21" x14ac:dyDescent="0.25">
      <c r="A625">
        <v>633</v>
      </c>
      <c r="B625">
        <v>18663</v>
      </c>
      <c r="C625" t="s">
        <v>4267</v>
      </c>
      <c r="D625" t="s">
        <v>7438</v>
      </c>
      <c r="E625" t="s">
        <v>7966</v>
      </c>
      <c r="F625" t="s">
        <v>28</v>
      </c>
      <c r="G625" t="s">
        <v>4269</v>
      </c>
      <c r="H625" t="s">
        <v>43</v>
      </c>
      <c r="I625" s="13" t="s">
        <v>4270</v>
      </c>
      <c r="J625" t="s">
        <v>31</v>
      </c>
      <c r="K625" t="s">
        <v>7886</v>
      </c>
      <c r="L625" t="s">
        <v>7940</v>
      </c>
      <c r="M625" t="s">
        <v>63</v>
      </c>
      <c r="N625" t="s">
        <v>33</v>
      </c>
      <c r="O625" s="17">
        <v>812500</v>
      </c>
      <c r="P625" s="17" t="s">
        <v>7854</v>
      </c>
      <c r="Q625" s="22">
        <v>0</v>
      </c>
      <c r="R625" s="22" t="s">
        <v>7854</v>
      </c>
      <c r="S625" s="24">
        <v>162500</v>
      </c>
      <c r="T625" s="24" t="s">
        <v>7854</v>
      </c>
      <c r="U625" t="s">
        <v>4271</v>
      </c>
    </row>
    <row r="626" spans="1:21" x14ac:dyDescent="0.25">
      <c r="A626">
        <v>634</v>
      </c>
      <c r="B626">
        <v>24285</v>
      </c>
      <c r="C626" t="s">
        <v>4272</v>
      </c>
      <c r="D626" t="s">
        <v>7439</v>
      </c>
      <c r="E626" t="s">
        <v>4276</v>
      </c>
      <c r="F626" t="s">
        <v>28</v>
      </c>
      <c r="G626" t="s">
        <v>4277</v>
      </c>
      <c r="H626" t="s">
        <v>43</v>
      </c>
      <c r="I626" s="13" t="s">
        <v>4278</v>
      </c>
      <c r="J626" t="s">
        <v>31</v>
      </c>
      <c r="K626" t="s">
        <v>7879</v>
      </c>
      <c r="L626" t="s">
        <v>8028</v>
      </c>
      <c r="M626" t="s">
        <v>63</v>
      </c>
      <c r="N626" t="s">
        <v>33</v>
      </c>
      <c r="O626" s="17">
        <v>195000</v>
      </c>
      <c r="P626" s="17" t="s">
        <v>7854</v>
      </c>
      <c r="Q626" s="22">
        <v>0</v>
      </c>
      <c r="R626" s="22" t="s">
        <v>7854</v>
      </c>
      <c r="S626" s="24">
        <v>0</v>
      </c>
      <c r="T626" s="24" t="s">
        <v>7854</v>
      </c>
      <c r="U626" t="s">
        <v>4279</v>
      </c>
    </row>
    <row r="627" spans="1:21" x14ac:dyDescent="0.25">
      <c r="A627">
        <v>635</v>
      </c>
      <c r="B627">
        <v>3705</v>
      </c>
      <c r="C627" t="s">
        <v>4280</v>
      </c>
      <c r="D627" t="s">
        <v>7440</v>
      </c>
      <c r="E627" t="s">
        <v>4284</v>
      </c>
      <c r="F627" t="s">
        <v>53</v>
      </c>
      <c r="G627" t="s">
        <v>4285</v>
      </c>
      <c r="H627" t="s">
        <v>43</v>
      </c>
      <c r="I627" s="13" t="s">
        <v>4286</v>
      </c>
      <c r="J627" t="s">
        <v>31</v>
      </c>
      <c r="K627" t="s">
        <v>7886</v>
      </c>
      <c r="L627" t="s">
        <v>7981</v>
      </c>
      <c r="M627" t="s">
        <v>63</v>
      </c>
      <c r="N627" t="s">
        <v>33</v>
      </c>
      <c r="O627" s="17">
        <v>812500</v>
      </c>
      <c r="P627" s="17" t="s">
        <v>7854</v>
      </c>
      <c r="Q627" s="22">
        <v>0</v>
      </c>
      <c r="R627" s="22" t="s">
        <v>7854</v>
      </c>
      <c r="S627" s="24">
        <v>162500</v>
      </c>
      <c r="T627" s="24" t="s">
        <v>7854</v>
      </c>
      <c r="U627" t="s">
        <v>4287</v>
      </c>
    </row>
    <row r="628" spans="1:21" x14ac:dyDescent="0.25">
      <c r="A628">
        <v>636</v>
      </c>
      <c r="B628">
        <v>19646</v>
      </c>
      <c r="C628" t="s">
        <v>4288</v>
      </c>
      <c r="D628" t="s">
        <v>7441</v>
      </c>
      <c r="E628" t="s">
        <v>4292</v>
      </c>
      <c r="F628" t="s">
        <v>53</v>
      </c>
      <c r="G628" t="s">
        <v>4293</v>
      </c>
      <c r="H628" t="s">
        <v>43</v>
      </c>
      <c r="I628" s="13" t="s">
        <v>4294</v>
      </c>
      <c r="J628" t="s">
        <v>45</v>
      </c>
      <c r="K628" t="s">
        <v>7881</v>
      </c>
      <c r="L628" t="s">
        <v>7893</v>
      </c>
      <c r="M628" t="s">
        <v>63</v>
      </c>
      <c r="N628" t="s">
        <v>33</v>
      </c>
      <c r="O628" s="17">
        <v>552500</v>
      </c>
      <c r="P628" s="17" t="s">
        <v>7854</v>
      </c>
      <c r="Q628" s="22">
        <v>0</v>
      </c>
      <c r="R628" s="22" t="s">
        <v>7854</v>
      </c>
      <c r="S628" s="24">
        <v>0</v>
      </c>
      <c r="T628" s="24" t="s">
        <v>7854</v>
      </c>
      <c r="U628" t="s">
        <v>4295</v>
      </c>
    </row>
    <row r="629" spans="1:21" x14ac:dyDescent="0.25">
      <c r="A629">
        <v>637</v>
      </c>
      <c r="B629">
        <v>24418</v>
      </c>
      <c r="C629" t="s">
        <v>4296</v>
      </c>
      <c r="D629" t="s">
        <v>7442</v>
      </c>
      <c r="E629" t="s">
        <v>4299</v>
      </c>
      <c r="F629" t="s">
        <v>28</v>
      </c>
      <c r="G629" t="s">
        <v>4300</v>
      </c>
      <c r="H629" t="s">
        <v>43</v>
      </c>
      <c r="I629" s="13" t="s">
        <v>4301</v>
      </c>
      <c r="J629" t="s">
        <v>31</v>
      </c>
      <c r="K629" t="s">
        <v>7879</v>
      </c>
      <c r="L629" t="s">
        <v>7940</v>
      </c>
      <c r="M629" t="s">
        <v>46</v>
      </c>
      <c r="N629" t="s">
        <v>33</v>
      </c>
      <c r="O629" s="17">
        <v>195000</v>
      </c>
      <c r="P629" s="17" t="s">
        <v>7854</v>
      </c>
      <c r="Q629" s="22">
        <v>0</v>
      </c>
      <c r="R629" s="22" t="s">
        <v>7854</v>
      </c>
      <c r="S629" s="24">
        <v>0</v>
      </c>
      <c r="T629" s="24" t="s">
        <v>7854</v>
      </c>
      <c r="U629" t="s">
        <v>4302</v>
      </c>
    </row>
    <row r="630" spans="1:21" x14ac:dyDescent="0.25">
      <c r="A630">
        <v>638</v>
      </c>
      <c r="B630">
        <v>11532</v>
      </c>
      <c r="C630" t="s">
        <v>4303</v>
      </c>
      <c r="D630" t="s">
        <v>7443</v>
      </c>
      <c r="E630" t="s">
        <v>4307</v>
      </c>
      <c r="F630" t="s">
        <v>28</v>
      </c>
      <c r="G630" t="s">
        <v>4308</v>
      </c>
      <c r="H630" t="s">
        <v>43</v>
      </c>
      <c r="I630" s="13" t="s">
        <v>4309</v>
      </c>
      <c r="J630" t="s">
        <v>31</v>
      </c>
      <c r="K630" t="s">
        <v>7881</v>
      </c>
      <c r="L630" t="s">
        <v>7893</v>
      </c>
      <c r="M630" t="s">
        <v>46</v>
      </c>
      <c r="N630" t="s">
        <v>33</v>
      </c>
      <c r="O630" s="17">
        <v>552500</v>
      </c>
      <c r="P630" s="17" t="s">
        <v>7854</v>
      </c>
      <c r="Q630" s="22">
        <v>0</v>
      </c>
      <c r="R630" s="22" t="s">
        <v>7854</v>
      </c>
      <c r="S630" s="24">
        <v>0</v>
      </c>
      <c r="T630" s="24" t="s">
        <v>7854</v>
      </c>
      <c r="U630" t="s">
        <v>4310</v>
      </c>
    </row>
    <row r="631" spans="1:21" x14ac:dyDescent="0.25">
      <c r="A631">
        <v>639</v>
      </c>
      <c r="B631">
        <v>24257</v>
      </c>
      <c r="C631" t="s">
        <v>4311</v>
      </c>
      <c r="D631" t="s">
        <v>7444</v>
      </c>
      <c r="E631" t="s">
        <v>4312</v>
      </c>
      <c r="F631" t="s">
        <v>28</v>
      </c>
      <c r="G631" t="s">
        <v>4313</v>
      </c>
      <c r="H631" t="s">
        <v>43</v>
      </c>
      <c r="I631" s="13" t="s">
        <v>4314</v>
      </c>
      <c r="J631" t="s">
        <v>31</v>
      </c>
      <c r="K631" t="s">
        <v>7879</v>
      </c>
      <c r="L631" t="s">
        <v>7893</v>
      </c>
      <c r="M631" t="s">
        <v>46</v>
      </c>
      <c r="N631" t="s">
        <v>33</v>
      </c>
      <c r="O631" s="17">
        <v>195000</v>
      </c>
      <c r="P631" s="17" t="s">
        <v>7854</v>
      </c>
      <c r="Q631" s="22">
        <v>0</v>
      </c>
      <c r="R631" s="22" t="s">
        <v>7854</v>
      </c>
      <c r="S631" s="24">
        <v>0</v>
      </c>
      <c r="T631" s="24" t="s">
        <v>7854</v>
      </c>
      <c r="U631" t="s">
        <v>4315</v>
      </c>
    </row>
    <row r="632" spans="1:21" x14ac:dyDescent="0.25">
      <c r="A632">
        <v>640</v>
      </c>
      <c r="B632">
        <v>20475</v>
      </c>
      <c r="C632" t="s">
        <v>4316</v>
      </c>
      <c r="D632" t="s">
        <v>7445</v>
      </c>
      <c r="E632" t="s">
        <v>3403</v>
      </c>
      <c r="F632" t="s">
        <v>28</v>
      </c>
      <c r="G632" t="s">
        <v>3403</v>
      </c>
      <c r="H632" t="s">
        <v>43</v>
      </c>
      <c r="I632" s="13" t="s">
        <v>4320</v>
      </c>
      <c r="J632" t="s">
        <v>31</v>
      </c>
      <c r="K632" t="s">
        <v>7881</v>
      </c>
      <c r="L632" t="s">
        <v>7940</v>
      </c>
      <c r="M632" t="s">
        <v>46</v>
      </c>
      <c r="N632" t="s">
        <v>33</v>
      </c>
      <c r="O632" s="17">
        <v>552500</v>
      </c>
      <c r="P632" s="17" t="s">
        <v>7854</v>
      </c>
      <c r="Q632" s="22">
        <v>0</v>
      </c>
      <c r="R632" s="22" t="s">
        <v>7854</v>
      </c>
      <c r="S632" s="24">
        <v>0</v>
      </c>
      <c r="T632" s="24" t="s">
        <v>7854</v>
      </c>
      <c r="U632" t="s">
        <v>4321</v>
      </c>
    </row>
    <row r="633" spans="1:21" x14ac:dyDescent="0.25">
      <c r="A633">
        <v>641</v>
      </c>
      <c r="B633">
        <v>20052</v>
      </c>
      <c r="C633" t="s">
        <v>4322</v>
      </c>
      <c r="D633" t="s">
        <v>7446</v>
      </c>
      <c r="E633" t="s">
        <v>4325</v>
      </c>
      <c r="F633" t="s">
        <v>53</v>
      </c>
      <c r="G633" t="s">
        <v>4326</v>
      </c>
      <c r="H633" t="s">
        <v>43</v>
      </c>
      <c r="I633" s="13" t="s">
        <v>4327</v>
      </c>
      <c r="J633" t="s">
        <v>31</v>
      </c>
      <c r="K633" t="s">
        <v>7881</v>
      </c>
      <c r="L633" t="s">
        <v>7940</v>
      </c>
      <c r="M633" t="s">
        <v>46</v>
      </c>
      <c r="N633" t="s">
        <v>33</v>
      </c>
      <c r="O633" s="17">
        <v>552500</v>
      </c>
      <c r="P633" s="17" t="s">
        <v>7854</v>
      </c>
      <c r="Q633" s="22">
        <v>110500</v>
      </c>
      <c r="R633" s="22" t="s">
        <v>7854</v>
      </c>
      <c r="S633" s="24">
        <v>0</v>
      </c>
      <c r="T633" s="24" t="s">
        <v>7854</v>
      </c>
      <c r="U633" t="s">
        <v>4328</v>
      </c>
    </row>
    <row r="634" spans="1:21" x14ac:dyDescent="0.25">
      <c r="A634">
        <v>642</v>
      </c>
      <c r="B634">
        <v>6019</v>
      </c>
      <c r="C634" t="s">
        <v>4329</v>
      </c>
      <c r="D634" t="s">
        <v>7447</v>
      </c>
      <c r="E634" t="s">
        <v>4333</v>
      </c>
      <c r="F634" t="s">
        <v>28</v>
      </c>
      <c r="G634" t="s">
        <v>4334</v>
      </c>
      <c r="H634" t="s">
        <v>43</v>
      </c>
      <c r="I634" s="12">
        <v>8052294849</v>
      </c>
      <c r="J634" t="s">
        <v>31</v>
      </c>
      <c r="K634" t="s">
        <v>7886</v>
      </c>
      <c r="L634" t="s">
        <v>7940</v>
      </c>
      <c r="M634" t="s">
        <v>63</v>
      </c>
      <c r="N634" t="s">
        <v>33</v>
      </c>
      <c r="O634" s="17">
        <v>812500</v>
      </c>
      <c r="P634" s="17" t="s">
        <v>7854</v>
      </c>
      <c r="Q634" s="22">
        <v>0</v>
      </c>
      <c r="R634" s="22" t="s">
        <v>7854</v>
      </c>
      <c r="S634" s="24">
        <v>162500</v>
      </c>
      <c r="T634" s="24" t="s">
        <v>7854</v>
      </c>
      <c r="U634" t="s">
        <v>4335</v>
      </c>
    </row>
    <row r="635" spans="1:21" x14ac:dyDescent="0.25">
      <c r="A635">
        <v>643</v>
      </c>
      <c r="B635">
        <v>7851</v>
      </c>
      <c r="C635" t="s">
        <v>4336</v>
      </c>
      <c r="D635" t="s">
        <v>7448</v>
      </c>
      <c r="E635" t="s">
        <v>4340</v>
      </c>
      <c r="F635" t="s">
        <v>53</v>
      </c>
      <c r="G635" t="s">
        <v>4341</v>
      </c>
      <c r="H635" t="s">
        <v>43</v>
      </c>
      <c r="I635" s="13" t="s">
        <v>4342</v>
      </c>
      <c r="J635" t="s">
        <v>31</v>
      </c>
      <c r="K635" t="s">
        <v>7886</v>
      </c>
      <c r="L635" t="s">
        <v>7893</v>
      </c>
      <c r="M635" t="s">
        <v>63</v>
      </c>
      <c r="N635" t="s">
        <v>33</v>
      </c>
      <c r="O635" s="17">
        <v>812500</v>
      </c>
      <c r="P635" s="17" t="s">
        <v>7854</v>
      </c>
      <c r="Q635" s="22">
        <v>0</v>
      </c>
      <c r="R635" s="22" t="s">
        <v>7854</v>
      </c>
      <c r="S635" s="24">
        <v>162500</v>
      </c>
      <c r="T635" s="24" t="s">
        <v>7854</v>
      </c>
      <c r="U635" t="s">
        <v>4343</v>
      </c>
    </row>
    <row r="636" spans="1:21" x14ac:dyDescent="0.25">
      <c r="A636">
        <v>644</v>
      </c>
      <c r="B636">
        <v>24461</v>
      </c>
      <c r="C636" t="s">
        <v>4344</v>
      </c>
      <c r="D636" t="s">
        <v>7449</v>
      </c>
      <c r="E636" t="s">
        <v>4347</v>
      </c>
      <c r="F636" t="s">
        <v>53</v>
      </c>
      <c r="G636" t="s">
        <v>4348</v>
      </c>
      <c r="H636" t="s">
        <v>43</v>
      </c>
      <c r="I636" s="12">
        <v>2348039893955</v>
      </c>
      <c r="J636" t="s">
        <v>31</v>
      </c>
      <c r="K636" t="s">
        <v>7879</v>
      </c>
      <c r="L636" t="s">
        <v>7893</v>
      </c>
      <c r="M636" t="s">
        <v>46</v>
      </c>
      <c r="N636" t="s">
        <v>33</v>
      </c>
      <c r="O636" s="17">
        <v>195000</v>
      </c>
      <c r="P636" s="17" t="s">
        <v>7854</v>
      </c>
      <c r="Q636" s="22">
        <v>0</v>
      </c>
      <c r="R636" s="22" t="s">
        <v>7854</v>
      </c>
      <c r="S636" s="24">
        <v>0</v>
      </c>
      <c r="T636" s="24" t="s">
        <v>7854</v>
      </c>
      <c r="U636" t="s">
        <v>4349</v>
      </c>
    </row>
    <row r="637" spans="1:21" x14ac:dyDescent="0.25">
      <c r="A637">
        <v>645</v>
      </c>
      <c r="B637">
        <v>24352</v>
      </c>
      <c r="C637" t="s">
        <v>4350</v>
      </c>
      <c r="D637" t="s">
        <v>7450</v>
      </c>
      <c r="E637" t="s">
        <v>4353</v>
      </c>
      <c r="F637" t="s">
        <v>28</v>
      </c>
      <c r="G637" t="s">
        <v>1193</v>
      </c>
      <c r="H637" t="s">
        <v>43</v>
      </c>
      <c r="I637" s="13" t="s">
        <v>4354</v>
      </c>
      <c r="J637" t="s">
        <v>31</v>
      </c>
      <c r="K637" t="s">
        <v>7879</v>
      </c>
      <c r="L637" t="s">
        <v>7940</v>
      </c>
      <c r="M637" t="s">
        <v>63</v>
      </c>
      <c r="N637" t="s">
        <v>33</v>
      </c>
      <c r="O637" s="17">
        <v>195000</v>
      </c>
      <c r="P637" s="17" t="s">
        <v>7854</v>
      </c>
      <c r="Q637" s="22">
        <v>0</v>
      </c>
      <c r="R637" s="22" t="s">
        <v>7854</v>
      </c>
      <c r="S637" s="24">
        <v>0</v>
      </c>
      <c r="T637" s="24" t="s">
        <v>7854</v>
      </c>
      <c r="U637" t="s">
        <v>4355</v>
      </c>
    </row>
    <row r="638" spans="1:21" x14ac:dyDescent="0.25">
      <c r="A638">
        <v>646</v>
      </c>
      <c r="B638">
        <v>8356</v>
      </c>
      <c r="C638" t="s">
        <v>4356</v>
      </c>
      <c r="D638" t="s">
        <v>7451</v>
      </c>
      <c r="E638" t="s">
        <v>4359</v>
      </c>
      <c r="F638" t="s">
        <v>53</v>
      </c>
      <c r="G638" t="s">
        <v>4360</v>
      </c>
      <c r="H638" t="s">
        <v>43</v>
      </c>
      <c r="I638" s="12">
        <v>8137580868</v>
      </c>
      <c r="J638" t="s">
        <v>31</v>
      </c>
      <c r="K638" t="s">
        <v>7886</v>
      </c>
      <c r="L638" t="s">
        <v>7893</v>
      </c>
      <c r="M638" t="s">
        <v>63</v>
      </c>
      <c r="N638" t="s">
        <v>33</v>
      </c>
      <c r="O638" s="17">
        <v>812500</v>
      </c>
      <c r="P638" s="17" t="s">
        <v>7854</v>
      </c>
      <c r="Q638" s="22">
        <v>0</v>
      </c>
      <c r="R638" s="22" t="s">
        <v>7854</v>
      </c>
      <c r="S638" s="24">
        <v>162500</v>
      </c>
      <c r="T638" s="24" t="s">
        <v>7854</v>
      </c>
      <c r="U638" t="s">
        <v>4361</v>
      </c>
    </row>
    <row r="639" spans="1:21" x14ac:dyDescent="0.25">
      <c r="A639">
        <v>647</v>
      </c>
      <c r="B639">
        <v>1587</v>
      </c>
      <c r="C639" t="s">
        <v>4363</v>
      </c>
      <c r="D639" t="s">
        <v>7452</v>
      </c>
      <c r="E639" t="s">
        <v>8011</v>
      </c>
      <c r="F639" t="s">
        <v>28</v>
      </c>
      <c r="G639" t="s">
        <v>4366</v>
      </c>
      <c r="H639" t="s">
        <v>43</v>
      </c>
      <c r="I639" s="12">
        <v>8063154378</v>
      </c>
      <c r="J639" t="s">
        <v>31</v>
      </c>
      <c r="K639" t="s">
        <v>7886</v>
      </c>
      <c r="L639" t="s">
        <v>7981</v>
      </c>
      <c r="M639" t="s">
        <v>46</v>
      </c>
      <c r="N639" t="s">
        <v>33</v>
      </c>
      <c r="O639" s="17">
        <v>812500</v>
      </c>
      <c r="P639" s="17" t="s">
        <v>7854</v>
      </c>
      <c r="Q639" s="22">
        <v>0</v>
      </c>
      <c r="R639" s="22" t="s">
        <v>7854</v>
      </c>
      <c r="S639" s="24">
        <v>162500</v>
      </c>
      <c r="T639" s="24" t="s">
        <v>7854</v>
      </c>
      <c r="U639" t="s">
        <v>4367</v>
      </c>
    </row>
    <row r="640" spans="1:21" x14ac:dyDescent="0.25">
      <c r="A640">
        <v>648</v>
      </c>
      <c r="B640">
        <v>19353</v>
      </c>
      <c r="C640" t="s">
        <v>4368</v>
      </c>
      <c r="D640" t="s">
        <v>7453</v>
      </c>
      <c r="E640" t="s">
        <v>4370</v>
      </c>
      <c r="F640" t="s">
        <v>28</v>
      </c>
      <c r="G640" t="s">
        <v>4371</v>
      </c>
      <c r="H640" t="s">
        <v>43</v>
      </c>
      <c r="I640" s="12">
        <v>2347061888558</v>
      </c>
      <c r="J640" t="s">
        <v>31</v>
      </c>
      <c r="K640" t="s">
        <v>7881</v>
      </c>
      <c r="L640" t="s">
        <v>7940</v>
      </c>
      <c r="M640" t="s">
        <v>87</v>
      </c>
      <c r="N640" t="s">
        <v>33</v>
      </c>
      <c r="O640" s="17">
        <v>552500</v>
      </c>
      <c r="P640" s="17" t="s">
        <v>7854</v>
      </c>
      <c r="Q640" s="22">
        <v>0</v>
      </c>
      <c r="R640" s="22" t="s">
        <v>7854</v>
      </c>
      <c r="S640" s="24">
        <v>0</v>
      </c>
      <c r="T640" s="24" t="s">
        <v>7854</v>
      </c>
      <c r="U640" t="s">
        <v>4372</v>
      </c>
    </row>
    <row r="641" spans="1:21" x14ac:dyDescent="0.25">
      <c r="A641">
        <v>649</v>
      </c>
      <c r="B641">
        <v>24485</v>
      </c>
      <c r="C641" t="s">
        <v>4373</v>
      </c>
      <c r="D641" t="s">
        <v>7454</v>
      </c>
      <c r="E641" t="s">
        <v>7967</v>
      </c>
      <c r="F641" t="s">
        <v>28</v>
      </c>
      <c r="G641" t="s">
        <v>4375</v>
      </c>
      <c r="H641" t="s">
        <v>43</v>
      </c>
      <c r="I641" s="13" t="s">
        <v>4376</v>
      </c>
      <c r="J641" t="s">
        <v>31</v>
      </c>
      <c r="K641" t="s">
        <v>7881</v>
      </c>
      <c r="L641" t="s">
        <v>7940</v>
      </c>
      <c r="M641" t="s">
        <v>87</v>
      </c>
      <c r="N641" t="s">
        <v>33</v>
      </c>
      <c r="O641" s="17">
        <v>552500</v>
      </c>
      <c r="P641" s="17" t="s">
        <v>7854</v>
      </c>
      <c r="Q641" s="22">
        <v>0</v>
      </c>
      <c r="R641" s="22" t="s">
        <v>7854</v>
      </c>
      <c r="S641" s="24">
        <v>0</v>
      </c>
      <c r="T641" s="24" t="s">
        <v>7854</v>
      </c>
      <c r="U641" t="s">
        <v>4377</v>
      </c>
    </row>
    <row r="642" spans="1:21" x14ac:dyDescent="0.25">
      <c r="A642">
        <v>650</v>
      </c>
      <c r="B642">
        <v>10944</v>
      </c>
      <c r="C642" t="s">
        <v>4378</v>
      </c>
      <c r="D642" t="s">
        <v>7455</v>
      </c>
      <c r="E642" t="s">
        <v>4381</v>
      </c>
      <c r="F642" t="s">
        <v>28</v>
      </c>
      <c r="G642" t="s">
        <v>4382</v>
      </c>
      <c r="H642" t="s">
        <v>43</v>
      </c>
      <c r="I642" s="13" t="s">
        <v>4383</v>
      </c>
      <c r="J642" t="s">
        <v>31</v>
      </c>
      <c r="K642" t="s">
        <v>7881</v>
      </c>
      <c r="L642" t="s">
        <v>7940</v>
      </c>
      <c r="M642" t="s">
        <v>63</v>
      </c>
      <c r="N642" t="s">
        <v>33</v>
      </c>
      <c r="O642" s="17">
        <v>552500</v>
      </c>
      <c r="P642" s="17" t="s">
        <v>7854</v>
      </c>
      <c r="Q642" s="22">
        <v>0</v>
      </c>
      <c r="R642" s="22" t="s">
        <v>7854</v>
      </c>
      <c r="S642" s="24">
        <v>0</v>
      </c>
      <c r="T642" s="24" t="s">
        <v>7854</v>
      </c>
      <c r="U642" t="s">
        <v>4384</v>
      </c>
    </row>
    <row r="643" spans="1:21" x14ac:dyDescent="0.25">
      <c r="A643">
        <v>651</v>
      </c>
      <c r="B643">
        <v>24477</v>
      </c>
      <c r="C643" t="s">
        <v>4385</v>
      </c>
      <c r="D643" t="s">
        <v>7456</v>
      </c>
      <c r="E643" t="s">
        <v>4389</v>
      </c>
      <c r="F643" t="s">
        <v>28</v>
      </c>
      <c r="G643" t="s">
        <v>4390</v>
      </c>
      <c r="H643" t="s">
        <v>43</v>
      </c>
      <c r="I643" s="13" t="s">
        <v>4391</v>
      </c>
      <c r="J643" t="s">
        <v>31</v>
      </c>
      <c r="K643" t="s">
        <v>7879</v>
      </c>
      <c r="L643" t="s">
        <v>7893</v>
      </c>
      <c r="M643" t="s">
        <v>46</v>
      </c>
      <c r="N643" t="s">
        <v>33</v>
      </c>
      <c r="O643" s="17">
        <v>195000</v>
      </c>
      <c r="P643" s="17" t="s">
        <v>7854</v>
      </c>
      <c r="Q643" s="22">
        <v>0</v>
      </c>
      <c r="R643" s="22" t="s">
        <v>7854</v>
      </c>
      <c r="S643" s="24">
        <v>0</v>
      </c>
      <c r="T643" s="24" t="s">
        <v>7854</v>
      </c>
      <c r="U643" t="s">
        <v>4392</v>
      </c>
    </row>
    <row r="644" spans="1:21" x14ac:dyDescent="0.25">
      <c r="A644">
        <v>652</v>
      </c>
      <c r="B644">
        <v>21280</v>
      </c>
      <c r="C644" t="s">
        <v>4393</v>
      </c>
      <c r="D644" t="s">
        <v>7457</v>
      </c>
      <c r="E644" t="s">
        <v>8031</v>
      </c>
      <c r="F644" t="s">
        <v>28</v>
      </c>
      <c r="G644" t="s">
        <v>8031</v>
      </c>
      <c r="H644" t="s">
        <v>43</v>
      </c>
      <c r="I644" s="13" t="s">
        <v>4396</v>
      </c>
      <c r="J644" t="s">
        <v>31</v>
      </c>
      <c r="K644" t="s">
        <v>7881</v>
      </c>
      <c r="L644" t="s">
        <v>8028</v>
      </c>
      <c r="M644" t="s">
        <v>63</v>
      </c>
      <c r="N644" t="s">
        <v>33</v>
      </c>
      <c r="O644" s="17">
        <v>552500</v>
      </c>
      <c r="P644" s="17" t="s">
        <v>7854</v>
      </c>
      <c r="Q644" s="22">
        <v>0</v>
      </c>
      <c r="R644" s="22" t="s">
        <v>7854</v>
      </c>
      <c r="S644" s="24">
        <v>0</v>
      </c>
      <c r="T644" s="24" t="s">
        <v>7854</v>
      </c>
      <c r="U644" t="s">
        <v>4397</v>
      </c>
    </row>
    <row r="645" spans="1:21" x14ac:dyDescent="0.25">
      <c r="A645">
        <v>653</v>
      </c>
      <c r="B645">
        <v>24433</v>
      </c>
      <c r="C645" t="s">
        <v>4398</v>
      </c>
      <c r="D645" t="s">
        <v>7458</v>
      </c>
      <c r="E645" t="s">
        <v>4401</v>
      </c>
      <c r="F645" t="s">
        <v>53</v>
      </c>
      <c r="G645" t="s">
        <v>4402</v>
      </c>
      <c r="H645" t="s">
        <v>43</v>
      </c>
      <c r="I645" s="13" t="s">
        <v>4403</v>
      </c>
      <c r="J645" t="s">
        <v>31</v>
      </c>
      <c r="K645" t="s">
        <v>7879</v>
      </c>
      <c r="L645" t="s">
        <v>7940</v>
      </c>
      <c r="M645" t="s">
        <v>46</v>
      </c>
      <c r="N645" t="s">
        <v>33</v>
      </c>
      <c r="O645" s="17">
        <v>195000</v>
      </c>
      <c r="P645" s="17" t="s">
        <v>7854</v>
      </c>
      <c r="Q645" s="22">
        <v>0</v>
      </c>
      <c r="R645" s="22" t="s">
        <v>7854</v>
      </c>
      <c r="S645" s="24">
        <v>0</v>
      </c>
      <c r="T645" s="24" t="s">
        <v>7854</v>
      </c>
      <c r="U645" t="s">
        <v>4404</v>
      </c>
    </row>
    <row r="646" spans="1:21" x14ac:dyDescent="0.25">
      <c r="A646">
        <v>654</v>
      </c>
      <c r="B646">
        <v>24092</v>
      </c>
      <c r="C646" t="s">
        <v>4405</v>
      </c>
      <c r="D646" t="s">
        <v>7459</v>
      </c>
      <c r="E646" t="s">
        <v>4407</v>
      </c>
      <c r="F646" t="s">
        <v>28</v>
      </c>
      <c r="G646" t="s">
        <v>4408</v>
      </c>
      <c r="H646" t="s">
        <v>43</v>
      </c>
      <c r="I646" s="13" t="s">
        <v>4409</v>
      </c>
      <c r="J646" t="s">
        <v>31</v>
      </c>
      <c r="K646" t="s">
        <v>7879</v>
      </c>
      <c r="L646" t="s">
        <v>7893</v>
      </c>
      <c r="M646" t="s">
        <v>46</v>
      </c>
      <c r="N646" t="s">
        <v>33</v>
      </c>
      <c r="O646" s="17">
        <v>195000</v>
      </c>
      <c r="P646" s="17" t="s">
        <v>7854</v>
      </c>
      <c r="Q646" s="22">
        <v>0</v>
      </c>
      <c r="R646" s="22" t="s">
        <v>7854</v>
      </c>
      <c r="S646" s="24">
        <v>0</v>
      </c>
      <c r="T646" s="24" t="s">
        <v>7854</v>
      </c>
      <c r="U646" t="s">
        <v>4410</v>
      </c>
    </row>
    <row r="647" spans="1:21" x14ac:dyDescent="0.25">
      <c r="A647">
        <v>655</v>
      </c>
      <c r="B647">
        <v>24160</v>
      </c>
      <c r="C647" t="s">
        <v>4411</v>
      </c>
      <c r="D647" t="s">
        <v>7460</v>
      </c>
      <c r="E647" t="s">
        <v>4413</v>
      </c>
      <c r="F647" t="s">
        <v>28</v>
      </c>
      <c r="G647" t="s">
        <v>4414</v>
      </c>
      <c r="H647" t="s">
        <v>43</v>
      </c>
      <c r="I647" s="12">
        <v>2349039912222</v>
      </c>
      <c r="J647" t="s">
        <v>31</v>
      </c>
      <c r="K647" t="s">
        <v>7879</v>
      </c>
      <c r="L647" t="s">
        <v>7981</v>
      </c>
      <c r="M647" t="s">
        <v>46</v>
      </c>
      <c r="N647" t="s">
        <v>33</v>
      </c>
      <c r="O647" s="17">
        <v>195000</v>
      </c>
      <c r="P647" s="17" t="s">
        <v>7854</v>
      </c>
      <c r="Q647" s="22">
        <v>0</v>
      </c>
      <c r="R647" s="22" t="s">
        <v>7854</v>
      </c>
      <c r="S647" s="24">
        <v>0</v>
      </c>
      <c r="T647" s="24" t="s">
        <v>7854</v>
      </c>
      <c r="U647" t="s">
        <v>4415</v>
      </c>
    </row>
    <row r="648" spans="1:21" x14ac:dyDescent="0.25">
      <c r="A648">
        <v>656</v>
      </c>
      <c r="B648">
        <v>18884</v>
      </c>
      <c r="C648" t="s">
        <v>4416</v>
      </c>
      <c r="D648" t="s">
        <v>7461</v>
      </c>
      <c r="E648" t="s">
        <v>4419</v>
      </c>
      <c r="F648" t="s">
        <v>28</v>
      </c>
      <c r="G648" t="s">
        <v>4419</v>
      </c>
      <c r="H648" t="s">
        <v>30</v>
      </c>
      <c r="I648" s="12">
        <v>2203200029</v>
      </c>
      <c r="J648" t="s">
        <v>31</v>
      </c>
      <c r="K648" t="s">
        <v>7881</v>
      </c>
      <c r="L648" t="s">
        <v>7940</v>
      </c>
      <c r="M648" t="s">
        <v>32</v>
      </c>
      <c r="N648" t="s">
        <v>130</v>
      </c>
      <c r="O648" s="17" t="s">
        <v>7854</v>
      </c>
      <c r="P648" s="17">
        <v>425</v>
      </c>
      <c r="Q648" s="22" t="s">
        <v>7854</v>
      </c>
      <c r="R648" s="22">
        <v>0</v>
      </c>
      <c r="S648" s="24" t="s">
        <v>7854</v>
      </c>
      <c r="T648" s="24">
        <v>0</v>
      </c>
      <c r="U648" t="s">
        <v>4420</v>
      </c>
    </row>
    <row r="649" spans="1:21" x14ac:dyDescent="0.25">
      <c r="A649">
        <v>657</v>
      </c>
      <c r="B649">
        <v>18821</v>
      </c>
      <c r="C649" t="s">
        <v>4421</v>
      </c>
      <c r="D649" t="s">
        <v>7462</v>
      </c>
      <c r="E649">
        <v>2203623769</v>
      </c>
      <c r="F649" t="s">
        <v>53</v>
      </c>
      <c r="G649" t="s">
        <v>4424</v>
      </c>
      <c r="H649" t="s">
        <v>30</v>
      </c>
      <c r="I649" s="12">
        <v>2207261567</v>
      </c>
      <c r="J649" t="s">
        <v>31</v>
      </c>
      <c r="K649" t="s">
        <v>7881</v>
      </c>
      <c r="L649" t="s">
        <v>7940</v>
      </c>
      <c r="M649" t="s">
        <v>455</v>
      </c>
      <c r="N649" t="s">
        <v>33</v>
      </c>
      <c r="O649" s="17">
        <v>552500</v>
      </c>
      <c r="P649" s="17" t="s">
        <v>7854</v>
      </c>
      <c r="Q649" s="22">
        <v>0</v>
      </c>
      <c r="R649" s="22" t="s">
        <v>7854</v>
      </c>
      <c r="S649" s="24">
        <v>0</v>
      </c>
      <c r="T649" s="24" t="s">
        <v>7854</v>
      </c>
      <c r="U649" t="s">
        <v>4425</v>
      </c>
    </row>
    <row r="650" spans="1:21" x14ac:dyDescent="0.25">
      <c r="A650">
        <v>658</v>
      </c>
      <c r="B650">
        <v>9387</v>
      </c>
      <c r="C650" t="s">
        <v>4426</v>
      </c>
      <c r="D650" t="s">
        <v>7463</v>
      </c>
      <c r="E650" t="s">
        <v>4430</v>
      </c>
      <c r="F650" t="s">
        <v>28</v>
      </c>
      <c r="G650" t="s">
        <v>4431</v>
      </c>
      <c r="H650" t="s">
        <v>43</v>
      </c>
      <c r="I650" s="12">
        <v>8131642710</v>
      </c>
      <c r="J650" t="s">
        <v>31</v>
      </c>
      <c r="K650" t="s">
        <v>7881</v>
      </c>
      <c r="L650" t="s">
        <v>7981</v>
      </c>
      <c r="M650" t="s">
        <v>46</v>
      </c>
      <c r="N650" t="s">
        <v>33</v>
      </c>
      <c r="O650" s="17">
        <v>552500</v>
      </c>
      <c r="P650" s="17" t="s">
        <v>7854</v>
      </c>
      <c r="Q650" s="22">
        <v>0</v>
      </c>
      <c r="R650" s="22" t="s">
        <v>7854</v>
      </c>
      <c r="S650" s="24">
        <v>0</v>
      </c>
      <c r="T650" s="24" t="s">
        <v>7854</v>
      </c>
      <c r="U650" t="s">
        <v>4432</v>
      </c>
    </row>
    <row r="651" spans="1:21" x14ac:dyDescent="0.25">
      <c r="A651">
        <v>659</v>
      </c>
      <c r="B651">
        <v>23818</v>
      </c>
      <c r="C651" t="s">
        <v>4433</v>
      </c>
      <c r="D651" t="s">
        <v>7464</v>
      </c>
      <c r="E651" t="s">
        <v>4436</v>
      </c>
      <c r="F651" t="s">
        <v>53</v>
      </c>
      <c r="G651" t="s">
        <v>8032</v>
      </c>
      <c r="H651" t="s">
        <v>43</v>
      </c>
      <c r="I651" s="13" t="s">
        <v>4437</v>
      </c>
      <c r="J651" t="s">
        <v>31</v>
      </c>
      <c r="K651" t="s">
        <v>7879</v>
      </c>
      <c r="L651" t="s">
        <v>8028</v>
      </c>
      <c r="M651" t="s">
        <v>87</v>
      </c>
      <c r="N651" t="s">
        <v>33</v>
      </c>
      <c r="O651" s="17">
        <v>195000</v>
      </c>
      <c r="P651" s="17" t="s">
        <v>7854</v>
      </c>
      <c r="Q651" s="22">
        <v>0</v>
      </c>
      <c r="R651" s="22" t="s">
        <v>7854</v>
      </c>
      <c r="S651" s="24">
        <v>0</v>
      </c>
      <c r="T651" s="24" t="s">
        <v>7854</v>
      </c>
      <c r="U651" t="s">
        <v>4438</v>
      </c>
    </row>
    <row r="652" spans="1:21" x14ac:dyDescent="0.25">
      <c r="A652">
        <v>660</v>
      </c>
      <c r="B652">
        <v>22401</v>
      </c>
      <c r="C652" t="s">
        <v>4439</v>
      </c>
      <c r="D652" t="s">
        <v>7465</v>
      </c>
      <c r="E652" t="s">
        <v>4442</v>
      </c>
      <c r="F652" t="s">
        <v>28</v>
      </c>
      <c r="G652" t="s">
        <v>4443</v>
      </c>
      <c r="H652" t="s">
        <v>43</v>
      </c>
      <c r="I652" s="13" t="s">
        <v>4444</v>
      </c>
      <c r="J652" t="s">
        <v>45</v>
      </c>
      <c r="K652" t="s">
        <v>7879</v>
      </c>
      <c r="L652" t="s">
        <v>7893</v>
      </c>
      <c r="M652" t="s">
        <v>87</v>
      </c>
      <c r="N652" t="s">
        <v>33</v>
      </c>
      <c r="O652" s="17">
        <v>195000</v>
      </c>
      <c r="P652" s="17" t="s">
        <v>7854</v>
      </c>
      <c r="Q652" s="22">
        <v>0</v>
      </c>
      <c r="R652" s="22" t="s">
        <v>7854</v>
      </c>
      <c r="S652" s="24">
        <v>0</v>
      </c>
      <c r="T652" s="24" t="s">
        <v>7854</v>
      </c>
      <c r="U652" t="s">
        <v>4445</v>
      </c>
    </row>
    <row r="653" spans="1:21" x14ac:dyDescent="0.25">
      <c r="A653">
        <v>662</v>
      </c>
      <c r="B653">
        <v>17960</v>
      </c>
      <c r="C653" t="s">
        <v>4447</v>
      </c>
      <c r="D653" t="s">
        <v>7466</v>
      </c>
      <c r="E653" t="s">
        <v>4450</v>
      </c>
      <c r="F653" t="s">
        <v>28</v>
      </c>
      <c r="G653" t="s">
        <v>4451</v>
      </c>
      <c r="H653" t="s">
        <v>43</v>
      </c>
      <c r="I653" s="13" t="s">
        <v>4452</v>
      </c>
      <c r="J653" t="s">
        <v>31</v>
      </c>
      <c r="K653" t="s">
        <v>7881</v>
      </c>
      <c r="L653" t="s">
        <v>7940</v>
      </c>
      <c r="M653" t="s">
        <v>63</v>
      </c>
      <c r="N653" t="s">
        <v>33</v>
      </c>
      <c r="O653" s="17">
        <v>552500</v>
      </c>
      <c r="P653" s="17" t="s">
        <v>7854</v>
      </c>
      <c r="Q653" s="22">
        <v>0</v>
      </c>
      <c r="R653" s="22" t="s">
        <v>7854</v>
      </c>
      <c r="S653" s="24">
        <v>0</v>
      </c>
      <c r="T653" s="24" t="s">
        <v>7854</v>
      </c>
      <c r="U653" t="s">
        <v>4453</v>
      </c>
    </row>
    <row r="654" spans="1:21" x14ac:dyDescent="0.25">
      <c r="A654">
        <v>663</v>
      </c>
      <c r="B654">
        <v>11183</v>
      </c>
      <c r="C654" t="s">
        <v>4454</v>
      </c>
      <c r="D654" t="s">
        <v>7467</v>
      </c>
      <c r="E654" t="s">
        <v>4456</v>
      </c>
      <c r="F654" t="s">
        <v>53</v>
      </c>
      <c r="G654" t="s">
        <v>4457</v>
      </c>
      <c r="H654" t="s">
        <v>43</v>
      </c>
      <c r="I654" s="12">
        <v>8035333504</v>
      </c>
      <c r="J654" t="s">
        <v>45</v>
      </c>
      <c r="K654" t="s">
        <v>7879</v>
      </c>
      <c r="L654" t="s">
        <v>7893</v>
      </c>
      <c r="M654" t="s">
        <v>46</v>
      </c>
      <c r="N654" t="s">
        <v>33</v>
      </c>
      <c r="O654" s="17">
        <v>195000</v>
      </c>
      <c r="P654" s="17" t="s">
        <v>7854</v>
      </c>
      <c r="Q654" s="22">
        <v>0</v>
      </c>
      <c r="R654" s="22" t="s">
        <v>7854</v>
      </c>
      <c r="S654" s="24">
        <v>0</v>
      </c>
      <c r="T654" s="24" t="s">
        <v>7854</v>
      </c>
      <c r="U654" t="s">
        <v>4458</v>
      </c>
    </row>
    <row r="655" spans="1:21" x14ac:dyDescent="0.25">
      <c r="A655">
        <v>664</v>
      </c>
      <c r="B655">
        <v>24067</v>
      </c>
      <c r="C655" t="s">
        <v>4459</v>
      </c>
      <c r="D655" t="s">
        <v>7468</v>
      </c>
      <c r="E655" t="s">
        <v>4463</v>
      </c>
      <c r="F655" t="s">
        <v>28</v>
      </c>
      <c r="G655" t="s">
        <v>4464</v>
      </c>
      <c r="H655" t="s">
        <v>43</v>
      </c>
      <c r="I655" s="13" t="s">
        <v>4465</v>
      </c>
      <c r="J655" t="s">
        <v>31</v>
      </c>
      <c r="K655" t="s">
        <v>7879</v>
      </c>
      <c r="L655" t="s">
        <v>8028</v>
      </c>
      <c r="M655" t="s">
        <v>63</v>
      </c>
      <c r="N655" t="s">
        <v>33</v>
      </c>
      <c r="O655" s="17">
        <v>195000</v>
      </c>
      <c r="P655" s="17" t="s">
        <v>7854</v>
      </c>
      <c r="Q655" s="22">
        <v>0</v>
      </c>
      <c r="R655" s="22" t="s">
        <v>7854</v>
      </c>
      <c r="S655" s="24">
        <v>0</v>
      </c>
      <c r="T655" s="24" t="s">
        <v>7854</v>
      </c>
      <c r="U655" t="s">
        <v>4466</v>
      </c>
    </row>
    <row r="656" spans="1:21" x14ac:dyDescent="0.25">
      <c r="A656">
        <v>665</v>
      </c>
      <c r="B656">
        <v>22396</v>
      </c>
      <c r="C656" t="s">
        <v>4467</v>
      </c>
      <c r="D656" t="s">
        <v>7469</v>
      </c>
      <c r="E656" t="s">
        <v>4470</v>
      </c>
      <c r="F656" t="s">
        <v>28</v>
      </c>
      <c r="G656" t="s">
        <v>4471</v>
      </c>
      <c r="H656" t="s">
        <v>453</v>
      </c>
      <c r="I656" s="12">
        <v>233553194310</v>
      </c>
      <c r="J656" t="s">
        <v>31</v>
      </c>
      <c r="K656" t="s">
        <v>7881</v>
      </c>
      <c r="L656" t="s">
        <v>7888</v>
      </c>
      <c r="M656" t="s">
        <v>455</v>
      </c>
      <c r="N656" t="s">
        <v>130</v>
      </c>
      <c r="O656" s="17" t="s">
        <v>7854</v>
      </c>
      <c r="P656" s="17">
        <v>425</v>
      </c>
      <c r="Q656" s="22" t="s">
        <v>7854</v>
      </c>
      <c r="R656" s="22">
        <v>85</v>
      </c>
      <c r="S656" s="24" t="s">
        <v>7854</v>
      </c>
      <c r="T656" s="24">
        <v>0</v>
      </c>
      <c r="U656" t="s">
        <v>4472</v>
      </c>
    </row>
    <row r="657" spans="1:21" x14ac:dyDescent="0.25">
      <c r="A657">
        <v>666</v>
      </c>
      <c r="B657">
        <v>6939</v>
      </c>
      <c r="C657" t="s">
        <v>4473</v>
      </c>
      <c r="D657" t="s">
        <v>7470</v>
      </c>
      <c r="E657" t="s">
        <v>4477</v>
      </c>
      <c r="F657" t="s">
        <v>53</v>
      </c>
      <c r="G657" t="s">
        <v>4478</v>
      </c>
      <c r="H657" t="s">
        <v>43</v>
      </c>
      <c r="I657" s="12">
        <v>8058805422</v>
      </c>
      <c r="J657" t="s">
        <v>45</v>
      </c>
      <c r="K657" t="s">
        <v>7881</v>
      </c>
      <c r="L657" t="s">
        <v>7893</v>
      </c>
      <c r="M657" t="s">
        <v>46</v>
      </c>
      <c r="N657" t="s">
        <v>33</v>
      </c>
      <c r="O657" s="17">
        <v>552500</v>
      </c>
      <c r="P657" s="17" t="s">
        <v>7854</v>
      </c>
      <c r="Q657" s="22">
        <v>0</v>
      </c>
      <c r="R657" s="22" t="s">
        <v>7854</v>
      </c>
      <c r="S657" s="24">
        <v>0</v>
      </c>
      <c r="T657" s="24" t="s">
        <v>7854</v>
      </c>
      <c r="U657" t="s">
        <v>4479</v>
      </c>
    </row>
    <row r="658" spans="1:21" x14ac:dyDescent="0.25">
      <c r="A658">
        <v>667</v>
      </c>
      <c r="B658">
        <v>6686</v>
      </c>
      <c r="C658" t="s">
        <v>4480</v>
      </c>
      <c r="D658" t="s">
        <v>7471</v>
      </c>
      <c r="E658" t="s">
        <v>4483</v>
      </c>
      <c r="F658" t="s">
        <v>53</v>
      </c>
      <c r="G658" t="s">
        <v>4484</v>
      </c>
      <c r="H658" t="s">
        <v>43</v>
      </c>
      <c r="I658" s="12">
        <v>8035356501</v>
      </c>
      <c r="J658" t="s">
        <v>31</v>
      </c>
      <c r="K658" t="s">
        <v>7886</v>
      </c>
      <c r="L658" t="s">
        <v>7888</v>
      </c>
      <c r="M658" t="s">
        <v>63</v>
      </c>
      <c r="N658" t="s">
        <v>33</v>
      </c>
      <c r="O658" s="17">
        <v>812500</v>
      </c>
      <c r="P658" s="17" t="s">
        <v>7854</v>
      </c>
      <c r="Q658" s="22">
        <v>0</v>
      </c>
      <c r="R658" s="22" t="s">
        <v>7854</v>
      </c>
      <c r="S658" s="24">
        <v>162500</v>
      </c>
      <c r="T658" s="24" t="s">
        <v>7854</v>
      </c>
      <c r="U658" t="s">
        <v>4485</v>
      </c>
    </row>
    <row r="659" spans="1:21" x14ac:dyDescent="0.25">
      <c r="A659">
        <v>668</v>
      </c>
      <c r="B659">
        <v>3579</v>
      </c>
      <c r="C659" t="s">
        <v>4486</v>
      </c>
      <c r="D659" t="s">
        <v>7472</v>
      </c>
      <c r="E659" t="s">
        <v>4488</v>
      </c>
      <c r="F659" t="s">
        <v>53</v>
      </c>
      <c r="G659" t="s">
        <v>4488</v>
      </c>
      <c r="H659" t="s">
        <v>43</v>
      </c>
      <c r="I659" s="13" t="s">
        <v>4489</v>
      </c>
      <c r="J659" t="s">
        <v>31</v>
      </c>
      <c r="K659" t="s">
        <v>7886</v>
      </c>
      <c r="L659" t="s">
        <v>7940</v>
      </c>
      <c r="M659" t="s">
        <v>63</v>
      </c>
      <c r="N659" t="s">
        <v>33</v>
      </c>
      <c r="O659" s="17">
        <v>812500</v>
      </c>
      <c r="P659" s="17" t="s">
        <v>7854</v>
      </c>
      <c r="Q659" s="22">
        <v>110500</v>
      </c>
      <c r="R659" s="22" t="s">
        <v>7854</v>
      </c>
      <c r="S659" s="24">
        <v>162500</v>
      </c>
      <c r="T659" s="24" t="s">
        <v>7854</v>
      </c>
      <c r="U659" t="s">
        <v>4490</v>
      </c>
    </row>
    <row r="660" spans="1:21" x14ac:dyDescent="0.25">
      <c r="A660">
        <v>669</v>
      </c>
      <c r="B660">
        <v>22486</v>
      </c>
      <c r="C660" t="s">
        <v>4491</v>
      </c>
      <c r="D660" t="s">
        <v>7473</v>
      </c>
      <c r="E660" t="s">
        <v>4494</v>
      </c>
      <c r="F660" t="s">
        <v>28</v>
      </c>
      <c r="G660" t="s">
        <v>968</v>
      </c>
      <c r="H660" t="s">
        <v>453</v>
      </c>
      <c r="I660" s="13" t="s">
        <v>4495</v>
      </c>
      <c r="J660" t="s">
        <v>45</v>
      </c>
      <c r="K660" t="s">
        <v>7881</v>
      </c>
      <c r="L660" t="s">
        <v>7981</v>
      </c>
      <c r="M660" t="s">
        <v>455</v>
      </c>
      <c r="N660" t="s">
        <v>130</v>
      </c>
      <c r="O660" s="17" t="s">
        <v>7854</v>
      </c>
      <c r="P660" s="17">
        <v>425</v>
      </c>
      <c r="Q660" s="22" t="s">
        <v>7854</v>
      </c>
      <c r="R660" s="22">
        <v>0</v>
      </c>
      <c r="S660" s="24" t="s">
        <v>7854</v>
      </c>
      <c r="T660" s="24">
        <v>0</v>
      </c>
      <c r="U660" t="s">
        <v>4496</v>
      </c>
    </row>
    <row r="661" spans="1:21" x14ac:dyDescent="0.25">
      <c r="A661">
        <v>670</v>
      </c>
      <c r="B661">
        <v>20335</v>
      </c>
      <c r="C661" t="s">
        <v>4497</v>
      </c>
      <c r="D661" t="s">
        <v>7474</v>
      </c>
      <c r="E661" t="s">
        <v>4499</v>
      </c>
      <c r="F661" t="s">
        <v>53</v>
      </c>
      <c r="G661" t="s">
        <v>4500</v>
      </c>
      <c r="H661" t="s">
        <v>765</v>
      </c>
      <c r="I661" s="12">
        <v>23278655340</v>
      </c>
      <c r="J661" t="s">
        <v>31</v>
      </c>
      <c r="K661" t="s">
        <v>7881</v>
      </c>
      <c r="L661" t="s">
        <v>7981</v>
      </c>
      <c r="M661" t="s">
        <v>1480</v>
      </c>
      <c r="N661" t="s">
        <v>33</v>
      </c>
      <c r="O661" s="17">
        <v>552500</v>
      </c>
      <c r="P661" s="17" t="s">
        <v>7854</v>
      </c>
      <c r="Q661" s="22">
        <v>0</v>
      </c>
      <c r="R661" s="22" t="s">
        <v>7854</v>
      </c>
      <c r="S661" s="24">
        <v>0</v>
      </c>
      <c r="T661" s="24" t="s">
        <v>7854</v>
      </c>
      <c r="U661" t="s">
        <v>4501</v>
      </c>
    </row>
    <row r="662" spans="1:21" x14ac:dyDescent="0.25">
      <c r="A662">
        <v>671</v>
      </c>
      <c r="B662">
        <v>8658</v>
      </c>
      <c r="C662" t="s">
        <v>4502</v>
      </c>
      <c r="D662" t="s">
        <v>7475</v>
      </c>
      <c r="E662" t="s">
        <v>4505</v>
      </c>
      <c r="F662" t="s">
        <v>53</v>
      </c>
      <c r="G662" t="s">
        <v>4506</v>
      </c>
      <c r="H662" t="s">
        <v>43</v>
      </c>
      <c r="I662" s="12">
        <v>2348038328238</v>
      </c>
      <c r="J662" t="s">
        <v>45</v>
      </c>
      <c r="K662" t="s">
        <v>7881</v>
      </c>
      <c r="L662" t="s">
        <v>7981</v>
      </c>
      <c r="M662" t="s">
        <v>46</v>
      </c>
      <c r="N662" t="s">
        <v>33</v>
      </c>
      <c r="O662" s="17">
        <v>552500</v>
      </c>
      <c r="P662" s="17" t="s">
        <v>7854</v>
      </c>
      <c r="Q662" s="22">
        <v>0</v>
      </c>
      <c r="R662" s="22" t="s">
        <v>7854</v>
      </c>
      <c r="S662" s="24">
        <v>0</v>
      </c>
      <c r="T662" s="24" t="s">
        <v>7854</v>
      </c>
      <c r="U662" t="s">
        <v>4507</v>
      </c>
    </row>
    <row r="663" spans="1:21" x14ac:dyDescent="0.25">
      <c r="A663">
        <v>672</v>
      </c>
      <c r="B663">
        <v>24353</v>
      </c>
      <c r="C663" t="s">
        <v>4508</v>
      </c>
      <c r="D663" t="s">
        <v>7476</v>
      </c>
      <c r="E663" t="s">
        <v>4512</v>
      </c>
      <c r="F663" t="s">
        <v>53</v>
      </c>
      <c r="G663" t="s">
        <v>4513</v>
      </c>
      <c r="H663" t="s">
        <v>43</v>
      </c>
      <c r="I663" s="13" t="s">
        <v>4514</v>
      </c>
      <c r="J663" t="s">
        <v>31</v>
      </c>
      <c r="K663" t="s">
        <v>7879</v>
      </c>
      <c r="L663" t="s">
        <v>7893</v>
      </c>
      <c r="M663" t="s">
        <v>63</v>
      </c>
      <c r="N663" t="s">
        <v>33</v>
      </c>
      <c r="O663" s="17">
        <v>195000</v>
      </c>
      <c r="P663" s="17" t="s">
        <v>7854</v>
      </c>
      <c r="Q663" s="22">
        <v>0</v>
      </c>
      <c r="R663" s="22" t="s">
        <v>7854</v>
      </c>
      <c r="S663" s="24">
        <v>0</v>
      </c>
      <c r="T663" s="24" t="s">
        <v>7854</v>
      </c>
      <c r="U663" t="s">
        <v>4515</v>
      </c>
    </row>
    <row r="664" spans="1:21" x14ac:dyDescent="0.25">
      <c r="A664">
        <v>673</v>
      </c>
      <c r="B664">
        <v>24323</v>
      </c>
      <c r="C664" t="s">
        <v>4516</v>
      </c>
      <c r="D664" t="s">
        <v>7477</v>
      </c>
      <c r="E664" t="s">
        <v>4518</v>
      </c>
      <c r="F664" t="s">
        <v>28</v>
      </c>
      <c r="G664" t="s">
        <v>4519</v>
      </c>
      <c r="H664" t="s">
        <v>43</v>
      </c>
      <c r="I664" s="13" t="s">
        <v>4520</v>
      </c>
      <c r="J664" t="s">
        <v>31</v>
      </c>
      <c r="K664" t="s">
        <v>7879</v>
      </c>
      <c r="L664" t="s">
        <v>7893</v>
      </c>
      <c r="M664" t="s">
        <v>46</v>
      </c>
      <c r="N664" t="s">
        <v>33</v>
      </c>
      <c r="O664" s="17">
        <v>195000</v>
      </c>
      <c r="P664" s="17" t="s">
        <v>7854</v>
      </c>
      <c r="Q664" s="22">
        <v>0</v>
      </c>
      <c r="R664" s="22" t="s">
        <v>7854</v>
      </c>
      <c r="S664" s="24">
        <v>0</v>
      </c>
      <c r="T664" s="24" t="s">
        <v>7854</v>
      </c>
      <c r="U664" t="s">
        <v>4521</v>
      </c>
    </row>
    <row r="665" spans="1:21" x14ac:dyDescent="0.25">
      <c r="A665">
        <v>674</v>
      </c>
      <c r="B665">
        <v>24017</v>
      </c>
      <c r="C665" t="s">
        <v>4522</v>
      </c>
      <c r="D665" t="s">
        <v>7478</v>
      </c>
      <c r="E665" t="s">
        <v>4526</v>
      </c>
      <c r="F665" t="s">
        <v>28</v>
      </c>
      <c r="G665" t="s">
        <v>4527</v>
      </c>
      <c r="H665" t="s">
        <v>43</v>
      </c>
      <c r="I665" s="13" t="s">
        <v>4528</v>
      </c>
      <c r="J665" t="s">
        <v>31</v>
      </c>
      <c r="K665" t="s">
        <v>7879</v>
      </c>
      <c r="L665" t="s">
        <v>7888</v>
      </c>
      <c r="M665" t="s">
        <v>46</v>
      </c>
      <c r="N665" t="s">
        <v>33</v>
      </c>
      <c r="O665" s="17">
        <v>195000</v>
      </c>
      <c r="P665" s="17" t="s">
        <v>7854</v>
      </c>
      <c r="Q665" s="22">
        <v>0</v>
      </c>
      <c r="R665" s="22" t="s">
        <v>7854</v>
      </c>
      <c r="S665" s="24">
        <v>0</v>
      </c>
      <c r="T665" s="24" t="s">
        <v>7854</v>
      </c>
      <c r="U665" t="s">
        <v>4529</v>
      </c>
    </row>
    <row r="666" spans="1:21" x14ac:dyDescent="0.25">
      <c r="A666">
        <v>675</v>
      </c>
      <c r="B666">
        <v>5415</v>
      </c>
      <c r="C666" t="s">
        <v>4530</v>
      </c>
      <c r="D666" t="s">
        <v>7479</v>
      </c>
      <c r="E666" t="s">
        <v>4534</v>
      </c>
      <c r="F666" t="s">
        <v>53</v>
      </c>
      <c r="G666" t="s">
        <v>4535</v>
      </c>
      <c r="H666" t="s">
        <v>43</v>
      </c>
      <c r="I666" s="12">
        <v>8121976988</v>
      </c>
      <c r="J666" t="s">
        <v>2333</v>
      </c>
      <c r="K666" t="s">
        <v>7886</v>
      </c>
      <c r="L666" t="s">
        <v>7940</v>
      </c>
      <c r="M666" t="s">
        <v>46</v>
      </c>
      <c r="N666" t="s">
        <v>33</v>
      </c>
      <c r="O666" s="17">
        <v>812500</v>
      </c>
      <c r="P666" s="17" t="s">
        <v>7854</v>
      </c>
      <c r="Q666" s="22">
        <v>0</v>
      </c>
      <c r="R666" s="22" t="s">
        <v>7854</v>
      </c>
      <c r="S666" s="24">
        <v>162500</v>
      </c>
      <c r="T666" s="24" t="s">
        <v>7854</v>
      </c>
      <c r="U666" t="s">
        <v>4536</v>
      </c>
    </row>
    <row r="667" spans="1:21" x14ac:dyDescent="0.25">
      <c r="A667">
        <v>676</v>
      </c>
      <c r="B667">
        <v>24378</v>
      </c>
      <c r="C667" t="s">
        <v>4537</v>
      </c>
      <c r="D667" t="s">
        <v>7480</v>
      </c>
      <c r="E667" t="s">
        <v>4539</v>
      </c>
      <c r="F667" t="s">
        <v>28</v>
      </c>
      <c r="G667" t="s">
        <v>4540</v>
      </c>
      <c r="H667" t="s">
        <v>43</v>
      </c>
      <c r="I667" s="12">
        <v>2348068684603</v>
      </c>
      <c r="J667" t="s">
        <v>31</v>
      </c>
      <c r="K667" t="s">
        <v>7879</v>
      </c>
      <c r="L667" t="s">
        <v>7981</v>
      </c>
      <c r="M667" t="s">
        <v>87</v>
      </c>
      <c r="N667" t="s">
        <v>33</v>
      </c>
      <c r="O667" s="17">
        <v>195000</v>
      </c>
      <c r="P667" s="17" t="s">
        <v>7854</v>
      </c>
      <c r="Q667" s="22">
        <v>0</v>
      </c>
      <c r="R667" s="22" t="s">
        <v>7854</v>
      </c>
      <c r="S667" s="24">
        <v>0</v>
      </c>
      <c r="T667" s="24" t="s">
        <v>7854</v>
      </c>
      <c r="U667" t="s">
        <v>4541</v>
      </c>
    </row>
    <row r="668" spans="1:21" x14ac:dyDescent="0.25">
      <c r="A668">
        <v>677</v>
      </c>
      <c r="B668">
        <v>3128</v>
      </c>
      <c r="C668" t="s">
        <v>4542</v>
      </c>
      <c r="D668" t="s">
        <v>7481</v>
      </c>
      <c r="E668" t="s">
        <v>8012</v>
      </c>
      <c r="F668" t="s">
        <v>53</v>
      </c>
      <c r="G668" t="s">
        <v>8013</v>
      </c>
      <c r="H668" t="s">
        <v>43</v>
      </c>
      <c r="I668" s="13" t="s">
        <v>4544</v>
      </c>
      <c r="J668" t="s">
        <v>31</v>
      </c>
      <c r="K668" t="s">
        <v>7886</v>
      </c>
      <c r="L668" t="s">
        <v>7981</v>
      </c>
      <c r="M668" t="s">
        <v>46</v>
      </c>
      <c r="N668" t="s">
        <v>33</v>
      </c>
      <c r="O668" s="17">
        <v>812500</v>
      </c>
      <c r="P668" s="17" t="s">
        <v>7854</v>
      </c>
      <c r="Q668" s="22">
        <v>0</v>
      </c>
      <c r="R668" s="22" t="s">
        <v>7854</v>
      </c>
      <c r="S668" s="24">
        <v>162500</v>
      </c>
      <c r="T668" s="24" t="s">
        <v>7854</v>
      </c>
      <c r="U668" t="s">
        <v>4545</v>
      </c>
    </row>
    <row r="669" spans="1:21" x14ac:dyDescent="0.25">
      <c r="A669">
        <v>678</v>
      </c>
      <c r="B669">
        <v>24476</v>
      </c>
      <c r="C669" t="s">
        <v>4546</v>
      </c>
      <c r="D669" t="s">
        <v>7482</v>
      </c>
      <c r="E669" t="s">
        <v>4549</v>
      </c>
      <c r="F669" t="s">
        <v>53</v>
      </c>
      <c r="G669" t="s">
        <v>1152</v>
      </c>
      <c r="H669" t="s">
        <v>30</v>
      </c>
      <c r="I669" s="12">
        <v>2207949845</v>
      </c>
      <c r="J669" t="s">
        <v>31</v>
      </c>
      <c r="K669" t="s">
        <v>7879</v>
      </c>
      <c r="L669" t="s">
        <v>7893</v>
      </c>
      <c r="M669" t="s">
        <v>32</v>
      </c>
      <c r="N669" t="s">
        <v>33</v>
      </c>
      <c r="O669" s="17">
        <v>195000</v>
      </c>
      <c r="P669" s="17" t="s">
        <v>7854</v>
      </c>
      <c r="Q669" s="22">
        <v>0</v>
      </c>
      <c r="R669" s="22" t="s">
        <v>7854</v>
      </c>
      <c r="S669" s="24">
        <v>0</v>
      </c>
      <c r="T669" s="24" t="s">
        <v>7854</v>
      </c>
      <c r="U669" t="s">
        <v>4550</v>
      </c>
    </row>
    <row r="670" spans="1:21" x14ac:dyDescent="0.25">
      <c r="A670">
        <v>679</v>
      </c>
      <c r="B670">
        <v>302</v>
      </c>
      <c r="C670" t="s">
        <v>4551</v>
      </c>
      <c r="D670" t="s">
        <v>7483</v>
      </c>
      <c r="E670" t="s">
        <v>4555</v>
      </c>
      <c r="F670" t="s">
        <v>53</v>
      </c>
      <c r="G670" t="s">
        <v>4556</v>
      </c>
      <c r="H670" t="s">
        <v>43</v>
      </c>
      <c r="I670" s="13" t="s">
        <v>4557</v>
      </c>
      <c r="J670" t="s">
        <v>31</v>
      </c>
      <c r="K670" t="s">
        <v>7886</v>
      </c>
      <c r="L670" t="s">
        <v>7940</v>
      </c>
      <c r="M670" t="s">
        <v>63</v>
      </c>
      <c r="N670" t="s">
        <v>33</v>
      </c>
      <c r="O670" s="17">
        <v>812500</v>
      </c>
      <c r="P670" s="17" t="s">
        <v>7854</v>
      </c>
      <c r="Q670" s="22">
        <v>0</v>
      </c>
      <c r="R670" s="22" t="s">
        <v>7854</v>
      </c>
      <c r="S670" s="24">
        <v>162500</v>
      </c>
      <c r="T670" s="24" t="s">
        <v>7854</v>
      </c>
      <c r="U670" t="s">
        <v>4558</v>
      </c>
    </row>
    <row r="671" spans="1:21" x14ac:dyDescent="0.25">
      <c r="A671">
        <v>680</v>
      </c>
      <c r="B671">
        <v>24043</v>
      </c>
      <c r="C671" t="s">
        <v>4559</v>
      </c>
      <c r="D671" t="s">
        <v>7484</v>
      </c>
      <c r="E671" t="s">
        <v>4563</v>
      </c>
      <c r="F671" t="s">
        <v>53</v>
      </c>
      <c r="G671" t="s">
        <v>2044</v>
      </c>
      <c r="H671" t="s">
        <v>43</v>
      </c>
      <c r="I671" s="13" t="s">
        <v>4564</v>
      </c>
      <c r="J671" t="s">
        <v>31</v>
      </c>
      <c r="K671" t="s">
        <v>7879</v>
      </c>
      <c r="L671" t="s">
        <v>8028</v>
      </c>
      <c r="M671" t="s">
        <v>63</v>
      </c>
      <c r="N671" t="s">
        <v>33</v>
      </c>
      <c r="O671" s="17">
        <v>195000</v>
      </c>
      <c r="P671" s="17" t="s">
        <v>7854</v>
      </c>
      <c r="Q671" s="22">
        <v>0</v>
      </c>
      <c r="R671" s="22" t="s">
        <v>7854</v>
      </c>
      <c r="S671" s="24">
        <v>0</v>
      </c>
      <c r="T671" s="24" t="s">
        <v>7854</v>
      </c>
      <c r="U671" t="s">
        <v>4565</v>
      </c>
    </row>
    <row r="672" spans="1:21" x14ac:dyDescent="0.25">
      <c r="A672">
        <v>681</v>
      </c>
      <c r="B672">
        <v>6251</v>
      </c>
      <c r="C672" t="s">
        <v>4566</v>
      </c>
      <c r="D672" t="s">
        <v>7485</v>
      </c>
      <c r="E672" t="s">
        <v>4570</v>
      </c>
      <c r="F672" t="s">
        <v>28</v>
      </c>
      <c r="G672" t="s">
        <v>4571</v>
      </c>
      <c r="H672" t="s">
        <v>43</v>
      </c>
      <c r="I672" s="12">
        <v>8034405351</v>
      </c>
      <c r="J672" t="s">
        <v>31</v>
      </c>
      <c r="K672" t="s">
        <v>7886</v>
      </c>
      <c r="L672" t="s">
        <v>7940</v>
      </c>
      <c r="M672" t="s">
        <v>46</v>
      </c>
      <c r="N672" t="s">
        <v>33</v>
      </c>
      <c r="O672" s="17">
        <v>812500</v>
      </c>
      <c r="P672" s="17" t="s">
        <v>7854</v>
      </c>
      <c r="Q672" s="22">
        <v>0</v>
      </c>
      <c r="R672" s="22" t="s">
        <v>7854</v>
      </c>
      <c r="S672" s="24">
        <v>162500</v>
      </c>
      <c r="T672" s="24" t="s">
        <v>7854</v>
      </c>
      <c r="U672" t="s">
        <v>4572</v>
      </c>
    </row>
    <row r="673" spans="1:21" x14ac:dyDescent="0.25">
      <c r="A673">
        <v>682</v>
      </c>
      <c r="B673">
        <v>19769</v>
      </c>
      <c r="C673" t="s">
        <v>4573</v>
      </c>
      <c r="D673" t="s">
        <v>7486</v>
      </c>
      <c r="E673" t="s">
        <v>4577</v>
      </c>
      <c r="F673" t="s">
        <v>28</v>
      </c>
      <c r="G673" t="s">
        <v>4578</v>
      </c>
      <c r="H673" t="s">
        <v>43</v>
      </c>
      <c r="I673" s="13" t="s">
        <v>4579</v>
      </c>
      <c r="J673" t="s">
        <v>31</v>
      </c>
      <c r="K673" t="s">
        <v>7881</v>
      </c>
      <c r="L673" t="s">
        <v>7981</v>
      </c>
      <c r="M673" t="s">
        <v>63</v>
      </c>
      <c r="N673" t="s">
        <v>33</v>
      </c>
      <c r="O673" s="17">
        <v>552500</v>
      </c>
      <c r="P673" s="17" t="s">
        <v>7854</v>
      </c>
      <c r="Q673" s="22">
        <v>0</v>
      </c>
      <c r="R673" s="22" t="s">
        <v>7854</v>
      </c>
      <c r="S673" s="24">
        <v>0</v>
      </c>
      <c r="T673" s="24" t="s">
        <v>7854</v>
      </c>
      <c r="U673" t="s">
        <v>4580</v>
      </c>
    </row>
    <row r="674" spans="1:21" x14ac:dyDescent="0.25">
      <c r="A674">
        <v>683</v>
      </c>
      <c r="B674">
        <v>24445</v>
      </c>
      <c r="C674" t="s">
        <v>4581</v>
      </c>
      <c r="D674" t="s">
        <v>7487</v>
      </c>
      <c r="E674" t="s">
        <v>4585</v>
      </c>
      <c r="F674" t="s">
        <v>28</v>
      </c>
      <c r="G674" t="s">
        <v>4586</v>
      </c>
      <c r="H674" t="s">
        <v>43</v>
      </c>
      <c r="I674" s="12">
        <v>2347059279694</v>
      </c>
      <c r="J674" t="s">
        <v>31</v>
      </c>
      <c r="K674" t="s">
        <v>7879</v>
      </c>
      <c r="L674" t="s">
        <v>7981</v>
      </c>
      <c r="M674" t="s">
        <v>46</v>
      </c>
      <c r="N674" t="s">
        <v>33</v>
      </c>
      <c r="O674" s="17">
        <v>195000</v>
      </c>
      <c r="P674" s="17" t="s">
        <v>7854</v>
      </c>
      <c r="Q674" s="22">
        <v>0</v>
      </c>
      <c r="R674" s="22" t="s">
        <v>7854</v>
      </c>
      <c r="S674" s="24">
        <v>0</v>
      </c>
      <c r="T674" s="24" t="s">
        <v>7854</v>
      </c>
      <c r="U674" t="s">
        <v>4587</v>
      </c>
    </row>
    <row r="675" spans="1:21" x14ac:dyDescent="0.25">
      <c r="A675">
        <v>684</v>
      </c>
      <c r="B675">
        <v>22895</v>
      </c>
      <c r="C675" t="s">
        <v>4588</v>
      </c>
      <c r="D675" t="s">
        <v>7488</v>
      </c>
      <c r="E675" t="s">
        <v>4590</v>
      </c>
      <c r="F675" t="s">
        <v>28</v>
      </c>
      <c r="G675" t="s">
        <v>4591</v>
      </c>
      <c r="H675" t="s">
        <v>43</v>
      </c>
      <c r="I675" s="13" t="s">
        <v>4592</v>
      </c>
      <c r="J675" t="s">
        <v>45</v>
      </c>
      <c r="K675" t="s">
        <v>7879</v>
      </c>
      <c r="L675" t="s">
        <v>7940</v>
      </c>
      <c r="M675" t="s">
        <v>46</v>
      </c>
      <c r="N675" t="s">
        <v>33</v>
      </c>
      <c r="O675" s="17">
        <v>195000</v>
      </c>
      <c r="P675" s="17" t="s">
        <v>7854</v>
      </c>
      <c r="Q675" s="22">
        <v>0</v>
      </c>
      <c r="R675" s="22" t="s">
        <v>7854</v>
      </c>
      <c r="S675" s="24">
        <v>0</v>
      </c>
      <c r="T675" s="24" t="s">
        <v>7854</v>
      </c>
      <c r="U675" t="s">
        <v>4593</v>
      </c>
    </row>
    <row r="676" spans="1:21" x14ac:dyDescent="0.25">
      <c r="A676">
        <v>685</v>
      </c>
      <c r="B676">
        <v>22485</v>
      </c>
      <c r="C676" t="s">
        <v>4594</v>
      </c>
      <c r="D676" t="s">
        <v>7489</v>
      </c>
      <c r="E676" t="s">
        <v>4598</v>
      </c>
      <c r="F676" t="s">
        <v>28</v>
      </c>
      <c r="G676" t="s">
        <v>968</v>
      </c>
      <c r="H676" t="s">
        <v>453</v>
      </c>
      <c r="I676" s="13" t="s">
        <v>4599</v>
      </c>
      <c r="J676" t="s">
        <v>45</v>
      </c>
      <c r="K676" t="s">
        <v>7881</v>
      </c>
      <c r="L676" t="s">
        <v>7981</v>
      </c>
      <c r="M676" t="s">
        <v>455</v>
      </c>
      <c r="N676" t="s">
        <v>130</v>
      </c>
      <c r="O676" s="17" t="s">
        <v>7854</v>
      </c>
      <c r="P676" s="17">
        <v>425</v>
      </c>
      <c r="Q676" s="22" t="s">
        <v>7854</v>
      </c>
      <c r="R676" s="22">
        <v>0</v>
      </c>
      <c r="S676" s="24" t="s">
        <v>7854</v>
      </c>
      <c r="T676" s="24">
        <v>0</v>
      </c>
      <c r="U676" t="s">
        <v>4600</v>
      </c>
    </row>
    <row r="677" spans="1:21" x14ac:dyDescent="0.25">
      <c r="A677">
        <v>686</v>
      </c>
      <c r="B677">
        <v>24475</v>
      </c>
      <c r="C677" t="s">
        <v>4601</v>
      </c>
      <c r="D677" t="s">
        <v>7490</v>
      </c>
      <c r="E677" t="s">
        <v>4605</v>
      </c>
      <c r="F677" t="s">
        <v>28</v>
      </c>
      <c r="G677" t="s">
        <v>8014</v>
      </c>
      <c r="H677" t="s">
        <v>453</v>
      </c>
      <c r="I677" s="13" t="s">
        <v>4606</v>
      </c>
      <c r="J677" t="s">
        <v>31</v>
      </c>
      <c r="K677" t="s">
        <v>7879</v>
      </c>
      <c r="L677" t="s">
        <v>7981</v>
      </c>
      <c r="M677" t="s">
        <v>455</v>
      </c>
      <c r="N677" t="s">
        <v>130</v>
      </c>
      <c r="O677" s="17" t="s">
        <v>7854</v>
      </c>
      <c r="P677" s="17">
        <v>150</v>
      </c>
      <c r="Q677" s="22" t="s">
        <v>7854</v>
      </c>
      <c r="R677" s="22">
        <v>0</v>
      </c>
      <c r="S677" s="24" t="s">
        <v>7854</v>
      </c>
      <c r="T677" s="24">
        <v>0</v>
      </c>
      <c r="U677" t="s">
        <v>4607</v>
      </c>
    </row>
    <row r="678" spans="1:21" x14ac:dyDescent="0.25">
      <c r="A678">
        <v>688</v>
      </c>
      <c r="B678">
        <v>4202</v>
      </c>
      <c r="C678" t="s">
        <v>4608</v>
      </c>
      <c r="D678" t="s">
        <v>7491</v>
      </c>
      <c r="E678" t="s">
        <v>4611</v>
      </c>
      <c r="F678" t="s">
        <v>28</v>
      </c>
      <c r="G678" t="s">
        <v>2761</v>
      </c>
      <c r="H678" t="s">
        <v>43</v>
      </c>
      <c r="I678" s="12">
        <v>8036423481</v>
      </c>
      <c r="J678" t="s">
        <v>31</v>
      </c>
      <c r="K678" t="s">
        <v>7886</v>
      </c>
      <c r="L678" t="s">
        <v>7888</v>
      </c>
      <c r="M678" t="s">
        <v>63</v>
      </c>
      <c r="N678" t="s">
        <v>33</v>
      </c>
      <c r="O678" s="17">
        <v>812500</v>
      </c>
      <c r="P678" s="17" t="s">
        <v>7854</v>
      </c>
      <c r="Q678" s="22">
        <v>0</v>
      </c>
      <c r="R678" s="22" t="s">
        <v>7854</v>
      </c>
      <c r="S678" s="24">
        <v>162500</v>
      </c>
      <c r="T678" s="24" t="s">
        <v>7854</v>
      </c>
      <c r="U678" t="s">
        <v>4612</v>
      </c>
    </row>
    <row r="679" spans="1:21" x14ac:dyDescent="0.25">
      <c r="A679">
        <v>689</v>
      </c>
      <c r="B679">
        <v>19401</v>
      </c>
      <c r="C679" t="s">
        <v>4613</v>
      </c>
      <c r="D679" t="s">
        <v>7492</v>
      </c>
      <c r="E679" t="s">
        <v>4616</v>
      </c>
      <c r="F679" t="s">
        <v>53</v>
      </c>
      <c r="G679" t="s">
        <v>2483</v>
      </c>
      <c r="H679" t="s">
        <v>43</v>
      </c>
      <c r="I679" s="13" t="s">
        <v>4617</v>
      </c>
      <c r="J679" t="s">
        <v>45</v>
      </c>
      <c r="K679" t="s">
        <v>7881</v>
      </c>
      <c r="L679" t="s">
        <v>7981</v>
      </c>
      <c r="M679" t="s">
        <v>46</v>
      </c>
      <c r="N679" t="s">
        <v>33</v>
      </c>
      <c r="O679" s="17">
        <v>552500</v>
      </c>
      <c r="P679" s="17" t="s">
        <v>7854</v>
      </c>
      <c r="Q679" s="22">
        <v>0</v>
      </c>
      <c r="R679" s="22" t="s">
        <v>7854</v>
      </c>
      <c r="S679" s="24">
        <v>0</v>
      </c>
      <c r="T679" s="24" t="s">
        <v>7854</v>
      </c>
      <c r="U679" t="s">
        <v>4618</v>
      </c>
    </row>
    <row r="680" spans="1:21" x14ac:dyDescent="0.25">
      <c r="A680">
        <v>690</v>
      </c>
      <c r="B680">
        <v>21550</v>
      </c>
      <c r="C680" t="s">
        <v>4619</v>
      </c>
      <c r="D680" t="s">
        <v>7493</v>
      </c>
      <c r="E680" t="s">
        <v>4623</v>
      </c>
      <c r="F680" t="s">
        <v>28</v>
      </c>
      <c r="G680" t="s">
        <v>4624</v>
      </c>
      <c r="H680" t="s">
        <v>43</v>
      </c>
      <c r="I680" s="13" t="s">
        <v>4625</v>
      </c>
      <c r="J680" t="s">
        <v>45</v>
      </c>
      <c r="K680" t="s">
        <v>7879</v>
      </c>
      <c r="L680" t="s">
        <v>7940</v>
      </c>
      <c r="M680" t="s">
        <v>46</v>
      </c>
      <c r="N680" t="s">
        <v>33</v>
      </c>
      <c r="O680" s="17">
        <v>195000</v>
      </c>
      <c r="P680" s="17" t="s">
        <v>7854</v>
      </c>
      <c r="Q680" s="22">
        <v>0</v>
      </c>
      <c r="R680" s="22" t="s">
        <v>7854</v>
      </c>
      <c r="S680" s="24">
        <v>0</v>
      </c>
      <c r="T680" s="24" t="s">
        <v>7854</v>
      </c>
      <c r="U680" t="s">
        <v>4626</v>
      </c>
    </row>
    <row r="681" spans="1:21" x14ac:dyDescent="0.25">
      <c r="A681">
        <v>691</v>
      </c>
      <c r="B681">
        <v>24455</v>
      </c>
      <c r="C681" t="s">
        <v>4627</v>
      </c>
      <c r="D681" t="s">
        <v>7494</v>
      </c>
      <c r="E681" t="s">
        <v>4629</v>
      </c>
      <c r="F681" t="s">
        <v>28</v>
      </c>
      <c r="G681" t="s">
        <v>4630</v>
      </c>
      <c r="H681" t="s">
        <v>43</v>
      </c>
      <c r="I681" s="13" t="s">
        <v>4631</v>
      </c>
      <c r="J681" t="s">
        <v>31</v>
      </c>
      <c r="K681" t="s">
        <v>7879</v>
      </c>
      <c r="L681" t="s">
        <v>7981</v>
      </c>
      <c r="M681" t="s">
        <v>46</v>
      </c>
      <c r="N681" t="s">
        <v>33</v>
      </c>
      <c r="O681" s="17">
        <v>195000</v>
      </c>
      <c r="P681" s="17" t="s">
        <v>7854</v>
      </c>
      <c r="Q681" s="22">
        <v>0</v>
      </c>
      <c r="R681" s="22" t="s">
        <v>7854</v>
      </c>
      <c r="S681" s="24">
        <v>0</v>
      </c>
      <c r="T681" s="24" t="s">
        <v>7854</v>
      </c>
      <c r="U681" t="s">
        <v>4632</v>
      </c>
    </row>
    <row r="682" spans="1:21" x14ac:dyDescent="0.25">
      <c r="A682">
        <v>692</v>
      </c>
      <c r="B682">
        <v>24479</v>
      </c>
      <c r="C682" t="s">
        <v>4633</v>
      </c>
      <c r="D682" t="s">
        <v>7495</v>
      </c>
      <c r="E682" t="s">
        <v>4635</v>
      </c>
      <c r="F682" t="s">
        <v>28</v>
      </c>
      <c r="G682" t="s">
        <v>4636</v>
      </c>
      <c r="H682" t="s">
        <v>43</v>
      </c>
      <c r="I682" s="13" t="s">
        <v>4637</v>
      </c>
      <c r="J682" t="s">
        <v>31</v>
      </c>
      <c r="K682" t="s">
        <v>7879</v>
      </c>
      <c r="L682" t="s">
        <v>7940</v>
      </c>
      <c r="M682" t="s">
        <v>87</v>
      </c>
      <c r="N682" t="s">
        <v>33</v>
      </c>
      <c r="O682" s="17">
        <v>195000</v>
      </c>
      <c r="P682" s="17" t="s">
        <v>7854</v>
      </c>
      <c r="Q682" s="22">
        <v>0</v>
      </c>
      <c r="R682" s="22" t="s">
        <v>7854</v>
      </c>
      <c r="S682" s="24">
        <v>0</v>
      </c>
      <c r="T682" s="24" t="s">
        <v>7854</v>
      </c>
      <c r="U682" t="s">
        <v>4638</v>
      </c>
    </row>
    <row r="683" spans="1:21" x14ac:dyDescent="0.25">
      <c r="A683">
        <v>693</v>
      </c>
      <c r="B683">
        <v>2744</v>
      </c>
      <c r="C683" t="s">
        <v>4639</v>
      </c>
      <c r="D683" t="s">
        <v>7496</v>
      </c>
      <c r="E683" t="s">
        <v>8015</v>
      </c>
      <c r="F683" t="s">
        <v>53</v>
      </c>
      <c r="G683" t="s">
        <v>4642</v>
      </c>
      <c r="H683" t="s">
        <v>43</v>
      </c>
      <c r="I683" s="12">
        <v>8065576674</v>
      </c>
      <c r="J683" t="s">
        <v>31</v>
      </c>
      <c r="K683" t="s">
        <v>7886</v>
      </c>
      <c r="L683" t="s">
        <v>7981</v>
      </c>
      <c r="M683" t="s">
        <v>46</v>
      </c>
      <c r="N683" t="s">
        <v>33</v>
      </c>
      <c r="O683" s="17">
        <v>812500</v>
      </c>
      <c r="P683" s="17" t="s">
        <v>7854</v>
      </c>
      <c r="Q683" s="22">
        <v>0</v>
      </c>
      <c r="R683" s="22" t="s">
        <v>7854</v>
      </c>
      <c r="S683" s="24">
        <v>162500</v>
      </c>
      <c r="T683" s="24" t="s">
        <v>7854</v>
      </c>
      <c r="U683" t="s">
        <v>4643</v>
      </c>
    </row>
    <row r="684" spans="1:21" x14ac:dyDescent="0.25">
      <c r="A684">
        <v>694</v>
      </c>
      <c r="B684">
        <v>18785</v>
      </c>
      <c r="C684" t="s">
        <v>4644</v>
      </c>
      <c r="D684" t="s">
        <v>7497</v>
      </c>
      <c r="E684" t="s">
        <v>429</v>
      </c>
      <c r="F684" t="s">
        <v>28</v>
      </c>
      <c r="G684" t="s">
        <v>4648</v>
      </c>
      <c r="H684" t="s">
        <v>43</v>
      </c>
      <c r="I684" s="13" t="s">
        <v>4649</v>
      </c>
      <c r="J684" t="s">
        <v>45</v>
      </c>
      <c r="K684" t="s">
        <v>7881</v>
      </c>
      <c r="L684" t="s">
        <v>7981</v>
      </c>
      <c r="M684" t="s">
        <v>46</v>
      </c>
      <c r="N684" t="s">
        <v>33</v>
      </c>
      <c r="O684" s="17">
        <v>552500</v>
      </c>
      <c r="P684" s="17" t="s">
        <v>7854</v>
      </c>
      <c r="Q684" s="22">
        <v>0</v>
      </c>
      <c r="R684" s="22" t="s">
        <v>7854</v>
      </c>
      <c r="S684" s="24">
        <v>0</v>
      </c>
      <c r="T684" s="24" t="s">
        <v>7854</v>
      </c>
      <c r="U684" t="s">
        <v>4650</v>
      </c>
    </row>
    <row r="685" spans="1:21" x14ac:dyDescent="0.25">
      <c r="A685">
        <v>695</v>
      </c>
      <c r="B685">
        <v>22052</v>
      </c>
      <c r="C685" t="s">
        <v>4651</v>
      </c>
      <c r="D685" t="s">
        <v>7498</v>
      </c>
      <c r="E685" t="s">
        <v>4655</v>
      </c>
      <c r="F685" t="s">
        <v>28</v>
      </c>
      <c r="G685" t="s">
        <v>4656</v>
      </c>
      <c r="H685" t="s">
        <v>43</v>
      </c>
      <c r="I685" s="13" t="s">
        <v>4657</v>
      </c>
      <c r="J685" t="s">
        <v>31</v>
      </c>
      <c r="K685" t="s">
        <v>7881</v>
      </c>
      <c r="L685" t="s">
        <v>7981</v>
      </c>
      <c r="M685" t="s">
        <v>63</v>
      </c>
      <c r="N685" t="s">
        <v>33</v>
      </c>
      <c r="O685" s="17">
        <v>552500</v>
      </c>
      <c r="P685" s="17" t="s">
        <v>7854</v>
      </c>
      <c r="Q685" s="22">
        <v>0</v>
      </c>
      <c r="R685" s="22" t="s">
        <v>7854</v>
      </c>
      <c r="S685" s="24">
        <v>0</v>
      </c>
      <c r="T685" s="24" t="s">
        <v>7854</v>
      </c>
      <c r="U685" t="s">
        <v>4658</v>
      </c>
    </row>
    <row r="686" spans="1:21" x14ac:dyDescent="0.25">
      <c r="A686">
        <v>696</v>
      </c>
      <c r="B686">
        <v>6802</v>
      </c>
      <c r="C686" t="s">
        <v>4659</v>
      </c>
      <c r="D686" t="s">
        <v>7499</v>
      </c>
      <c r="E686" t="s">
        <v>4663</v>
      </c>
      <c r="F686" t="s">
        <v>28</v>
      </c>
      <c r="G686" t="s">
        <v>4664</v>
      </c>
      <c r="H686" t="s">
        <v>43</v>
      </c>
      <c r="I686" s="12">
        <v>2348036106325</v>
      </c>
      <c r="J686" t="s">
        <v>31</v>
      </c>
      <c r="K686" t="s">
        <v>7886</v>
      </c>
      <c r="L686" t="s">
        <v>7888</v>
      </c>
      <c r="M686" t="s">
        <v>63</v>
      </c>
      <c r="N686" t="s">
        <v>33</v>
      </c>
      <c r="O686" s="17">
        <v>812500</v>
      </c>
      <c r="P686" s="17" t="s">
        <v>7854</v>
      </c>
      <c r="Q686" s="22">
        <v>0</v>
      </c>
      <c r="R686" s="22" t="s">
        <v>7854</v>
      </c>
      <c r="S686" s="24">
        <v>162500</v>
      </c>
      <c r="T686" s="24" t="s">
        <v>7854</v>
      </c>
      <c r="U686" t="s">
        <v>4665</v>
      </c>
    </row>
    <row r="687" spans="1:21" x14ac:dyDescent="0.25">
      <c r="A687">
        <v>697</v>
      </c>
      <c r="B687">
        <v>9424</v>
      </c>
      <c r="C687" t="s">
        <v>4666</v>
      </c>
      <c r="D687" t="s">
        <v>7500</v>
      </c>
      <c r="E687" t="s">
        <v>4669</v>
      </c>
      <c r="F687" t="s">
        <v>53</v>
      </c>
      <c r="G687" t="s">
        <v>968</v>
      </c>
      <c r="H687" t="s">
        <v>453</v>
      </c>
      <c r="I687" s="13" t="s">
        <v>4670</v>
      </c>
      <c r="J687" t="s">
        <v>45</v>
      </c>
      <c r="K687" t="s">
        <v>7881</v>
      </c>
      <c r="L687" t="s">
        <v>7981</v>
      </c>
      <c r="M687" t="s">
        <v>455</v>
      </c>
      <c r="N687" t="s">
        <v>130</v>
      </c>
      <c r="O687" s="17" t="s">
        <v>7854</v>
      </c>
      <c r="P687" s="17">
        <v>425</v>
      </c>
      <c r="Q687" s="22" t="s">
        <v>7854</v>
      </c>
      <c r="R687" s="22">
        <v>0</v>
      </c>
      <c r="S687" s="24" t="s">
        <v>7854</v>
      </c>
      <c r="T687" s="24">
        <v>0</v>
      </c>
      <c r="U687" t="s">
        <v>4671</v>
      </c>
    </row>
    <row r="688" spans="1:21" x14ac:dyDescent="0.25">
      <c r="A688">
        <v>698</v>
      </c>
      <c r="B688">
        <v>24346</v>
      </c>
      <c r="C688" t="s">
        <v>4672</v>
      </c>
      <c r="D688" t="s">
        <v>7501</v>
      </c>
      <c r="E688" t="s">
        <v>4676</v>
      </c>
      <c r="F688" t="s">
        <v>28</v>
      </c>
      <c r="G688" t="s">
        <v>4677</v>
      </c>
      <c r="H688" t="s">
        <v>453</v>
      </c>
      <c r="I688" s="13" t="s">
        <v>4678</v>
      </c>
      <c r="J688" t="s">
        <v>31</v>
      </c>
      <c r="K688" t="s">
        <v>7879</v>
      </c>
      <c r="L688" t="s">
        <v>7981</v>
      </c>
      <c r="M688" t="s">
        <v>455</v>
      </c>
      <c r="N688" t="s">
        <v>130</v>
      </c>
      <c r="O688" s="17" t="s">
        <v>7854</v>
      </c>
      <c r="P688" s="17">
        <v>150</v>
      </c>
      <c r="Q688" s="22" t="s">
        <v>7854</v>
      </c>
      <c r="R688" s="22">
        <v>0</v>
      </c>
      <c r="S688" s="24" t="s">
        <v>7854</v>
      </c>
      <c r="T688" s="24">
        <v>0</v>
      </c>
      <c r="U688" t="s">
        <v>4679</v>
      </c>
    </row>
    <row r="689" spans="1:21" x14ac:dyDescent="0.25">
      <c r="A689">
        <v>699</v>
      </c>
      <c r="B689">
        <v>20675</v>
      </c>
      <c r="C689" t="s">
        <v>4680</v>
      </c>
      <c r="D689" t="s">
        <v>7502</v>
      </c>
      <c r="E689" t="s">
        <v>4684</v>
      </c>
      <c r="F689" t="s">
        <v>53</v>
      </c>
      <c r="G689" t="s">
        <v>4685</v>
      </c>
      <c r="H689" t="s">
        <v>43</v>
      </c>
      <c r="I689" s="12">
        <v>2348033746292</v>
      </c>
      <c r="J689" t="s">
        <v>45</v>
      </c>
      <c r="K689" t="s">
        <v>7881</v>
      </c>
      <c r="L689" t="s">
        <v>7893</v>
      </c>
      <c r="M689" t="s">
        <v>87</v>
      </c>
      <c r="N689" t="s">
        <v>33</v>
      </c>
      <c r="O689" s="17">
        <v>552500</v>
      </c>
      <c r="P689" s="17" t="s">
        <v>7854</v>
      </c>
      <c r="Q689" s="22">
        <v>0</v>
      </c>
      <c r="R689" s="22" t="s">
        <v>7854</v>
      </c>
      <c r="S689" s="24">
        <v>0</v>
      </c>
      <c r="T689" s="24" t="s">
        <v>7854</v>
      </c>
      <c r="U689" t="s">
        <v>4686</v>
      </c>
    </row>
    <row r="690" spans="1:21" x14ac:dyDescent="0.25">
      <c r="A690">
        <v>700</v>
      </c>
      <c r="B690">
        <v>4955</v>
      </c>
      <c r="C690" t="s">
        <v>4687</v>
      </c>
      <c r="D690" t="s">
        <v>7503</v>
      </c>
      <c r="E690" t="s">
        <v>4691</v>
      </c>
      <c r="F690" t="s">
        <v>53</v>
      </c>
      <c r="G690" t="s">
        <v>3603</v>
      </c>
      <c r="H690" t="s">
        <v>43</v>
      </c>
      <c r="I690" s="12">
        <v>7038924185</v>
      </c>
      <c r="J690" t="s">
        <v>31</v>
      </c>
      <c r="K690" t="s">
        <v>7886</v>
      </c>
      <c r="L690" t="s">
        <v>7981</v>
      </c>
      <c r="M690" t="s">
        <v>46</v>
      </c>
      <c r="N690" t="s">
        <v>33</v>
      </c>
      <c r="O690" s="17">
        <v>812500</v>
      </c>
      <c r="P690" s="17" t="s">
        <v>7854</v>
      </c>
      <c r="Q690" s="22">
        <v>0</v>
      </c>
      <c r="R690" s="22" t="s">
        <v>7854</v>
      </c>
      <c r="S690" s="24">
        <v>162500</v>
      </c>
      <c r="T690" s="24" t="s">
        <v>7854</v>
      </c>
      <c r="U690" t="s">
        <v>4692</v>
      </c>
    </row>
    <row r="691" spans="1:21" x14ac:dyDescent="0.25">
      <c r="A691">
        <v>701</v>
      </c>
      <c r="B691">
        <v>691</v>
      </c>
      <c r="C691" t="s">
        <v>4693</v>
      </c>
      <c r="D691" t="s">
        <v>7504</v>
      </c>
      <c r="E691" t="s">
        <v>4696</v>
      </c>
      <c r="F691" t="s">
        <v>53</v>
      </c>
      <c r="G691" t="s">
        <v>4220</v>
      </c>
      <c r="H691" t="s">
        <v>43</v>
      </c>
      <c r="I691" s="13" t="s">
        <v>4697</v>
      </c>
      <c r="J691" t="s">
        <v>31</v>
      </c>
      <c r="K691" t="s">
        <v>7881</v>
      </c>
      <c r="L691" t="s">
        <v>7940</v>
      </c>
      <c r="M691" t="s">
        <v>63</v>
      </c>
      <c r="N691" t="s">
        <v>33</v>
      </c>
      <c r="O691" s="17">
        <v>552500</v>
      </c>
      <c r="P691" s="17" t="s">
        <v>7854</v>
      </c>
      <c r="Q691" s="22">
        <v>0</v>
      </c>
      <c r="R691" s="22" t="s">
        <v>7854</v>
      </c>
      <c r="S691" s="24">
        <v>0</v>
      </c>
      <c r="T691" s="24" t="s">
        <v>7854</v>
      </c>
      <c r="U691" t="s">
        <v>4698</v>
      </c>
    </row>
    <row r="692" spans="1:21" x14ac:dyDescent="0.25">
      <c r="A692">
        <v>702</v>
      </c>
      <c r="B692">
        <v>18360</v>
      </c>
      <c r="C692" t="s">
        <v>4699</v>
      </c>
      <c r="D692" t="s">
        <v>7505</v>
      </c>
      <c r="E692" t="s">
        <v>4702</v>
      </c>
      <c r="F692" t="s">
        <v>53</v>
      </c>
      <c r="G692" t="s">
        <v>4703</v>
      </c>
      <c r="H692" t="s">
        <v>43</v>
      </c>
      <c r="I692" s="13" t="s">
        <v>4704</v>
      </c>
      <c r="J692" t="s">
        <v>31</v>
      </c>
      <c r="K692" t="s">
        <v>7881</v>
      </c>
      <c r="L692" t="s">
        <v>7940</v>
      </c>
      <c r="M692" t="s">
        <v>63</v>
      </c>
      <c r="N692" t="s">
        <v>33</v>
      </c>
      <c r="O692" s="17">
        <v>552500</v>
      </c>
      <c r="P692" s="17" t="s">
        <v>7854</v>
      </c>
      <c r="Q692" s="22">
        <v>0</v>
      </c>
      <c r="R692" s="22" t="s">
        <v>7854</v>
      </c>
      <c r="S692" s="24">
        <v>0</v>
      </c>
      <c r="T692" s="24" t="s">
        <v>7854</v>
      </c>
      <c r="U692" t="s">
        <v>4705</v>
      </c>
    </row>
    <row r="693" spans="1:21" x14ac:dyDescent="0.25">
      <c r="A693">
        <v>703</v>
      </c>
      <c r="B693">
        <v>24441</v>
      </c>
      <c r="C693" t="s">
        <v>4706</v>
      </c>
      <c r="D693" t="s">
        <v>7506</v>
      </c>
      <c r="E693" t="s">
        <v>4709</v>
      </c>
      <c r="F693" t="s">
        <v>28</v>
      </c>
      <c r="G693" t="s">
        <v>4710</v>
      </c>
      <c r="H693" t="s">
        <v>453</v>
      </c>
      <c r="I693" s="13" t="s">
        <v>4711</v>
      </c>
      <c r="J693" t="s">
        <v>31</v>
      </c>
      <c r="K693" t="s">
        <v>7879</v>
      </c>
      <c r="L693" t="s">
        <v>7893</v>
      </c>
      <c r="M693" t="s">
        <v>455</v>
      </c>
      <c r="N693" t="s">
        <v>130</v>
      </c>
      <c r="O693" s="17" t="s">
        <v>7854</v>
      </c>
      <c r="P693" s="17">
        <v>150</v>
      </c>
      <c r="Q693" s="22" t="s">
        <v>7854</v>
      </c>
      <c r="R693" s="22">
        <v>0</v>
      </c>
      <c r="S693" s="24" t="s">
        <v>7854</v>
      </c>
      <c r="T693" s="24">
        <v>0</v>
      </c>
      <c r="U693" t="s">
        <v>4712</v>
      </c>
    </row>
    <row r="694" spans="1:21" ht="28.5" customHeight="1" x14ac:dyDescent="0.25">
      <c r="A694">
        <v>704</v>
      </c>
      <c r="B694">
        <v>22363</v>
      </c>
      <c r="C694" t="s">
        <v>4713</v>
      </c>
      <c r="D694" t="s">
        <v>7507</v>
      </c>
      <c r="E694" t="s">
        <v>4717</v>
      </c>
      <c r="F694" t="s">
        <v>53</v>
      </c>
      <c r="G694" t="s">
        <v>4718</v>
      </c>
      <c r="H694" t="s">
        <v>453</v>
      </c>
      <c r="I694" s="12">
        <v>233205372842</v>
      </c>
      <c r="J694" t="s">
        <v>31</v>
      </c>
      <c r="K694" t="s">
        <v>7881</v>
      </c>
      <c r="L694" t="s">
        <v>8028</v>
      </c>
      <c r="M694" t="s">
        <v>455</v>
      </c>
      <c r="N694" t="s">
        <v>130</v>
      </c>
      <c r="O694" s="17" t="s">
        <v>7854</v>
      </c>
      <c r="P694" s="17">
        <v>425</v>
      </c>
      <c r="Q694" s="22" t="s">
        <v>7854</v>
      </c>
      <c r="R694" s="22">
        <v>0</v>
      </c>
      <c r="S694" s="24" t="s">
        <v>7854</v>
      </c>
      <c r="T694" s="24">
        <v>0</v>
      </c>
      <c r="U694" t="s">
        <v>4719</v>
      </c>
    </row>
    <row r="695" spans="1:21" x14ac:dyDescent="0.25">
      <c r="A695">
        <v>705</v>
      </c>
      <c r="B695">
        <v>6319</v>
      </c>
      <c r="C695" t="s">
        <v>4720</v>
      </c>
      <c r="D695" t="s">
        <v>7508</v>
      </c>
      <c r="E695" t="s">
        <v>4724</v>
      </c>
      <c r="F695" t="s">
        <v>28</v>
      </c>
      <c r="G695" t="s">
        <v>4725</v>
      </c>
      <c r="H695" t="s">
        <v>43</v>
      </c>
      <c r="I695" s="12">
        <v>8030705382</v>
      </c>
      <c r="J695" t="s">
        <v>31</v>
      </c>
      <c r="K695" t="s">
        <v>7881</v>
      </c>
      <c r="L695" t="s">
        <v>7981</v>
      </c>
      <c r="M695" t="s">
        <v>63</v>
      </c>
      <c r="N695" t="s">
        <v>33</v>
      </c>
      <c r="O695" s="17">
        <v>552500</v>
      </c>
      <c r="P695" s="17" t="s">
        <v>7854</v>
      </c>
      <c r="Q695" s="22">
        <v>0</v>
      </c>
      <c r="R695" s="22" t="s">
        <v>7854</v>
      </c>
      <c r="S695" s="24">
        <v>0</v>
      </c>
      <c r="T695" s="24" t="s">
        <v>7854</v>
      </c>
      <c r="U695" t="s">
        <v>4726</v>
      </c>
    </row>
    <row r="696" spans="1:21" x14ac:dyDescent="0.25">
      <c r="A696">
        <v>706</v>
      </c>
      <c r="B696">
        <v>21120</v>
      </c>
      <c r="C696" t="s">
        <v>4727</v>
      </c>
      <c r="D696" t="s">
        <v>7509</v>
      </c>
      <c r="E696" t="s">
        <v>4729</v>
      </c>
      <c r="F696" t="s">
        <v>53</v>
      </c>
      <c r="G696" t="s">
        <v>4730</v>
      </c>
      <c r="H696" t="s">
        <v>43</v>
      </c>
      <c r="I696" s="13" t="s">
        <v>4731</v>
      </c>
      <c r="J696" t="s">
        <v>31</v>
      </c>
      <c r="K696" t="s">
        <v>7881</v>
      </c>
      <c r="L696" t="s">
        <v>8028</v>
      </c>
      <c r="M696" t="s">
        <v>63</v>
      </c>
      <c r="N696" t="s">
        <v>33</v>
      </c>
      <c r="O696" s="17">
        <v>552500</v>
      </c>
      <c r="P696" s="17" t="s">
        <v>7854</v>
      </c>
      <c r="Q696" s="22">
        <v>0</v>
      </c>
      <c r="R696" s="22" t="s">
        <v>7854</v>
      </c>
      <c r="S696" s="24">
        <v>0</v>
      </c>
      <c r="T696" s="24" t="s">
        <v>7854</v>
      </c>
      <c r="U696" t="s">
        <v>4732</v>
      </c>
    </row>
    <row r="697" spans="1:21" x14ac:dyDescent="0.25">
      <c r="A697">
        <v>707</v>
      </c>
      <c r="B697">
        <v>24165</v>
      </c>
      <c r="C697" t="s">
        <v>4733</v>
      </c>
      <c r="D697" t="s">
        <v>7510</v>
      </c>
      <c r="E697" t="s">
        <v>4737</v>
      </c>
      <c r="F697" t="s">
        <v>28</v>
      </c>
      <c r="G697" t="s">
        <v>4738</v>
      </c>
      <c r="H697" t="s">
        <v>43</v>
      </c>
      <c r="I697" s="12">
        <v>2347056312201</v>
      </c>
      <c r="J697" t="s">
        <v>31</v>
      </c>
      <c r="K697" t="s">
        <v>7879</v>
      </c>
      <c r="L697" t="s">
        <v>7940</v>
      </c>
      <c r="M697" t="s">
        <v>87</v>
      </c>
      <c r="N697" t="s">
        <v>33</v>
      </c>
      <c r="O697" s="17">
        <v>195000</v>
      </c>
      <c r="P697" s="17" t="s">
        <v>7854</v>
      </c>
      <c r="Q697" s="22">
        <v>0</v>
      </c>
      <c r="R697" s="22" t="s">
        <v>7854</v>
      </c>
      <c r="S697" s="24">
        <v>0</v>
      </c>
      <c r="T697" s="24" t="s">
        <v>7854</v>
      </c>
      <c r="U697" t="s">
        <v>4739</v>
      </c>
    </row>
    <row r="698" spans="1:21" x14ac:dyDescent="0.25">
      <c r="A698">
        <v>708</v>
      </c>
      <c r="B698">
        <v>4108</v>
      </c>
      <c r="C698" t="s">
        <v>4740</v>
      </c>
      <c r="D698" t="s">
        <v>7511</v>
      </c>
      <c r="E698" t="s">
        <v>7928</v>
      </c>
      <c r="F698" t="s">
        <v>28</v>
      </c>
      <c r="G698" t="s">
        <v>4743</v>
      </c>
      <c r="H698" t="s">
        <v>43</v>
      </c>
      <c r="I698" s="13" t="s">
        <v>4744</v>
      </c>
      <c r="J698" t="s">
        <v>31</v>
      </c>
      <c r="K698" t="s">
        <v>7886</v>
      </c>
      <c r="L698" t="s">
        <v>7893</v>
      </c>
      <c r="M698" t="s">
        <v>46</v>
      </c>
      <c r="N698" t="s">
        <v>33</v>
      </c>
      <c r="O698" s="17">
        <v>812500</v>
      </c>
      <c r="P698" s="17" t="s">
        <v>7854</v>
      </c>
      <c r="Q698" s="22">
        <v>0</v>
      </c>
      <c r="R698" s="22" t="s">
        <v>7854</v>
      </c>
      <c r="S698" s="24">
        <v>162500</v>
      </c>
      <c r="T698" s="24" t="s">
        <v>7854</v>
      </c>
      <c r="U698" t="s">
        <v>4745</v>
      </c>
    </row>
    <row r="699" spans="1:21" x14ac:dyDescent="0.25">
      <c r="A699">
        <v>709</v>
      </c>
      <c r="B699">
        <v>7109</v>
      </c>
      <c r="C699" t="s">
        <v>4746</v>
      </c>
      <c r="D699" t="s">
        <v>7512</v>
      </c>
      <c r="E699" t="s">
        <v>4747</v>
      </c>
      <c r="F699" t="s">
        <v>28</v>
      </c>
      <c r="G699" t="s">
        <v>4748</v>
      </c>
      <c r="H699" t="s">
        <v>43</v>
      </c>
      <c r="I699" s="12">
        <v>8036032244</v>
      </c>
      <c r="J699" t="s">
        <v>31</v>
      </c>
      <c r="K699" t="s">
        <v>7886</v>
      </c>
      <c r="L699" t="s">
        <v>7940</v>
      </c>
      <c r="M699" t="s">
        <v>46</v>
      </c>
      <c r="N699" t="s">
        <v>33</v>
      </c>
      <c r="O699" s="17">
        <v>812500</v>
      </c>
      <c r="P699" s="17" t="s">
        <v>7854</v>
      </c>
      <c r="Q699" s="22">
        <v>0</v>
      </c>
      <c r="R699" s="22" t="s">
        <v>7854</v>
      </c>
      <c r="S699" s="24">
        <v>162500</v>
      </c>
      <c r="T699" s="24" t="s">
        <v>7854</v>
      </c>
      <c r="U699" t="s">
        <v>4749</v>
      </c>
    </row>
    <row r="700" spans="1:21" x14ac:dyDescent="0.25">
      <c r="A700">
        <v>710</v>
      </c>
      <c r="B700">
        <v>5808</v>
      </c>
      <c r="C700" t="s">
        <v>4750</v>
      </c>
      <c r="D700" t="s">
        <v>7513</v>
      </c>
      <c r="E700" t="s">
        <v>4754</v>
      </c>
      <c r="F700" t="s">
        <v>28</v>
      </c>
      <c r="G700" t="s">
        <v>4755</v>
      </c>
      <c r="H700" t="s">
        <v>43</v>
      </c>
      <c r="I700" s="12">
        <v>8036672276</v>
      </c>
      <c r="J700" t="s">
        <v>31</v>
      </c>
      <c r="K700" t="s">
        <v>7881</v>
      </c>
      <c r="L700" t="s">
        <v>7940</v>
      </c>
      <c r="M700" t="s">
        <v>46</v>
      </c>
      <c r="N700" t="s">
        <v>33</v>
      </c>
      <c r="O700" s="17">
        <v>552500</v>
      </c>
      <c r="P700" s="17" t="s">
        <v>7854</v>
      </c>
      <c r="Q700" s="22">
        <v>0</v>
      </c>
      <c r="R700" s="22" t="s">
        <v>7854</v>
      </c>
      <c r="S700" s="24">
        <v>0</v>
      </c>
      <c r="T700" s="24" t="s">
        <v>7854</v>
      </c>
      <c r="U700" t="s">
        <v>4756</v>
      </c>
    </row>
    <row r="701" spans="1:21" x14ac:dyDescent="0.25">
      <c r="A701">
        <v>711</v>
      </c>
      <c r="B701">
        <v>19620</v>
      </c>
      <c r="C701" t="s">
        <v>4757</v>
      </c>
      <c r="D701" t="s">
        <v>7514</v>
      </c>
      <c r="E701" t="s">
        <v>4761</v>
      </c>
      <c r="F701" t="s">
        <v>28</v>
      </c>
      <c r="G701" t="s">
        <v>4762</v>
      </c>
      <c r="H701" t="s">
        <v>43</v>
      </c>
      <c r="I701" s="13" t="s">
        <v>4763</v>
      </c>
      <c r="J701" t="s">
        <v>31</v>
      </c>
      <c r="K701" t="s">
        <v>7879</v>
      </c>
      <c r="L701" t="s">
        <v>7893</v>
      </c>
      <c r="M701" t="s">
        <v>63</v>
      </c>
      <c r="N701" t="s">
        <v>33</v>
      </c>
      <c r="O701" s="17">
        <v>195000</v>
      </c>
      <c r="P701" s="17" t="s">
        <v>7854</v>
      </c>
      <c r="Q701" s="22">
        <v>0</v>
      </c>
      <c r="R701" s="22" t="s">
        <v>7854</v>
      </c>
      <c r="S701" s="24">
        <v>0</v>
      </c>
      <c r="T701" s="24" t="s">
        <v>7854</v>
      </c>
      <c r="U701" t="s">
        <v>4764</v>
      </c>
    </row>
    <row r="702" spans="1:21" x14ac:dyDescent="0.25">
      <c r="A702">
        <v>712</v>
      </c>
      <c r="B702">
        <v>24087</v>
      </c>
      <c r="C702" t="s">
        <v>4765</v>
      </c>
      <c r="D702" t="s">
        <v>7515</v>
      </c>
      <c r="E702" t="s">
        <v>4768</v>
      </c>
      <c r="F702" t="s">
        <v>28</v>
      </c>
      <c r="G702" t="s">
        <v>4769</v>
      </c>
      <c r="H702" t="s">
        <v>453</v>
      </c>
      <c r="I702" s="13" t="s">
        <v>4770</v>
      </c>
      <c r="J702" t="s">
        <v>31</v>
      </c>
      <c r="K702" t="s">
        <v>7879</v>
      </c>
      <c r="L702" t="s">
        <v>7981</v>
      </c>
      <c r="M702" t="s">
        <v>455</v>
      </c>
      <c r="N702" t="s">
        <v>130</v>
      </c>
      <c r="O702" s="17" t="s">
        <v>7854</v>
      </c>
      <c r="P702" s="17">
        <v>150</v>
      </c>
      <c r="Q702" s="22" t="s">
        <v>7854</v>
      </c>
      <c r="R702" s="22">
        <v>0</v>
      </c>
      <c r="S702" s="24" t="s">
        <v>7854</v>
      </c>
      <c r="T702" s="24">
        <v>0</v>
      </c>
      <c r="U702" t="s">
        <v>4771</v>
      </c>
    </row>
    <row r="703" spans="1:21" x14ac:dyDescent="0.25">
      <c r="A703">
        <v>713</v>
      </c>
      <c r="B703">
        <v>24484</v>
      </c>
      <c r="C703" t="s">
        <v>4772</v>
      </c>
      <c r="D703" t="s">
        <v>7516</v>
      </c>
      <c r="E703" t="s">
        <v>4776</v>
      </c>
      <c r="F703" t="s">
        <v>28</v>
      </c>
      <c r="G703" t="s">
        <v>4777</v>
      </c>
      <c r="H703" t="s">
        <v>43</v>
      </c>
      <c r="I703" s="13" t="s">
        <v>4778</v>
      </c>
      <c r="J703" t="s">
        <v>31</v>
      </c>
      <c r="K703" t="s">
        <v>7879</v>
      </c>
      <c r="L703" t="s">
        <v>7940</v>
      </c>
      <c r="M703" t="s">
        <v>87</v>
      </c>
      <c r="N703" t="s">
        <v>33</v>
      </c>
      <c r="O703" s="17">
        <v>195000</v>
      </c>
      <c r="P703" s="17" t="s">
        <v>7854</v>
      </c>
      <c r="Q703" s="22">
        <v>0</v>
      </c>
      <c r="R703" s="22" t="s">
        <v>7854</v>
      </c>
      <c r="S703" s="24">
        <v>0</v>
      </c>
      <c r="T703" s="24" t="s">
        <v>7854</v>
      </c>
      <c r="U703" t="s">
        <v>4779</v>
      </c>
    </row>
    <row r="704" spans="1:21" x14ac:dyDescent="0.25">
      <c r="A704">
        <v>714</v>
      </c>
      <c r="B704">
        <v>3795</v>
      </c>
      <c r="C704" t="s">
        <v>4780</v>
      </c>
      <c r="D704" t="s">
        <v>7517</v>
      </c>
      <c r="E704" t="s">
        <v>4783</v>
      </c>
      <c r="F704" t="s">
        <v>53</v>
      </c>
      <c r="G704" t="s">
        <v>4784</v>
      </c>
      <c r="H704" t="s">
        <v>43</v>
      </c>
      <c r="I704" s="13" t="s">
        <v>4785</v>
      </c>
      <c r="J704" t="s">
        <v>31</v>
      </c>
      <c r="K704" t="s">
        <v>7881</v>
      </c>
      <c r="L704" t="s">
        <v>7940</v>
      </c>
      <c r="M704" t="s">
        <v>63</v>
      </c>
      <c r="N704" t="s">
        <v>33</v>
      </c>
      <c r="O704" s="17">
        <v>552500</v>
      </c>
      <c r="P704" s="17" t="s">
        <v>7854</v>
      </c>
      <c r="Q704" s="22">
        <v>0</v>
      </c>
      <c r="R704" s="22" t="s">
        <v>7854</v>
      </c>
      <c r="S704" s="24">
        <v>0</v>
      </c>
      <c r="T704" s="24" t="s">
        <v>7854</v>
      </c>
      <c r="U704" t="s">
        <v>4786</v>
      </c>
    </row>
    <row r="705" spans="1:21" x14ac:dyDescent="0.25">
      <c r="A705">
        <v>715</v>
      </c>
      <c r="B705">
        <v>24276</v>
      </c>
      <c r="C705" t="s">
        <v>4787</v>
      </c>
      <c r="D705" t="s">
        <v>7518</v>
      </c>
      <c r="E705" t="s">
        <v>4790</v>
      </c>
      <c r="F705" t="s">
        <v>53</v>
      </c>
      <c r="G705" t="s">
        <v>4791</v>
      </c>
      <c r="H705" t="s">
        <v>43</v>
      </c>
      <c r="I705" s="13" t="s">
        <v>4792</v>
      </c>
      <c r="J705" t="s">
        <v>31</v>
      </c>
      <c r="K705" t="s">
        <v>7879</v>
      </c>
      <c r="L705" t="s">
        <v>7981</v>
      </c>
      <c r="M705" t="s">
        <v>46</v>
      </c>
      <c r="N705" t="s">
        <v>33</v>
      </c>
      <c r="O705" s="17">
        <v>195000</v>
      </c>
      <c r="P705" s="17" t="s">
        <v>7854</v>
      </c>
      <c r="Q705" s="22">
        <v>0</v>
      </c>
      <c r="R705" s="22" t="s">
        <v>7854</v>
      </c>
      <c r="S705" s="24">
        <v>0</v>
      </c>
      <c r="T705" s="24" t="s">
        <v>7854</v>
      </c>
      <c r="U705" t="s">
        <v>4793</v>
      </c>
    </row>
    <row r="706" spans="1:21" x14ac:dyDescent="0.25">
      <c r="A706">
        <v>716</v>
      </c>
      <c r="B706">
        <v>6942</v>
      </c>
      <c r="C706" t="s">
        <v>4794</v>
      </c>
      <c r="D706" t="s">
        <v>7519</v>
      </c>
      <c r="E706" t="s">
        <v>4798</v>
      </c>
      <c r="F706" t="s">
        <v>28</v>
      </c>
      <c r="G706" t="s">
        <v>4799</v>
      </c>
      <c r="H706" t="s">
        <v>765</v>
      </c>
      <c r="I706" s="12" t="s">
        <v>4800</v>
      </c>
      <c r="J706" t="s">
        <v>45</v>
      </c>
      <c r="K706" t="s">
        <v>7881</v>
      </c>
      <c r="L706" t="s">
        <v>7981</v>
      </c>
      <c r="M706" t="s">
        <v>455</v>
      </c>
      <c r="N706" t="s">
        <v>130</v>
      </c>
      <c r="O706" s="17" t="s">
        <v>7854</v>
      </c>
      <c r="P706" s="17">
        <v>425</v>
      </c>
      <c r="Q706" s="22" t="s">
        <v>7854</v>
      </c>
      <c r="R706" s="22">
        <v>0</v>
      </c>
      <c r="S706" s="24" t="s">
        <v>7854</v>
      </c>
      <c r="T706" s="24">
        <v>0</v>
      </c>
      <c r="U706" t="s">
        <v>4801</v>
      </c>
    </row>
    <row r="707" spans="1:21" x14ac:dyDescent="0.25">
      <c r="A707">
        <v>717</v>
      </c>
      <c r="B707">
        <v>24500</v>
      </c>
      <c r="C707" t="s">
        <v>4802</v>
      </c>
      <c r="D707" t="s">
        <v>7520</v>
      </c>
      <c r="E707" t="s">
        <v>4804</v>
      </c>
      <c r="F707" t="s">
        <v>53</v>
      </c>
      <c r="G707" t="s">
        <v>4805</v>
      </c>
      <c r="H707" t="s">
        <v>43</v>
      </c>
      <c r="I707" s="13" t="s">
        <v>4806</v>
      </c>
      <c r="J707" t="s">
        <v>31</v>
      </c>
      <c r="K707" t="s">
        <v>7881</v>
      </c>
      <c r="L707" t="s">
        <v>7893</v>
      </c>
      <c r="M707" t="s">
        <v>87</v>
      </c>
      <c r="N707" t="s">
        <v>33</v>
      </c>
      <c r="O707" s="17">
        <v>552500</v>
      </c>
      <c r="P707" s="17" t="s">
        <v>7854</v>
      </c>
      <c r="Q707" s="22">
        <v>0</v>
      </c>
      <c r="R707" s="22" t="s">
        <v>7854</v>
      </c>
      <c r="S707" s="24">
        <v>0</v>
      </c>
      <c r="T707" s="24" t="s">
        <v>7854</v>
      </c>
      <c r="U707" t="s">
        <v>4807</v>
      </c>
    </row>
    <row r="708" spans="1:21" x14ac:dyDescent="0.25">
      <c r="A708">
        <v>718</v>
      </c>
      <c r="B708">
        <v>24501</v>
      </c>
      <c r="C708" t="s">
        <v>4808</v>
      </c>
      <c r="D708" t="s">
        <v>7521</v>
      </c>
      <c r="E708" t="s">
        <v>4811</v>
      </c>
      <c r="F708" t="s">
        <v>53</v>
      </c>
      <c r="G708" t="s">
        <v>4812</v>
      </c>
      <c r="H708" t="s">
        <v>43</v>
      </c>
      <c r="I708" s="13" t="s">
        <v>4813</v>
      </c>
      <c r="J708" t="s">
        <v>31</v>
      </c>
      <c r="K708" t="s">
        <v>7879</v>
      </c>
      <c r="L708" t="s">
        <v>7893</v>
      </c>
      <c r="M708" t="s">
        <v>46</v>
      </c>
      <c r="N708" t="s">
        <v>33</v>
      </c>
      <c r="O708" s="17">
        <v>195000</v>
      </c>
      <c r="P708" s="17" t="s">
        <v>7854</v>
      </c>
      <c r="Q708" s="22">
        <v>0</v>
      </c>
      <c r="R708" s="22" t="s">
        <v>7854</v>
      </c>
      <c r="S708" s="24">
        <v>0</v>
      </c>
      <c r="T708" s="24" t="s">
        <v>7854</v>
      </c>
      <c r="U708" t="s">
        <v>4814</v>
      </c>
    </row>
    <row r="709" spans="1:21" x14ac:dyDescent="0.25">
      <c r="A709">
        <v>719</v>
      </c>
      <c r="B709">
        <v>24412</v>
      </c>
      <c r="C709" t="s">
        <v>4815</v>
      </c>
      <c r="D709" t="s">
        <v>7522</v>
      </c>
      <c r="E709" t="s">
        <v>4818</v>
      </c>
      <c r="F709" t="s">
        <v>53</v>
      </c>
      <c r="G709" t="s">
        <v>2490</v>
      </c>
      <c r="H709" t="s">
        <v>43</v>
      </c>
      <c r="I709" s="13" t="s">
        <v>4819</v>
      </c>
      <c r="J709" t="s">
        <v>31</v>
      </c>
      <c r="K709" t="s">
        <v>7879</v>
      </c>
      <c r="L709" t="s">
        <v>7940</v>
      </c>
      <c r="M709" t="s">
        <v>46</v>
      </c>
      <c r="N709" t="s">
        <v>33</v>
      </c>
      <c r="O709" s="17">
        <v>195000</v>
      </c>
      <c r="P709" s="17" t="s">
        <v>7854</v>
      </c>
      <c r="Q709" s="22">
        <v>0</v>
      </c>
      <c r="R709" s="22" t="s">
        <v>7854</v>
      </c>
      <c r="S709" s="24">
        <v>0</v>
      </c>
      <c r="T709" s="24" t="s">
        <v>7854</v>
      </c>
      <c r="U709" t="s">
        <v>4820</v>
      </c>
    </row>
    <row r="710" spans="1:21" x14ac:dyDescent="0.25">
      <c r="A710">
        <v>720</v>
      </c>
      <c r="B710">
        <v>2625</v>
      </c>
      <c r="C710" t="s">
        <v>4821</v>
      </c>
      <c r="D710" t="s">
        <v>7523</v>
      </c>
      <c r="E710" t="s">
        <v>7929</v>
      </c>
      <c r="F710" t="s">
        <v>53</v>
      </c>
      <c r="G710" t="s">
        <v>4825</v>
      </c>
      <c r="H710" t="s">
        <v>43</v>
      </c>
      <c r="I710" s="12">
        <v>7068240950</v>
      </c>
      <c r="J710" t="s">
        <v>2333</v>
      </c>
      <c r="K710" t="s">
        <v>7886</v>
      </c>
      <c r="L710" t="s">
        <v>7893</v>
      </c>
      <c r="M710" t="s">
        <v>46</v>
      </c>
      <c r="N710" t="s">
        <v>33</v>
      </c>
      <c r="O710" s="17">
        <v>812500</v>
      </c>
      <c r="P710" s="17" t="s">
        <v>7854</v>
      </c>
      <c r="Q710" s="22">
        <v>0</v>
      </c>
      <c r="R710" s="22" t="s">
        <v>7854</v>
      </c>
      <c r="S710" s="24">
        <v>162500</v>
      </c>
      <c r="T710" s="24" t="s">
        <v>7854</v>
      </c>
      <c r="U710" t="s">
        <v>4826</v>
      </c>
    </row>
    <row r="711" spans="1:21" x14ac:dyDescent="0.25">
      <c r="A711">
        <v>721</v>
      </c>
      <c r="B711">
        <v>11562</v>
      </c>
      <c r="C711" t="s">
        <v>4827</v>
      </c>
      <c r="D711" t="s">
        <v>7524</v>
      </c>
      <c r="E711" t="s">
        <v>4830</v>
      </c>
      <c r="F711" t="s">
        <v>28</v>
      </c>
      <c r="G711" t="s">
        <v>4831</v>
      </c>
      <c r="H711" t="s">
        <v>43</v>
      </c>
      <c r="I711" s="13" t="s">
        <v>4832</v>
      </c>
      <c r="J711" t="s">
        <v>31</v>
      </c>
      <c r="K711" t="s">
        <v>7881</v>
      </c>
      <c r="L711" t="s">
        <v>7893</v>
      </c>
      <c r="M711" t="s">
        <v>46</v>
      </c>
      <c r="N711" t="s">
        <v>33</v>
      </c>
      <c r="O711" s="17">
        <v>552500</v>
      </c>
      <c r="P711" s="17" t="s">
        <v>7854</v>
      </c>
      <c r="Q711" s="22">
        <v>0</v>
      </c>
      <c r="R711" s="22" t="s">
        <v>7854</v>
      </c>
      <c r="S711" s="24">
        <v>0</v>
      </c>
      <c r="T711" s="24" t="s">
        <v>7854</v>
      </c>
      <c r="U711" t="s">
        <v>4833</v>
      </c>
    </row>
    <row r="712" spans="1:21" x14ac:dyDescent="0.25">
      <c r="A712">
        <v>722</v>
      </c>
      <c r="B712">
        <v>20478</v>
      </c>
      <c r="C712" t="s">
        <v>4834</v>
      </c>
      <c r="D712" t="s">
        <v>7525</v>
      </c>
      <c r="E712" t="s">
        <v>4836</v>
      </c>
      <c r="F712" t="s">
        <v>53</v>
      </c>
      <c r="G712" t="s">
        <v>4837</v>
      </c>
      <c r="H712" t="s">
        <v>43</v>
      </c>
      <c r="I712" s="12">
        <v>2347069298560</v>
      </c>
      <c r="J712" t="s">
        <v>45</v>
      </c>
      <c r="K712" t="s">
        <v>7881</v>
      </c>
      <c r="L712" t="s">
        <v>7888</v>
      </c>
      <c r="M712" t="s">
        <v>63</v>
      </c>
      <c r="N712" t="s">
        <v>33</v>
      </c>
      <c r="O712" s="17">
        <v>552500</v>
      </c>
      <c r="P712" s="17" t="s">
        <v>7854</v>
      </c>
      <c r="Q712" s="22">
        <v>110500</v>
      </c>
      <c r="R712" s="22" t="s">
        <v>7854</v>
      </c>
      <c r="S712" s="24">
        <v>0</v>
      </c>
      <c r="T712" s="24" t="s">
        <v>7854</v>
      </c>
      <c r="U712" t="s">
        <v>4838</v>
      </c>
    </row>
    <row r="713" spans="1:21" x14ac:dyDescent="0.25">
      <c r="A713">
        <v>723</v>
      </c>
      <c r="B713">
        <v>637</v>
      </c>
      <c r="C713" t="s">
        <v>4839</v>
      </c>
      <c r="D713" t="s">
        <v>7526</v>
      </c>
      <c r="E713" t="s">
        <v>4842</v>
      </c>
      <c r="F713" t="s">
        <v>28</v>
      </c>
      <c r="G713" t="s">
        <v>739</v>
      </c>
      <c r="H713" t="s">
        <v>43</v>
      </c>
      <c r="I713" s="12">
        <v>2348066306714</v>
      </c>
      <c r="J713" t="s">
        <v>31</v>
      </c>
      <c r="K713" t="s">
        <v>7886</v>
      </c>
      <c r="L713" t="s">
        <v>7981</v>
      </c>
      <c r="M713" t="s">
        <v>46</v>
      </c>
      <c r="N713" t="s">
        <v>33</v>
      </c>
      <c r="O713" s="17">
        <v>812500</v>
      </c>
      <c r="P713" s="17" t="s">
        <v>7854</v>
      </c>
      <c r="Q713" s="22">
        <v>0</v>
      </c>
      <c r="R713" s="22" t="s">
        <v>7854</v>
      </c>
      <c r="S713" s="24">
        <v>162500</v>
      </c>
      <c r="T713" s="24" t="s">
        <v>7854</v>
      </c>
      <c r="U713" t="s">
        <v>4843</v>
      </c>
    </row>
    <row r="714" spans="1:21" x14ac:dyDescent="0.25">
      <c r="A714">
        <v>724</v>
      </c>
      <c r="B714">
        <v>24452</v>
      </c>
      <c r="C714" t="s">
        <v>4844</v>
      </c>
      <c r="D714" t="s">
        <v>7527</v>
      </c>
      <c r="E714" t="s">
        <v>4846</v>
      </c>
      <c r="F714" t="s">
        <v>28</v>
      </c>
      <c r="G714" t="s">
        <v>4847</v>
      </c>
      <c r="H714" t="s">
        <v>43</v>
      </c>
      <c r="I714" s="13" t="s">
        <v>4848</v>
      </c>
      <c r="J714" t="s">
        <v>31</v>
      </c>
      <c r="K714" t="s">
        <v>7879</v>
      </c>
      <c r="L714" t="s">
        <v>7981</v>
      </c>
      <c r="M714" t="s">
        <v>46</v>
      </c>
      <c r="N714" t="s">
        <v>33</v>
      </c>
      <c r="O714" s="17">
        <v>195000</v>
      </c>
      <c r="P714" s="17" t="s">
        <v>7854</v>
      </c>
      <c r="Q714" s="22">
        <v>0</v>
      </c>
      <c r="R714" s="22" t="s">
        <v>7854</v>
      </c>
      <c r="S714" s="24">
        <v>0</v>
      </c>
      <c r="T714" s="24" t="s">
        <v>7854</v>
      </c>
      <c r="U714" t="s">
        <v>4849</v>
      </c>
    </row>
    <row r="715" spans="1:21" x14ac:dyDescent="0.25">
      <c r="A715">
        <v>725</v>
      </c>
      <c r="B715">
        <v>18621</v>
      </c>
      <c r="C715" t="s">
        <v>4850</v>
      </c>
      <c r="D715" t="s">
        <v>7528</v>
      </c>
      <c r="E715" t="s">
        <v>4852</v>
      </c>
      <c r="F715" t="s">
        <v>28</v>
      </c>
      <c r="G715" t="s">
        <v>4853</v>
      </c>
      <c r="H715" t="s">
        <v>43</v>
      </c>
      <c r="I715" s="12">
        <v>2348035832180</v>
      </c>
      <c r="J715" t="s">
        <v>45</v>
      </c>
      <c r="K715" t="s">
        <v>7881</v>
      </c>
      <c r="L715" t="s">
        <v>7888</v>
      </c>
      <c r="M715" t="s">
        <v>46</v>
      </c>
      <c r="N715" t="s">
        <v>33</v>
      </c>
      <c r="O715" s="17">
        <v>552500</v>
      </c>
      <c r="P715" s="17" t="s">
        <v>7854</v>
      </c>
      <c r="Q715" s="22">
        <v>110500</v>
      </c>
      <c r="R715" s="22" t="s">
        <v>7854</v>
      </c>
      <c r="S715" s="24">
        <v>0</v>
      </c>
      <c r="T715" s="24" t="s">
        <v>7854</v>
      </c>
      <c r="U715" t="s">
        <v>4854</v>
      </c>
    </row>
    <row r="716" spans="1:21" x14ac:dyDescent="0.25">
      <c r="A716">
        <v>726</v>
      </c>
      <c r="B716">
        <v>6424</v>
      </c>
      <c r="C716" t="s">
        <v>4855</v>
      </c>
      <c r="D716" t="s">
        <v>7529</v>
      </c>
      <c r="E716" t="s">
        <v>7968</v>
      </c>
      <c r="F716" t="s">
        <v>53</v>
      </c>
      <c r="G716" t="s">
        <v>7969</v>
      </c>
      <c r="H716" t="s">
        <v>43</v>
      </c>
      <c r="I716" s="13" t="s">
        <v>4859</v>
      </c>
      <c r="J716" t="s">
        <v>31</v>
      </c>
      <c r="K716" t="s">
        <v>7886</v>
      </c>
      <c r="L716" t="s">
        <v>7940</v>
      </c>
      <c r="M716" t="s">
        <v>63</v>
      </c>
      <c r="N716" t="s">
        <v>33</v>
      </c>
      <c r="O716" s="17">
        <v>812500</v>
      </c>
      <c r="P716" s="17" t="s">
        <v>7854</v>
      </c>
      <c r="Q716" s="22">
        <v>0</v>
      </c>
      <c r="R716" s="22" t="s">
        <v>7854</v>
      </c>
      <c r="S716" s="24">
        <v>162500</v>
      </c>
      <c r="T716" s="24" t="s">
        <v>7854</v>
      </c>
      <c r="U716" t="s">
        <v>4860</v>
      </c>
    </row>
    <row r="717" spans="1:21" x14ac:dyDescent="0.25">
      <c r="A717">
        <v>727</v>
      </c>
      <c r="B717">
        <v>24468</v>
      </c>
      <c r="C717" t="s">
        <v>4861</v>
      </c>
      <c r="D717" t="s">
        <v>7530</v>
      </c>
      <c r="E717" t="s">
        <v>4864</v>
      </c>
      <c r="F717" t="s">
        <v>28</v>
      </c>
      <c r="G717" t="s">
        <v>4865</v>
      </c>
      <c r="H717" t="s">
        <v>765</v>
      </c>
      <c r="I717" s="12">
        <v>23276203600</v>
      </c>
      <c r="J717" t="s">
        <v>31</v>
      </c>
      <c r="K717" t="s">
        <v>7879</v>
      </c>
      <c r="L717" t="s">
        <v>7940</v>
      </c>
      <c r="M717" t="s">
        <v>1480</v>
      </c>
      <c r="N717" t="s">
        <v>33</v>
      </c>
      <c r="O717" s="17">
        <v>195000</v>
      </c>
      <c r="P717" s="17" t="s">
        <v>7854</v>
      </c>
      <c r="Q717" s="22">
        <v>0</v>
      </c>
      <c r="R717" s="22" t="s">
        <v>7854</v>
      </c>
      <c r="S717" s="24">
        <v>0</v>
      </c>
      <c r="T717" s="24" t="s">
        <v>7854</v>
      </c>
      <c r="U717" t="s">
        <v>4866</v>
      </c>
    </row>
    <row r="718" spans="1:21" x14ac:dyDescent="0.25">
      <c r="A718">
        <v>728</v>
      </c>
      <c r="B718">
        <v>24009</v>
      </c>
      <c r="C718" t="s">
        <v>4867</v>
      </c>
      <c r="D718" t="s">
        <v>7531</v>
      </c>
      <c r="E718" t="s">
        <v>4869</v>
      </c>
      <c r="F718" t="s">
        <v>53</v>
      </c>
      <c r="G718" t="s">
        <v>4870</v>
      </c>
      <c r="H718" t="s">
        <v>43</v>
      </c>
      <c r="I718" s="13" t="s">
        <v>4871</v>
      </c>
      <c r="J718" t="s">
        <v>31</v>
      </c>
      <c r="K718" t="s">
        <v>7879</v>
      </c>
      <c r="L718" t="s">
        <v>7888</v>
      </c>
      <c r="M718" t="s">
        <v>46</v>
      </c>
      <c r="N718" t="s">
        <v>33</v>
      </c>
      <c r="O718" s="17">
        <v>195000</v>
      </c>
      <c r="P718" s="17" t="s">
        <v>7854</v>
      </c>
      <c r="Q718" s="22">
        <v>0</v>
      </c>
      <c r="R718" s="22" t="s">
        <v>7854</v>
      </c>
      <c r="S718" s="24">
        <v>0</v>
      </c>
      <c r="T718" s="24" t="s">
        <v>7854</v>
      </c>
      <c r="U718" t="s">
        <v>4872</v>
      </c>
    </row>
    <row r="719" spans="1:21" x14ac:dyDescent="0.25">
      <c r="A719">
        <v>729</v>
      </c>
      <c r="B719">
        <v>24375</v>
      </c>
      <c r="C719" t="s">
        <v>4873</v>
      </c>
      <c r="D719" t="s">
        <v>7532</v>
      </c>
      <c r="E719" t="s">
        <v>4876</v>
      </c>
      <c r="F719" t="s">
        <v>28</v>
      </c>
      <c r="G719" t="s">
        <v>4877</v>
      </c>
      <c r="H719" t="s">
        <v>765</v>
      </c>
      <c r="I719" s="12">
        <v>23278365488</v>
      </c>
      <c r="J719" t="s">
        <v>31</v>
      </c>
      <c r="K719" t="s">
        <v>7879</v>
      </c>
      <c r="L719" t="s">
        <v>7940</v>
      </c>
      <c r="M719" t="s">
        <v>1480</v>
      </c>
      <c r="N719" t="s">
        <v>33</v>
      </c>
      <c r="O719" s="17">
        <v>195000</v>
      </c>
      <c r="P719" s="17" t="s">
        <v>7854</v>
      </c>
      <c r="Q719" s="22">
        <v>0</v>
      </c>
      <c r="R719" s="22" t="s">
        <v>7854</v>
      </c>
      <c r="S719" s="24">
        <v>0</v>
      </c>
      <c r="T719" s="24" t="s">
        <v>7854</v>
      </c>
      <c r="U719" t="s">
        <v>4878</v>
      </c>
    </row>
    <row r="720" spans="1:21" x14ac:dyDescent="0.25">
      <c r="A720">
        <v>730</v>
      </c>
      <c r="B720">
        <v>20171</v>
      </c>
      <c r="C720" t="s">
        <v>4879</v>
      </c>
      <c r="D720" t="s">
        <v>7533</v>
      </c>
      <c r="E720" t="s">
        <v>4882</v>
      </c>
      <c r="F720" t="s">
        <v>53</v>
      </c>
      <c r="G720" t="s">
        <v>4883</v>
      </c>
      <c r="H720" t="s">
        <v>43</v>
      </c>
      <c r="I720" s="13" t="s">
        <v>4884</v>
      </c>
      <c r="J720" t="s">
        <v>31</v>
      </c>
      <c r="K720" t="s">
        <v>7881</v>
      </c>
      <c r="L720" t="s">
        <v>7940</v>
      </c>
      <c r="M720" t="s">
        <v>46</v>
      </c>
      <c r="N720" t="s">
        <v>33</v>
      </c>
      <c r="O720" s="17">
        <v>552500</v>
      </c>
      <c r="P720" s="17" t="s">
        <v>7854</v>
      </c>
      <c r="Q720" s="22">
        <v>0</v>
      </c>
      <c r="R720" s="22" t="s">
        <v>7854</v>
      </c>
      <c r="S720" s="24">
        <v>0</v>
      </c>
      <c r="T720" s="24" t="s">
        <v>7854</v>
      </c>
      <c r="U720" t="s">
        <v>4885</v>
      </c>
    </row>
    <row r="721" spans="1:21" x14ac:dyDescent="0.25">
      <c r="A721">
        <v>731</v>
      </c>
      <c r="B721">
        <v>24368</v>
      </c>
      <c r="C721" t="s">
        <v>4886</v>
      </c>
      <c r="D721" t="s">
        <v>7534</v>
      </c>
      <c r="E721" t="s">
        <v>4890</v>
      </c>
      <c r="F721" t="s">
        <v>28</v>
      </c>
      <c r="G721" t="s">
        <v>4891</v>
      </c>
      <c r="H721" t="s">
        <v>43</v>
      </c>
      <c r="I721" s="13" t="s">
        <v>4892</v>
      </c>
      <c r="J721" t="s">
        <v>31</v>
      </c>
      <c r="K721" t="s">
        <v>7879</v>
      </c>
      <c r="L721" t="s">
        <v>8028</v>
      </c>
      <c r="M721" t="s">
        <v>87</v>
      </c>
      <c r="N721" t="s">
        <v>33</v>
      </c>
      <c r="O721" s="17">
        <v>195000</v>
      </c>
      <c r="P721" s="17" t="s">
        <v>7854</v>
      </c>
      <c r="Q721" s="22">
        <v>0</v>
      </c>
      <c r="R721" s="22" t="s">
        <v>7854</v>
      </c>
      <c r="S721" s="24">
        <v>0</v>
      </c>
      <c r="T721" s="24" t="s">
        <v>7854</v>
      </c>
      <c r="U721" t="s">
        <v>4893</v>
      </c>
    </row>
    <row r="722" spans="1:21" x14ac:dyDescent="0.25">
      <c r="A722">
        <v>732</v>
      </c>
      <c r="B722">
        <v>7403</v>
      </c>
      <c r="C722" t="s">
        <v>4894</v>
      </c>
      <c r="D722" t="s">
        <v>7535</v>
      </c>
      <c r="E722" t="s">
        <v>4897</v>
      </c>
      <c r="F722" t="s">
        <v>28</v>
      </c>
      <c r="G722" t="s">
        <v>4898</v>
      </c>
      <c r="H722" t="s">
        <v>43</v>
      </c>
      <c r="I722" s="12">
        <v>8036542398</v>
      </c>
      <c r="J722" t="s">
        <v>31</v>
      </c>
      <c r="K722" t="s">
        <v>7886</v>
      </c>
      <c r="L722" t="s">
        <v>7981</v>
      </c>
      <c r="M722" t="s">
        <v>46</v>
      </c>
      <c r="N722" t="s">
        <v>33</v>
      </c>
      <c r="O722" s="17">
        <v>812500</v>
      </c>
      <c r="P722" s="17" t="s">
        <v>7854</v>
      </c>
      <c r="Q722" s="22">
        <v>0</v>
      </c>
      <c r="R722" s="22" t="s">
        <v>7854</v>
      </c>
      <c r="S722" s="24">
        <v>162500</v>
      </c>
      <c r="T722" s="24" t="s">
        <v>7854</v>
      </c>
      <c r="U722" t="s">
        <v>4899</v>
      </c>
    </row>
    <row r="723" spans="1:21" x14ac:dyDescent="0.25">
      <c r="A723">
        <v>733</v>
      </c>
      <c r="B723">
        <v>9722</v>
      </c>
      <c r="C723" t="s">
        <v>4900</v>
      </c>
      <c r="D723" t="s">
        <v>7536</v>
      </c>
      <c r="E723" t="s">
        <v>4903</v>
      </c>
      <c r="F723" t="s">
        <v>53</v>
      </c>
      <c r="G723" t="s">
        <v>236</v>
      </c>
      <c r="H723" t="s">
        <v>43</v>
      </c>
      <c r="I723" s="12">
        <v>2348079776523</v>
      </c>
      <c r="J723" t="s">
        <v>31</v>
      </c>
      <c r="K723" t="s">
        <v>7881</v>
      </c>
      <c r="L723" t="s">
        <v>7888</v>
      </c>
      <c r="M723" t="s">
        <v>46</v>
      </c>
      <c r="N723" t="s">
        <v>33</v>
      </c>
      <c r="O723" s="17">
        <v>552500</v>
      </c>
      <c r="P723" s="17" t="s">
        <v>7854</v>
      </c>
      <c r="Q723" s="22">
        <v>110500</v>
      </c>
      <c r="R723" s="22" t="s">
        <v>7854</v>
      </c>
      <c r="S723" s="24">
        <v>0</v>
      </c>
      <c r="T723" s="24" t="s">
        <v>7854</v>
      </c>
      <c r="U723" t="s">
        <v>4904</v>
      </c>
    </row>
    <row r="724" spans="1:21" x14ac:dyDescent="0.25">
      <c r="A724">
        <v>734</v>
      </c>
      <c r="B724">
        <v>6380</v>
      </c>
      <c r="C724" t="s">
        <v>4905</v>
      </c>
      <c r="D724" t="s">
        <v>7537</v>
      </c>
      <c r="E724" t="s">
        <v>4909</v>
      </c>
      <c r="F724" t="s">
        <v>28</v>
      </c>
      <c r="G724" t="s">
        <v>4910</v>
      </c>
      <c r="H724" t="s">
        <v>43</v>
      </c>
      <c r="I724" s="12">
        <v>7050813560</v>
      </c>
      <c r="J724" t="s">
        <v>31</v>
      </c>
      <c r="K724" t="s">
        <v>7881</v>
      </c>
      <c r="L724" t="s">
        <v>8028</v>
      </c>
      <c r="M724" t="s">
        <v>63</v>
      </c>
      <c r="N724" t="s">
        <v>33</v>
      </c>
      <c r="O724" s="17">
        <v>552500</v>
      </c>
      <c r="P724" s="17" t="s">
        <v>7854</v>
      </c>
      <c r="Q724" s="22">
        <v>0</v>
      </c>
      <c r="R724" s="22" t="s">
        <v>7854</v>
      </c>
      <c r="S724" s="24">
        <v>0</v>
      </c>
      <c r="T724" s="24" t="s">
        <v>7854</v>
      </c>
      <c r="U724" t="s">
        <v>4911</v>
      </c>
    </row>
    <row r="725" spans="1:21" x14ac:dyDescent="0.25">
      <c r="A725">
        <v>735</v>
      </c>
      <c r="B725">
        <v>24460</v>
      </c>
      <c r="C725" t="s">
        <v>4912</v>
      </c>
      <c r="D725" t="s">
        <v>7538</v>
      </c>
      <c r="E725" t="s">
        <v>4914</v>
      </c>
      <c r="F725" t="s">
        <v>28</v>
      </c>
      <c r="G725" t="s">
        <v>4915</v>
      </c>
      <c r="H725" t="s">
        <v>43</v>
      </c>
      <c r="I725" s="12">
        <v>2348102581637</v>
      </c>
      <c r="J725" t="s">
        <v>31</v>
      </c>
      <c r="K725" t="s">
        <v>7879</v>
      </c>
      <c r="L725" t="s">
        <v>7981</v>
      </c>
      <c r="M725" t="s">
        <v>87</v>
      </c>
      <c r="N725" t="s">
        <v>33</v>
      </c>
      <c r="O725" s="17">
        <v>195000</v>
      </c>
      <c r="P725" s="17" t="s">
        <v>7854</v>
      </c>
      <c r="Q725" s="22">
        <v>0</v>
      </c>
      <c r="R725" s="22" t="s">
        <v>7854</v>
      </c>
      <c r="S725" s="24">
        <v>0</v>
      </c>
      <c r="T725" s="24" t="s">
        <v>7854</v>
      </c>
      <c r="U725" t="s">
        <v>4916</v>
      </c>
    </row>
    <row r="726" spans="1:21" x14ac:dyDescent="0.25">
      <c r="A726">
        <v>736</v>
      </c>
      <c r="B726">
        <v>24508</v>
      </c>
      <c r="C726" t="s">
        <v>4917</v>
      </c>
      <c r="D726" t="s">
        <v>7539</v>
      </c>
      <c r="E726" t="s">
        <v>4920</v>
      </c>
      <c r="F726" t="s">
        <v>28</v>
      </c>
      <c r="G726" t="s">
        <v>2589</v>
      </c>
      <c r="H726" t="s">
        <v>43</v>
      </c>
      <c r="I726" s="13" t="s">
        <v>4921</v>
      </c>
      <c r="J726" t="s">
        <v>31</v>
      </c>
      <c r="K726" t="s">
        <v>7879</v>
      </c>
      <c r="L726" t="s">
        <v>7940</v>
      </c>
      <c r="M726" t="s">
        <v>63</v>
      </c>
      <c r="N726" t="s">
        <v>33</v>
      </c>
      <c r="O726" s="17">
        <v>195000</v>
      </c>
      <c r="P726" s="17" t="s">
        <v>7854</v>
      </c>
      <c r="Q726" s="22">
        <v>0</v>
      </c>
      <c r="R726" s="22" t="s">
        <v>7854</v>
      </c>
      <c r="S726" s="24">
        <v>0</v>
      </c>
      <c r="T726" s="24" t="s">
        <v>7854</v>
      </c>
      <c r="U726" t="s">
        <v>4922</v>
      </c>
    </row>
    <row r="727" spans="1:21" x14ac:dyDescent="0.25">
      <c r="A727">
        <v>737</v>
      </c>
      <c r="B727">
        <v>23673</v>
      </c>
      <c r="C727" t="s">
        <v>4923</v>
      </c>
      <c r="D727" t="s">
        <v>7540</v>
      </c>
      <c r="E727" t="s">
        <v>4927</v>
      </c>
      <c r="F727" t="s">
        <v>28</v>
      </c>
      <c r="G727" t="s">
        <v>4928</v>
      </c>
      <c r="H727" t="s">
        <v>43</v>
      </c>
      <c r="I727" s="13" t="s">
        <v>4929</v>
      </c>
      <c r="J727" t="s">
        <v>45</v>
      </c>
      <c r="K727" t="s">
        <v>7879</v>
      </c>
      <c r="L727" t="s">
        <v>7981</v>
      </c>
      <c r="M727" t="s">
        <v>46</v>
      </c>
      <c r="N727" t="s">
        <v>33</v>
      </c>
      <c r="O727" s="17">
        <v>195000</v>
      </c>
      <c r="P727" s="17" t="s">
        <v>7854</v>
      </c>
      <c r="Q727" s="22">
        <v>0</v>
      </c>
      <c r="R727" s="22" t="s">
        <v>7854</v>
      </c>
      <c r="S727" s="24">
        <v>0</v>
      </c>
      <c r="T727" s="24" t="s">
        <v>7854</v>
      </c>
      <c r="U727" t="s">
        <v>4930</v>
      </c>
    </row>
    <row r="728" spans="1:21" x14ac:dyDescent="0.25">
      <c r="A728">
        <v>738</v>
      </c>
      <c r="B728">
        <v>20598</v>
      </c>
      <c r="C728" t="s">
        <v>4931</v>
      </c>
      <c r="D728" t="s">
        <v>7541</v>
      </c>
      <c r="E728" t="s">
        <v>4934</v>
      </c>
      <c r="F728" t="s">
        <v>28</v>
      </c>
      <c r="G728" t="s">
        <v>480</v>
      </c>
      <c r="H728" t="s">
        <v>453</v>
      </c>
      <c r="I728" s="12">
        <v>233206300907</v>
      </c>
      <c r="J728" t="s">
        <v>2333</v>
      </c>
      <c r="K728" t="s">
        <v>7886</v>
      </c>
      <c r="L728" t="s">
        <v>7981</v>
      </c>
      <c r="M728" t="s">
        <v>455</v>
      </c>
      <c r="N728" t="s">
        <v>130</v>
      </c>
      <c r="O728" s="17" t="s">
        <v>7854</v>
      </c>
      <c r="P728" s="17">
        <v>625</v>
      </c>
      <c r="Q728" s="22" t="s">
        <v>7854</v>
      </c>
      <c r="R728" s="22">
        <v>0</v>
      </c>
      <c r="S728" s="24" t="s">
        <v>7854</v>
      </c>
      <c r="T728" s="24">
        <v>125</v>
      </c>
      <c r="U728" t="s">
        <v>4935</v>
      </c>
    </row>
    <row r="729" spans="1:21" x14ac:dyDescent="0.25">
      <c r="A729">
        <v>739</v>
      </c>
      <c r="B729">
        <v>24510</v>
      </c>
      <c r="C729" t="s">
        <v>4936</v>
      </c>
      <c r="D729" t="s">
        <v>7542</v>
      </c>
      <c r="E729" t="s">
        <v>4938</v>
      </c>
      <c r="F729" t="s">
        <v>53</v>
      </c>
      <c r="G729" t="s">
        <v>4939</v>
      </c>
      <c r="H729" t="s">
        <v>43</v>
      </c>
      <c r="I729" s="12">
        <v>2347038067808</v>
      </c>
      <c r="J729" t="s">
        <v>31</v>
      </c>
      <c r="K729" t="s">
        <v>7879</v>
      </c>
      <c r="L729" t="s">
        <v>7893</v>
      </c>
      <c r="M729" t="s">
        <v>46</v>
      </c>
      <c r="N729" t="s">
        <v>33</v>
      </c>
      <c r="O729" s="17">
        <v>195000</v>
      </c>
      <c r="P729" s="17" t="s">
        <v>7854</v>
      </c>
      <c r="Q729" s="22">
        <v>0</v>
      </c>
      <c r="R729" s="22" t="s">
        <v>7854</v>
      </c>
      <c r="S729" s="24">
        <v>0</v>
      </c>
      <c r="T729" s="24" t="s">
        <v>7854</v>
      </c>
      <c r="U729" t="s">
        <v>4940</v>
      </c>
    </row>
    <row r="730" spans="1:21" x14ac:dyDescent="0.25">
      <c r="A730">
        <v>740</v>
      </c>
      <c r="B730">
        <v>23197</v>
      </c>
      <c r="C730" t="s">
        <v>4941</v>
      </c>
      <c r="D730" t="s">
        <v>7543</v>
      </c>
      <c r="E730" t="s">
        <v>4941</v>
      </c>
      <c r="F730" t="s">
        <v>53</v>
      </c>
      <c r="G730" t="s">
        <v>3242</v>
      </c>
      <c r="H730" t="s">
        <v>43</v>
      </c>
      <c r="I730" s="13" t="s">
        <v>4945</v>
      </c>
      <c r="J730" t="s">
        <v>31</v>
      </c>
      <c r="K730" t="s">
        <v>7879</v>
      </c>
      <c r="L730" t="s">
        <v>7893</v>
      </c>
      <c r="M730" t="s">
        <v>46</v>
      </c>
      <c r="N730" t="s">
        <v>33</v>
      </c>
      <c r="O730" s="17">
        <v>195000</v>
      </c>
      <c r="P730" s="17" t="s">
        <v>7854</v>
      </c>
      <c r="Q730" s="22">
        <v>0</v>
      </c>
      <c r="R730" s="22" t="s">
        <v>7854</v>
      </c>
      <c r="S730" s="24">
        <v>0</v>
      </c>
      <c r="T730" s="24" t="s">
        <v>7854</v>
      </c>
      <c r="U730" t="s">
        <v>4946</v>
      </c>
    </row>
    <row r="731" spans="1:21" x14ac:dyDescent="0.25">
      <c r="A731">
        <v>741</v>
      </c>
      <c r="B731">
        <v>23341</v>
      </c>
      <c r="C731" t="s">
        <v>4947</v>
      </c>
      <c r="D731" t="s">
        <v>7544</v>
      </c>
      <c r="E731" t="s">
        <v>4949</v>
      </c>
      <c r="F731" t="s">
        <v>28</v>
      </c>
      <c r="G731" t="s">
        <v>4950</v>
      </c>
      <c r="H731" t="s">
        <v>43</v>
      </c>
      <c r="I731" s="13" t="s">
        <v>4951</v>
      </c>
      <c r="J731" t="s">
        <v>45</v>
      </c>
      <c r="K731" t="s">
        <v>7879</v>
      </c>
      <c r="L731" t="s">
        <v>7981</v>
      </c>
      <c r="M731" t="s">
        <v>87</v>
      </c>
      <c r="N731" t="s">
        <v>33</v>
      </c>
      <c r="O731" s="17">
        <v>195000</v>
      </c>
      <c r="P731" s="17" t="s">
        <v>7854</v>
      </c>
      <c r="Q731" s="22">
        <v>0</v>
      </c>
      <c r="R731" s="22" t="s">
        <v>7854</v>
      </c>
      <c r="S731" s="24">
        <v>0</v>
      </c>
      <c r="T731" s="24" t="s">
        <v>7854</v>
      </c>
      <c r="U731" t="s">
        <v>4952</v>
      </c>
    </row>
    <row r="732" spans="1:21" x14ac:dyDescent="0.25">
      <c r="A732">
        <v>742</v>
      </c>
      <c r="B732">
        <v>9996</v>
      </c>
      <c r="C732" t="s">
        <v>4953</v>
      </c>
      <c r="D732" t="s">
        <v>7545</v>
      </c>
      <c r="E732" t="s">
        <v>4957</v>
      </c>
      <c r="F732" t="s">
        <v>28</v>
      </c>
      <c r="G732" t="s">
        <v>4958</v>
      </c>
      <c r="H732" t="s">
        <v>43</v>
      </c>
      <c r="I732" s="13" t="s">
        <v>4959</v>
      </c>
      <c r="J732" t="s">
        <v>31</v>
      </c>
      <c r="K732" t="s">
        <v>7881</v>
      </c>
      <c r="L732" t="s">
        <v>7893</v>
      </c>
      <c r="M732" t="s">
        <v>63</v>
      </c>
      <c r="N732" t="s">
        <v>33</v>
      </c>
      <c r="O732" s="17">
        <v>552500</v>
      </c>
      <c r="P732" s="17" t="s">
        <v>7854</v>
      </c>
      <c r="Q732" s="22">
        <v>0</v>
      </c>
      <c r="R732" s="22" t="s">
        <v>7854</v>
      </c>
      <c r="S732" s="24">
        <v>0</v>
      </c>
      <c r="T732" s="24" t="s">
        <v>7854</v>
      </c>
      <c r="U732" t="s">
        <v>4960</v>
      </c>
    </row>
    <row r="733" spans="1:21" x14ac:dyDescent="0.25">
      <c r="A733">
        <v>743</v>
      </c>
      <c r="B733">
        <v>24489</v>
      </c>
      <c r="C733" t="s">
        <v>4961</v>
      </c>
      <c r="D733" t="s">
        <v>7546</v>
      </c>
      <c r="E733" t="s">
        <v>4963</v>
      </c>
      <c r="F733" t="s">
        <v>53</v>
      </c>
      <c r="G733" t="s">
        <v>386</v>
      </c>
      <c r="H733" t="s">
        <v>43</v>
      </c>
      <c r="I733" s="13" t="s">
        <v>4964</v>
      </c>
      <c r="J733" t="s">
        <v>31</v>
      </c>
      <c r="K733" t="s">
        <v>7879</v>
      </c>
      <c r="L733" t="s">
        <v>7888</v>
      </c>
      <c r="M733" t="s">
        <v>46</v>
      </c>
      <c r="N733" t="s">
        <v>33</v>
      </c>
      <c r="O733" s="17">
        <v>195000</v>
      </c>
      <c r="P733" s="17" t="s">
        <v>7854</v>
      </c>
      <c r="Q733" s="22">
        <v>0</v>
      </c>
      <c r="R733" s="22" t="s">
        <v>7854</v>
      </c>
      <c r="S733" s="24">
        <v>0</v>
      </c>
      <c r="T733" s="24" t="s">
        <v>7854</v>
      </c>
      <c r="U733" t="s">
        <v>4965</v>
      </c>
    </row>
    <row r="734" spans="1:21" x14ac:dyDescent="0.25">
      <c r="A734">
        <v>744</v>
      </c>
      <c r="B734">
        <v>22286</v>
      </c>
      <c r="C734" t="s">
        <v>4966</v>
      </c>
      <c r="D734" t="s">
        <v>7547</v>
      </c>
      <c r="E734" t="s">
        <v>4967</v>
      </c>
      <c r="F734" t="s">
        <v>28</v>
      </c>
      <c r="G734" t="s">
        <v>4968</v>
      </c>
      <c r="H734" t="s">
        <v>43</v>
      </c>
      <c r="I734" s="13" t="s">
        <v>4969</v>
      </c>
      <c r="J734" t="s">
        <v>45</v>
      </c>
      <c r="K734" t="s">
        <v>7879</v>
      </c>
      <c r="L734" t="s">
        <v>7893</v>
      </c>
      <c r="M734" t="s">
        <v>46</v>
      </c>
      <c r="N734" t="s">
        <v>33</v>
      </c>
      <c r="O734" s="17">
        <v>195000</v>
      </c>
      <c r="P734" s="17" t="s">
        <v>7854</v>
      </c>
      <c r="Q734" s="22">
        <v>0</v>
      </c>
      <c r="R734" s="22" t="s">
        <v>7854</v>
      </c>
      <c r="S734" s="24">
        <v>0</v>
      </c>
      <c r="T734" s="24" t="s">
        <v>7854</v>
      </c>
      <c r="U734" t="s">
        <v>4970</v>
      </c>
    </row>
    <row r="735" spans="1:21" x14ac:dyDescent="0.25">
      <c r="A735">
        <v>745</v>
      </c>
      <c r="B735">
        <v>18643</v>
      </c>
      <c r="C735" t="s">
        <v>4971</v>
      </c>
      <c r="D735" t="s">
        <v>7548</v>
      </c>
      <c r="E735" t="s">
        <v>4974</v>
      </c>
      <c r="F735" t="s">
        <v>28</v>
      </c>
      <c r="G735" t="s">
        <v>517</v>
      </c>
      <c r="H735" t="s">
        <v>43</v>
      </c>
      <c r="I735" s="12">
        <v>2348030734748</v>
      </c>
      <c r="J735" t="s">
        <v>45</v>
      </c>
      <c r="K735" t="s">
        <v>7881</v>
      </c>
      <c r="L735" t="s">
        <v>7981</v>
      </c>
      <c r="M735" t="s">
        <v>46</v>
      </c>
      <c r="N735" t="s">
        <v>33</v>
      </c>
      <c r="O735" s="17">
        <v>552500</v>
      </c>
      <c r="P735" s="17" t="s">
        <v>7854</v>
      </c>
      <c r="Q735" s="22">
        <v>0</v>
      </c>
      <c r="R735" s="22" t="s">
        <v>7854</v>
      </c>
      <c r="S735" s="24">
        <v>0</v>
      </c>
      <c r="T735" s="24" t="s">
        <v>7854</v>
      </c>
      <c r="U735" t="s">
        <v>4975</v>
      </c>
    </row>
    <row r="736" spans="1:21" x14ac:dyDescent="0.25">
      <c r="A736">
        <v>746</v>
      </c>
      <c r="B736">
        <v>23633</v>
      </c>
      <c r="C736" t="s">
        <v>4976</v>
      </c>
      <c r="D736" t="s">
        <v>7549</v>
      </c>
      <c r="E736" t="s">
        <v>4980</v>
      </c>
      <c r="F736" t="s">
        <v>28</v>
      </c>
      <c r="G736" t="s">
        <v>4981</v>
      </c>
      <c r="H736" t="s">
        <v>43</v>
      </c>
      <c r="I736" s="12">
        <v>2348130317390</v>
      </c>
      <c r="J736" t="s">
        <v>45</v>
      </c>
      <c r="K736" t="s">
        <v>7879</v>
      </c>
      <c r="L736" t="s">
        <v>7981</v>
      </c>
      <c r="M736" t="s">
        <v>87</v>
      </c>
      <c r="N736" t="s">
        <v>33</v>
      </c>
      <c r="O736" s="17">
        <v>195000</v>
      </c>
      <c r="P736" s="17" t="s">
        <v>7854</v>
      </c>
      <c r="Q736" s="22">
        <v>0</v>
      </c>
      <c r="R736" s="22" t="s">
        <v>7854</v>
      </c>
      <c r="S736" s="24">
        <v>0</v>
      </c>
      <c r="T736" s="24" t="s">
        <v>7854</v>
      </c>
      <c r="U736" t="s">
        <v>4982</v>
      </c>
    </row>
    <row r="737" spans="1:21" x14ac:dyDescent="0.25">
      <c r="A737">
        <v>747</v>
      </c>
      <c r="B737">
        <v>20599</v>
      </c>
      <c r="C737" t="s">
        <v>4983</v>
      </c>
      <c r="D737" t="s">
        <v>7550</v>
      </c>
      <c r="E737" t="s">
        <v>4987</v>
      </c>
      <c r="F737" t="s">
        <v>28</v>
      </c>
      <c r="G737" t="s">
        <v>4988</v>
      </c>
      <c r="H737" t="s">
        <v>453</v>
      </c>
      <c r="I737" s="13" t="s">
        <v>4989</v>
      </c>
      <c r="J737" t="s">
        <v>45</v>
      </c>
      <c r="K737" t="s">
        <v>7881</v>
      </c>
      <c r="L737" t="s">
        <v>7981</v>
      </c>
      <c r="M737" t="s">
        <v>455</v>
      </c>
      <c r="N737" t="s">
        <v>130</v>
      </c>
      <c r="O737" s="17" t="s">
        <v>7854</v>
      </c>
      <c r="P737" s="17">
        <v>425</v>
      </c>
      <c r="Q737" s="22" t="s">
        <v>7854</v>
      </c>
      <c r="R737" s="22">
        <v>0</v>
      </c>
      <c r="S737" s="24" t="s">
        <v>7854</v>
      </c>
      <c r="T737" s="24">
        <v>0</v>
      </c>
      <c r="U737" t="s">
        <v>4990</v>
      </c>
    </row>
    <row r="738" spans="1:21" x14ac:dyDescent="0.25">
      <c r="A738">
        <v>748</v>
      </c>
      <c r="B738">
        <v>23606</v>
      </c>
      <c r="C738" t="s">
        <v>4991</v>
      </c>
      <c r="D738" t="s">
        <v>7551</v>
      </c>
      <c r="E738" t="s">
        <v>4995</v>
      </c>
      <c r="F738" t="s">
        <v>28</v>
      </c>
      <c r="G738" t="s">
        <v>4996</v>
      </c>
      <c r="H738" t="s">
        <v>43</v>
      </c>
      <c r="I738" s="13" t="s">
        <v>4997</v>
      </c>
      <c r="J738" t="s">
        <v>45</v>
      </c>
      <c r="K738" t="s">
        <v>7879</v>
      </c>
      <c r="L738" t="s">
        <v>7981</v>
      </c>
      <c r="M738" t="s">
        <v>87</v>
      </c>
      <c r="N738" t="s">
        <v>33</v>
      </c>
      <c r="O738" s="17">
        <v>195000</v>
      </c>
      <c r="P738" s="17" t="s">
        <v>7854</v>
      </c>
      <c r="Q738" s="22">
        <v>0</v>
      </c>
      <c r="R738" s="22" t="s">
        <v>7854</v>
      </c>
      <c r="S738" s="24">
        <v>0</v>
      </c>
      <c r="T738" s="24" t="s">
        <v>7854</v>
      </c>
      <c r="U738" t="s">
        <v>4998</v>
      </c>
    </row>
    <row r="739" spans="1:21" x14ac:dyDescent="0.25">
      <c r="A739">
        <v>749</v>
      </c>
      <c r="B739">
        <v>9880</v>
      </c>
      <c r="C739" t="s">
        <v>4999</v>
      </c>
      <c r="D739" t="s">
        <v>7552</v>
      </c>
      <c r="E739" t="s">
        <v>5002</v>
      </c>
      <c r="F739" t="s">
        <v>28</v>
      </c>
      <c r="G739" t="s">
        <v>2086</v>
      </c>
      <c r="H739" t="s">
        <v>43</v>
      </c>
      <c r="I739" s="13" t="s">
        <v>5003</v>
      </c>
      <c r="J739" t="s">
        <v>31</v>
      </c>
      <c r="K739" t="s">
        <v>7886</v>
      </c>
      <c r="L739" t="s">
        <v>7981</v>
      </c>
      <c r="M739" t="s">
        <v>63</v>
      </c>
      <c r="N739" t="s">
        <v>33</v>
      </c>
      <c r="O739" s="17">
        <v>812500</v>
      </c>
      <c r="P739" s="17" t="s">
        <v>7854</v>
      </c>
      <c r="Q739" s="22">
        <v>0</v>
      </c>
      <c r="R739" s="22" t="s">
        <v>7854</v>
      </c>
      <c r="S739" s="24">
        <v>162500</v>
      </c>
      <c r="T739" s="24" t="s">
        <v>7854</v>
      </c>
      <c r="U739" t="s">
        <v>5004</v>
      </c>
    </row>
    <row r="740" spans="1:21" x14ac:dyDescent="0.25">
      <c r="A740">
        <v>750</v>
      </c>
      <c r="B740">
        <v>24103</v>
      </c>
      <c r="C740" t="s">
        <v>5005</v>
      </c>
      <c r="D740" t="s">
        <v>7553</v>
      </c>
      <c r="E740" t="s">
        <v>5008</v>
      </c>
      <c r="F740" t="s">
        <v>28</v>
      </c>
      <c r="G740" t="s">
        <v>93</v>
      </c>
      <c r="H740" t="s">
        <v>43</v>
      </c>
      <c r="I740" s="13" t="s">
        <v>5009</v>
      </c>
      <c r="J740" t="s">
        <v>31</v>
      </c>
      <c r="K740" t="s">
        <v>7879</v>
      </c>
      <c r="L740" t="s">
        <v>8028</v>
      </c>
      <c r="M740" t="s">
        <v>46</v>
      </c>
      <c r="N740" t="s">
        <v>33</v>
      </c>
      <c r="O740" s="17">
        <v>195000</v>
      </c>
      <c r="P740" s="17" t="s">
        <v>7854</v>
      </c>
      <c r="Q740" s="22">
        <v>0</v>
      </c>
      <c r="R740" s="22" t="s">
        <v>7854</v>
      </c>
      <c r="S740" s="24">
        <v>0</v>
      </c>
      <c r="T740" s="24" t="s">
        <v>7854</v>
      </c>
      <c r="U740" t="s">
        <v>5010</v>
      </c>
    </row>
    <row r="741" spans="1:21" x14ac:dyDescent="0.25">
      <c r="A741">
        <v>751</v>
      </c>
      <c r="B741">
        <v>4944</v>
      </c>
      <c r="C741" t="s">
        <v>5011</v>
      </c>
      <c r="D741" t="s">
        <v>7554</v>
      </c>
      <c r="E741" t="s">
        <v>7931</v>
      </c>
      <c r="F741" t="s">
        <v>28</v>
      </c>
      <c r="G741" t="s">
        <v>5015</v>
      </c>
      <c r="H741" t="s">
        <v>43</v>
      </c>
      <c r="I741" s="12">
        <v>8065212170</v>
      </c>
      <c r="J741" t="s">
        <v>2333</v>
      </c>
      <c r="K741" t="s">
        <v>7886</v>
      </c>
      <c r="L741" t="s">
        <v>7893</v>
      </c>
      <c r="M741" t="s">
        <v>46</v>
      </c>
      <c r="N741" t="s">
        <v>33</v>
      </c>
      <c r="O741" s="17">
        <v>812500</v>
      </c>
      <c r="P741" s="17" t="s">
        <v>7854</v>
      </c>
      <c r="Q741" s="22">
        <v>0</v>
      </c>
      <c r="R741" s="22" t="s">
        <v>7854</v>
      </c>
      <c r="S741" s="24">
        <v>162500</v>
      </c>
      <c r="T741" s="24" t="s">
        <v>7854</v>
      </c>
      <c r="U741" t="s">
        <v>5016</v>
      </c>
    </row>
    <row r="742" spans="1:21" x14ac:dyDescent="0.25">
      <c r="A742">
        <v>752</v>
      </c>
      <c r="B742">
        <v>24442</v>
      </c>
      <c r="C742" t="s">
        <v>5017</v>
      </c>
      <c r="D742" t="s">
        <v>7555</v>
      </c>
      <c r="E742" t="s">
        <v>5019</v>
      </c>
      <c r="F742" t="s">
        <v>53</v>
      </c>
      <c r="G742" t="s">
        <v>5020</v>
      </c>
      <c r="H742" t="s">
        <v>43</v>
      </c>
      <c r="I742" s="13" t="s">
        <v>5021</v>
      </c>
      <c r="J742" t="s">
        <v>31</v>
      </c>
      <c r="K742" t="s">
        <v>7879</v>
      </c>
      <c r="L742" t="s">
        <v>7893</v>
      </c>
      <c r="M742" t="s">
        <v>46</v>
      </c>
      <c r="N742" t="s">
        <v>33</v>
      </c>
      <c r="O742" s="17">
        <v>195000</v>
      </c>
      <c r="P742" s="17" t="s">
        <v>7854</v>
      </c>
      <c r="Q742" s="22">
        <v>0</v>
      </c>
      <c r="R742" s="22" t="s">
        <v>7854</v>
      </c>
      <c r="S742" s="24">
        <v>0</v>
      </c>
      <c r="T742" s="24" t="s">
        <v>7854</v>
      </c>
      <c r="U742" t="s">
        <v>5022</v>
      </c>
    </row>
    <row r="743" spans="1:21" x14ac:dyDescent="0.25">
      <c r="A743">
        <v>753</v>
      </c>
      <c r="B743">
        <v>24515</v>
      </c>
      <c r="C743" t="s">
        <v>5023</v>
      </c>
      <c r="D743" t="s">
        <v>7556</v>
      </c>
      <c r="E743" t="s">
        <v>5026</v>
      </c>
      <c r="F743" t="s">
        <v>28</v>
      </c>
      <c r="G743" t="s">
        <v>5027</v>
      </c>
      <c r="H743" t="s">
        <v>43</v>
      </c>
      <c r="I743" s="13" t="s">
        <v>5028</v>
      </c>
      <c r="J743" t="s">
        <v>31</v>
      </c>
      <c r="K743" t="s">
        <v>7879</v>
      </c>
      <c r="L743" t="s">
        <v>7940</v>
      </c>
      <c r="M743" t="s">
        <v>46</v>
      </c>
      <c r="N743" t="s">
        <v>33</v>
      </c>
      <c r="O743" s="17">
        <v>195000</v>
      </c>
      <c r="P743" s="17" t="s">
        <v>7854</v>
      </c>
      <c r="Q743" s="22">
        <v>0</v>
      </c>
      <c r="R743" s="22" t="s">
        <v>7854</v>
      </c>
      <c r="S743" s="24">
        <v>0</v>
      </c>
      <c r="T743" s="24" t="s">
        <v>7854</v>
      </c>
      <c r="U743" t="s">
        <v>5029</v>
      </c>
    </row>
    <row r="744" spans="1:21" x14ac:dyDescent="0.25">
      <c r="A744">
        <v>754</v>
      </c>
      <c r="B744">
        <v>21840</v>
      </c>
      <c r="C744" t="s">
        <v>5030</v>
      </c>
      <c r="D744" t="s">
        <v>7557</v>
      </c>
      <c r="E744" t="s">
        <v>5034</v>
      </c>
      <c r="F744" t="s">
        <v>53</v>
      </c>
      <c r="G744" t="s">
        <v>5035</v>
      </c>
      <c r="H744" t="s">
        <v>43</v>
      </c>
      <c r="I744" s="13" t="s">
        <v>5036</v>
      </c>
      <c r="J744" t="s">
        <v>31</v>
      </c>
      <c r="K744" t="s">
        <v>7881</v>
      </c>
      <c r="L744" t="s">
        <v>7893</v>
      </c>
      <c r="M744" t="s">
        <v>46</v>
      </c>
      <c r="N744" t="s">
        <v>33</v>
      </c>
      <c r="O744" s="17">
        <v>552500</v>
      </c>
      <c r="P744" s="17" t="s">
        <v>7854</v>
      </c>
      <c r="Q744" s="22">
        <v>0</v>
      </c>
      <c r="R744" s="22" t="s">
        <v>7854</v>
      </c>
      <c r="S744" s="24">
        <v>0</v>
      </c>
      <c r="T744" s="24" t="s">
        <v>7854</v>
      </c>
      <c r="U744" t="s">
        <v>5037</v>
      </c>
    </row>
    <row r="745" spans="1:21" x14ac:dyDescent="0.25">
      <c r="A745">
        <v>755</v>
      </c>
      <c r="B745">
        <v>24116</v>
      </c>
      <c r="C745" t="s">
        <v>5038</v>
      </c>
      <c r="D745" t="s">
        <v>7558</v>
      </c>
      <c r="E745" t="s">
        <v>5041</v>
      </c>
      <c r="F745" t="s">
        <v>28</v>
      </c>
      <c r="G745" t="s">
        <v>480</v>
      </c>
      <c r="H745" t="s">
        <v>453</v>
      </c>
      <c r="I745" s="12">
        <v>233541090645</v>
      </c>
      <c r="J745" t="s">
        <v>31</v>
      </c>
      <c r="K745" t="s">
        <v>7879</v>
      </c>
      <c r="L745" t="s">
        <v>8028</v>
      </c>
      <c r="M745" t="s">
        <v>455</v>
      </c>
      <c r="N745" t="s">
        <v>130</v>
      </c>
      <c r="O745" s="17" t="s">
        <v>7854</v>
      </c>
      <c r="P745" s="17">
        <v>150</v>
      </c>
      <c r="Q745" s="22" t="s">
        <v>7854</v>
      </c>
      <c r="R745" s="22">
        <v>0</v>
      </c>
      <c r="S745" s="24" t="s">
        <v>7854</v>
      </c>
      <c r="T745" s="24">
        <v>0</v>
      </c>
      <c r="U745" t="s">
        <v>5042</v>
      </c>
    </row>
    <row r="746" spans="1:21" x14ac:dyDescent="0.25">
      <c r="A746">
        <v>756</v>
      </c>
      <c r="B746">
        <v>8369</v>
      </c>
      <c r="C746" t="s">
        <v>5043</v>
      </c>
      <c r="D746" t="s">
        <v>7559</v>
      </c>
      <c r="E746" t="s">
        <v>5047</v>
      </c>
      <c r="F746" t="s">
        <v>28</v>
      </c>
      <c r="G746" t="s">
        <v>822</v>
      </c>
      <c r="H746" t="s">
        <v>43</v>
      </c>
      <c r="I746" s="13" t="s">
        <v>5048</v>
      </c>
      <c r="J746" t="s">
        <v>31</v>
      </c>
      <c r="K746" t="s">
        <v>7886</v>
      </c>
      <c r="L746" t="s">
        <v>7981</v>
      </c>
      <c r="M746" t="s">
        <v>46</v>
      </c>
      <c r="N746" t="s">
        <v>33</v>
      </c>
      <c r="O746" s="17">
        <v>812500</v>
      </c>
      <c r="P746" s="17" t="s">
        <v>7854</v>
      </c>
      <c r="Q746" s="22">
        <v>0</v>
      </c>
      <c r="R746" s="22" t="s">
        <v>7854</v>
      </c>
      <c r="S746" s="24">
        <v>162500</v>
      </c>
      <c r="T746" s="24" t="s">
        <v>7854</v>
      </c>
      <c r="U746" t="s">
        <v>5049</v>
      </c>
    </row>
    <row r="747" spans="1:21" x14ac:dyDescent="0.25">
      <c r="A747">
        <v>758</v>
      </c>
      <c r="B747">
        <v>24100</v>
      </c>
      <c r="C747" t="s">
        <v>5050</v>
      </c>
      <c r="D747" t="s">
        <v>7560</v>
      </c>
      <c r="E747" t="s">
        <v>5053</v>
      </c>
      <c r="F747" t="s">
        <v>53</v>
      </c>
      <c r="G747" t="s">
        <v>5054</v>
      </c>
      <c r="H747" t="s">
        <v>43</v>
      </c>
      <c r="I747" s="13" t="s">
        <v>5055</v>
      </c>
      <c r="J747" t="s">
        <v>31</v>
      </c>
      <c r="K747" t="s">
        <v>7879</v>
      </c>
      <c r="L747" t="s">
        <v>8028</v>
      </c>
      <c r="M747" t="s">
        <v>87</v>
      </c>
      <c r="N747" t="s">
        <v>33</v>
      </c>
      <c r="O747" s="17">
        <v>195000</v>
      </c>
      <c r="P747" s="17" t="s">
        <v>7854</v>
      </c>
      <c r="Q747" s="22">
        <v>0</v>
      </c>
      <c r="R747" s="22" t="s">
        <v>7854</v>
      </c>
      <c r="S747" s="24">
        <v>0</v>
      </c>
      <c r="T747" s="24" t="s">
        <v>7854</v>
      </c>
      <c r="U747" t="s">
        <v>5056</v>
      </c>
    </row>
    <row r="748" spans="1:21" x14ac:dyDescent="0.25">
      <c r="A748">
        <v>759</v>
      </c>
      <c r="B748">
        <v>6079</v>
      </c>
      <c r="C748" t="s">
        <v>5057</v>
      </c>
      <c r="D748" t="s">
        <v>7561</v>
      </c>
      <c r="E748" t="s">
        <v>5061</v>
      </c>
      <c r="F748" t="s">
        <v>53</v>
      </c>
      <c r="G748" t="s">
        <v>5062</v>
      </c>
      <c r="H748" t="s">
        <v>453</v>
      </c>
      <c r="I748" s="12">
        <v>233543260344</v>
      </c>
      <c r="J748" t="s">
        <v>31</v>
      </c>
      <c r="K748" t="s">
        <v>7881</v>
      </c>
      <c r="L748" t="s">
        <v>7893</v>
      </c>
      <c r="M748" t="s">
        <v>455</v>
      </c>
      <c r="N748" t="s">
        <v>130</v>
      </c>
      <c r="O748" s="17" t="s">
        <v>7854</v>
      </c>
      <c r="P748" s="17">
        <v>425</v>
      </c>
      <c r="Q748" s="22" t="s">
        <v>7854</v>
      </c>
      <c r="R748" s="22">
        <v>0</v>
      </c>
      <c r="S748" s="24" t="s">
        <v>7854</v>
      </c>
      <c r="T748" s="24">
        <v>0</v>
      </c>
      <c r="U748" t="s">
        <v>5063</v>
      </c>
    </row>
    <row r="749" spans="1:21" x14ac:dyDescent="0.25">
      <c r="A749">
        <v>760</v>
      </c>
      <c r="B749">
        <v>24379</v>
      </c>
      <c r="C749" t="s">
        <v>5064</v>
      </c>
      <c r="D749" t="s">
        <v>7562</v>
      </c>
      <c r="E749" t="s">
        <v>5068</v>
      </c>
      <c r="F749" t="s">
        <v>28</v>
      </c>
      <c r="G749" t="s">
        <v>5069</v>
      </c>
      <c r="H749" t="s">
        <v>43</v>
      </c>
      <c r="I749" s="13" t="s">
        <v>5070</v>
      </c>
      <c r="J749" t="s">
        <v>31</v>
      </c>
      <c r="K749" t="s">
        <v>7879</v>
      </c>
      <c r="L749" t="s">
        <v>8028</v>
      </c>
      <c r="M749" t="s">
        <v>63</v>
      </c>
      <c r="N749" t="s">
        <v>33</v>
      </c>
      <c r="O749" s="17">
        <v>195000</v>
      </c>
      <c r="P749" s="17" t="s">
        <v>7854</v>
      </c>
      <c r="Q749" s="22">
        <v>0</v>
      </c>
      <c r="R749" s="22" t="s">
        <v>7854</v>
      </c>
      <c r="S749" s="24">
        <v>0</v>
      </c>
      <c r="T749" s="24" t="s">
        <v>7854</v>
      </c>
      <c r="U749" t="s">
        <v>5071</v>
      </c>
    </row>
    <row r="750" spans="1:21" x14ac:dyDescent="0.25">
      <c r="A750">
        <v>761</v>
      </c>
      <c r="B750">
        <v>22441</v>
      </c>
      <c r="C750" t="s">
        <v>5072</v>
      </c>
      <c r="D750" t="s">
        <v>7563</v>
      </c>
      <c r="E750" t="s">
        <v>5074</v>
      </c>
      <c r="F750" t="s">
        <v>28</v>
      </c>
      <c r="G750" t="s">
        <v>5075</v>
      </c>
      <c r="H750" t="s">
        <v>43</v>
      </c>
      <c r="I750" s="13" t="s">
        <v>5076</v>
      </c>
      <c r="J750" t="s">
        <v>31</v>
      </c>
      <c r="K750" t="s">
        <v>7879</v>
      </c>
      <c r="L750" t="s">
        <v>7981</v>
      </c>
      <c r="M750" t="s">
        <v>87</v>
      </c>
      <c r="N750" t="s">
        <v>33</v>
      </c>
      <c r="O750" s="17">
        <v>195000</v>
      </c>
      <c r="P750" s="17" t="s">
        <v>7854</v>
      </c>
      <c r="Q750" s="22">
        <v>0</v>
      </c>
      <c r="R750" s="22" t="s">
        <v>7854</v>
      </c>
      <c r="S750" s="24">
        <v>0</v>
      </c>
      <c r="T750" s="24" t="s">
        <v>7854</v>
      </c>
      <c r="U750" t="s">
        <v>5077</v>
      </c>
    </row>
    <row r="751" spans="1:21" x14ac:dyDescent="0.25">
      <c r="A751">
        <v>762</v>
      </c>
      <c r="B751">
        <v>3719</v>
      </c>
      <c r="C751" t="s">
        <v>5078</v>
      </c>
      <c r="D751" t="s">
        <v>7564</v>
      </c>
      <c r="E751" t="s">
        <v>5081</v>
      </c>
      <c r="F751" t="s">
        <v>28</v>
      </c>
      <c r="G751" t="s">
        <v>5082</v>
      </c>
      <c r="H751" t="s">
        <v>43</v>
      </c>
      <c r="I751" s="13" t="s">
        <v>5083</v>
      </c>
      <c r="J751" t="s">
        <v>31</v>
      </c>
      <c r="K751" t="s">
        <v>7886</v>
      </c>
      <c r="L751" t="s">
        <v>7981</v>
      </c>
      <c r="M751" t="s">
        <v>46</v>
      </c>
      <c r="N751" t="s">
        <v>33</v>
      </c>
      <c r="O751" s="17">
        <v>812500</v>
      </c>
      <c r="P751" s="17" t="s">
        <v>7854</v>
      </c>
      <c r="Q751" s="22">
        <v>0</v>
      </c>
      <c r="R751" s="22" t="s">
        <v>7854</v>
      </c>
      <c r="S751" s="24">
        <v>162500</v>
      </c>
      <c r="T751" s="24" t="s">
        <v>7854</v>
      </c>
      <c r="U751" t="s">
        <v>5084</v>
      </c>
    </row>
    <row r="752" spans="1:21" x14ac:dyDescent="0.25">
      <c r="A752">
        <v>763</v>
      </c>
      <c r="B752">
        <v>24356</v>
      </c>
      <c r="C752" t="s">
        <v>5085</v>
      </c>
      <c r="D752" t="s">
        <v>7565</v>
      </c>
      <c r="E752" t="s">
        <v>5088</v>
      </c>
      <c r="F752" t="s">
        <v>53</v>
      </c>
      <c r="G752" t="s">
        <v>5089</v>
      </c>
      <c r="H752" t="s">
        <v>43</v>
      </c>
      <c r="I752" s="13" t="s">
        <v>5090</v>
      </c>
      <c r="J752" t="s">
        <v>31</v>
      </c>
      <c r="K752" t="s">
        <v>7879</v>
      </c>
      <c r="L752" t="s">
        <v>8028</v>
      </c>
      <c r="M752" t="s">
        <v>63</v>
      </c>
      <c r="N752" t="s">
        <v>33</v>
      </c>
      <c r="O752" s="17">
        <v>195000</v>
      </c>
      <c r="P752" s="17" t="s">
        <v>7854</v>
      </c>
      <c r="Q752" s="22">
        <v>0</v>
      </c>
      <c r="R752" s="22" t="s">
        <v>7854</v>
      </c>
      <c r="S752" s="24">
        <v>0</v>
      </c>
      <c r="T752" s="24" t="s">
        <v>7854</v>
      </c>
      <c r="U752" t="s">
        <v>5091</v>
      </c>
    </row>
    <row r="753" spans="1:21" x14ac:dyDescent="0.25">
      <c r="A753">
        <v>764</v>
      </c>
      <c r="B753">
        <v>8111</v>
      </c>
      <c r="C753" t="s">
        <v>5092</v>
      </c>
      <c r="D753" t="s">
        <v>7566</v>
      </c>
      <c r="E753" t="s">
        <v>5096</v>
      </c>
      <c r="F753" t="s">
        <v>28</v>
      </c>
      <c r="G753" t="s">
        <v>5097</v>
      </c>
      <c r="H753" t="s">
        <v>43</v>
      </c>
      <c r="I753" s="13" t="s">
        <v>5098</v>
      </c>
      <c r="J753" t="s">
        <v>31</v>
      </c>
      <c r="K753" t="s">
        <v>7881</v>
      </c>
      <c r="L753" t="s">
        <v>7940</v>
      </c>
      <c r="M753" t="s">
        <v>63</v>
      </c>
      <c r="N753" t="s">
        <v>33</v>
      </c>
      <c r="O753" s="17">
        <v>552500</v>
      </c>
      <c r="P753" s="17" t="s">
        <v>7854</v>
      </c>
      <c r="Q753" s="22">
        <v>0</v>
      </c>
      <c r="R753" s="22" t="s">
        <v>7854</v>
      </c>
      <c r="S753" s="24">
        <v>0</v>
      </c>
      <c r="T753" s="24" t="s">
        <v>7854</v>
      </c>
      <c r="U753" t="s">
        <v>5099</v>
      </c>
    </row>
    <row r="754" spans="1:21" x14ac:dyDescent="0.25">
      <c r="A754">
        <v>766</v>
      </c>
      <c r="B754">
        <v>280</v>
      </c>
      <c r="C754" t="s">
        <v>5100</v>
      </c>
      <c r="D754" t="s">
        <v>7567</v>
      </c>
      <c r="E754" t="s">
        <v>5103</v>
      </c>
      <c r="F754" t="s">
        <v>28</v>
      </c>
      <c r="G754" t="s">
        <v>5104</v>
      </c>
      <c r="H754" t="s">
        <v>43</v>
      </c>
      <c r="I754" s="12">
        <v>2348033200796</v>
      </c>
      <c r="J754" t="s">
        <v>2333</v>
      </c>
      <c r="K754" t="s">
        <v>7886</v>
      </c>
      <c r="L754" t="s">
        <v>8028</v>
      </c>
      <c r="M754" t="s">
        <v>63</v>
      </c>
      <c r="N754" t="s">
        <v>33</v>
      </c>
      <c r="O754" s="17">
        <v>812500</v>
      </c>
      <c r="P754" s="17" t="s">
        <v>7854</v>
      </c>
      <c r="Q754" s="22">
        <v>0</v>
      </c>
      <c r="R754" s="22" t="s">
        <v>7854</v>
      </c>
      <c r="S754" s="24">
        <v>162500</v>
      </c>
      <c r="T754" s="24" t="s">
        <v>7854</v>
      </c>
      <c r="U754" t="s">
        <v>5105</v>
      </c>
    </row>
    <row r="755" spans="1:21" x14ac:dyDescent="0.25">
      <c r="A755">
        <v>767</v>
      </c>
      <c r="B755">
        <v>18867</v>
      </c>
      <c r="C755" t="s">
        <v>5106</v>
      </c>
      <c r="D755" t="s">
        <v>7568</v>
      </c>
      <c r="E755" t="s">
        <v>5109</v>
      </c>
      <c r="F755" t="s">
        <v>28</v>
      </c>
      <c r="G755" t="s">
        <v>5110</v>
      </c>
      <c r="H755" t="s">
        <v>453</v>
      </c>
      <c r="I755" s="13" t="s">
        <v>5111</v>
      </c>
      <c r="J755" t="s">
        <v>31</v>
      </c>
      <c r="K755" t="s">
        <v>7879</v>
      </c>
      <c r="L755" t="s">
        <v>7940</v>
      </c>
      <c r="M755" t="s">
        <v>455</v>
      </c>
      <c r="N755" t="s">
        <v>130</v>
      </c>
      <c r="O755" s="17" t="s">
        <v>7854</v>
      </c>
      <c r="P755" s="17">
        <v>150</v>
      </c>
      <c r="Q755" s="22" t="s">
        <v>7854</v>
      </c>
      <c r="R755" s="22">
        <v>0</v>
      </c>
      <c r="S755" s="24" t="s">
        <v>7854</v>
      </c>
      <c r="T755" s="24">
        <v>0</v>
      </c>
      <c r="U755" t="s">
        <v>5112</v>
      </c>
    </row>
    <row r="756" spans="1:21" x14ac:dyDescent="0.25">
      <c r="A756">
        <v>768</v>
      </c>
      <c r="B756">
        <v>24511</v>
      </c>
      <c r="C756" t="s">
        <v>5113</v>
      </c>
      <c r="D756" t="s">
        <v>7569</v>
      </c>
      <c r="E756" t="s">
        <v>5117</v>
      </c>
      <c r="F756" t="s">
        <v>28</v>
      </c>
      <c r="G756" t="s">
        <v>3575</v>
      </c>
      <c r="H756" t="s">
        <v>43</v>
      </c>
      <c r="I756" s="13" t="s">
        <v>5118</v>
      </c>
      <c r="J756" t="s">
        <v>31</v>
      </c>
      <c r="K756" t="s">
        <v>7879</v>
      </c>
      <c r="L756" t="s">
        <v>7893</v>
      </c>
      <c r="M756" t="s">
        <v>46</v>
      </c>
      <c r="N756" t="s">
        <v>33</v>
      </c>
      <c r="O756" s="17">
        <v>195000</v>
      </c>
      <c r="P756" s="17" t="s">
        <v>7854</v>
      </c>
      <c r="Q756" s="22">
        <v>0</v>
      </c>
      <c r="R756" s="22" t="s">
        <v>7854</v>
      </c>
      <c r="S756" s="24">
        <v>0</v>
      </c>
      <c r="T756" s="24" t="s">
        <v>7854</v>
      </c>
      <c r="U756" t="s">
        <v>5119</v>
      </c>
    </row>
    <row r="757" spans="1:21" x14ac:dyDescent="0.25">
      <c r="A757">
        <v>769</v>
      </c>
      <c r="B757">
        <v>10683</v>
      </c>
      <c r="C757" t="s">
        <v>5120</v>
      </c>
      <c r="D757" t="s">
        <v>7570</v>
      </c>
      <c r="E757" t="s">
        <v>5123</v>
      </c>
      <c r="F757" t="s">
        <v>28</v>
      </c>
      <c r="G757" t="s">
        <v>5123</v>
      </c>
      <c r="H757" t="s">
        <v>43</v>
      </c>
      <c r="I757" s="13" t="s">
        <v>5124</v>
      </c>
      <c r="J757" t="s">
        <v>45</v>
      </c>
      <c r="K757" t="s">
        <v>7881</v>
      </c>
      <c r="L757" t="s">
        <v>7893</v>
      </c>
      <c r="M757" t="s">
        <v>46</v>
      </c>
      <c r="N757" t="s">
        <v>33</v>
      </c>
      <c r="O757" s="17">
        <v>552500</v>
      </c>
      <c r="P757" s="17" t="s">
        <v>7854</v>
      </c>
      <c r="Q757" s="22">
        <v>0</v>
      </c>
      <c r="R757" s="22" t="s">
        <v>7854</v>
      </c>
      <c r="S757" s="24">
        <v>0</v>
      </c>
      <c r="T757" s="24" t="s">
        <v>7854</v>
      </c>
      <c r="U757" t="s">
        <v>5125</v>
      </c>
    </row>
    <row r="758" spans="1:21" ht="33" customHeight="1" x14ac:dyDescent="0.25">
      <c r="A758">
        <v>770</v>
      </c>
      <c r="B758">
        <v>22344</v>
      </c>
      <c r="C758" t="s">
        <v>5126</v>
      </c>
      <c r="D758" t="s">
        <v>7571</v>
      </c>
      <c r="E758" t="s">
        <v>952</v>
      </c>
      <c r="F758" t="s">
        <v>28</v>
      </c>
      <c r="G758" t="s">
        <v>952</v>
      </c>
      <c r="H758" t="s">
        <v>453</v>
      </c>
      <c r="I758" s="13" t="s">
        <v>5130</v>
      </c>
      <c r="J758" t="s">
        <v>31</v>
      </c>
      <c r="K758" t="s">
        <v>7881</v>
      </c>
      <c r="L758" t="s">
        <v>8028</v>
      </c>
      <c r="M758" t="s">
        <v>455</v>
      </c>
      <c r="N758" t="s">
        <v>130</v>
      </c>
      <c r="O758" s="17" t="s">
        <v>7854</v>
      </c>
      <c r="P758" s="17">
        <v>425</v>
      </c>
      <c r="Q758" s="22" t="s">
        <v>7854</v>
      </c>
      <c r="R758" s="22">
        <v>0</v>
      </c>
      <c r="S758" s="24" t="s">
        <v>7854</v>
      </c>
      <c r="T758" s="24">
        <v>0</v>
      </c>
      <c r="U758" t="s">
        <v>5131</v>
      </c>
    </row>
    <row r="759" spans="1:21" x14ac:dyDescent="0.25">
      <c r="A759">
        <v>771</v>
      </c>
      <c r="B759">
        <v>9861</v>
      </c>
      <c r="C759" t="s">
        <v>5132</v>
      </c>
      <c r="D759" t="s">
        <v>7572</v>
      </c>
      <c r="E759" t="s">
        <v>5136</v>
      </c>
      <c r="F759" t="s">
        <v>53</v>
      </c>
      <c r="G759" t="s">
        <v>5137</v>
      </c>
      <c r="H759" t="s">
        <v>43</v>
      </c>
      <c r="I759" s="12">
        <v>8055351938</v>
      </c>
      <c r="J759" t="s">
        <v>31</v>
      </c>
      <c r="K759" t="s">
        <v>7886</v>
      </c>
      <c r="L759" t="s">
        <v>7981</v>
      </c>
      <c r="M759" t="s">
        <v>63</v>
      </c>
      <c r="N759" t="s">
        <v>33</v>
      </c>
      <c r="O759" s="17">
        <v>812500</v>
      </c>
      <c r="P759" s="17" t="s">
        <v>7854</v>
      </c>
      <c r="Q759" s="22">
        <v>0</v>
      </c>
      <c r="R759" s="22" t="s">
        <v>7854</v>
      </c>
      <c r="S759" s="24">
        <v>162500</v>
      </c>
      <c r="T759" s="24" t="s">
        <v>7854</v>
      </c>
      <c r="U759" t="s">
        <v>5138</v>
      </c>
    </row>
    <row r="760" spans="1:21" x14ac:dyDescent="0.25">
      <c r="A760">
        <v>772</v>
      </c>
      <c r="B760">
        <v>22435</v>
      </c>
      <c r="C760" t="s">
        <v>5139</v>
      </c>
      <c r="D760" t="s">
        <v>7573</v>
      </c>
      <c r="E760" t="s">
        <v>5143</v>
      </c>
      <c r="F760" t="s">
        <v>28</v>
      </c>
      <c r="G760" t="s">
        <v>4446</v>
      </c>
      <c r="H760" t="s">
        <v>453</v>
      </c>
      <c r="I760" s="12">
        <v>233555368374</v>
      </c>
      <c r="J760" t="s">
        <v>31</v>
      </c>
      <c r="K760" t="s">
        <v>7881</v>
      </c>
      <c r="L760" t="s">
        <v>7888</v>
      </c>
      <c r="M760" t="s">
        <v>455</v>
      </c>
      <c r="N760" t="s">
        <v>130</v>
      </c>
      <c r="O760" s="17" t="s">
        <v>7854</v>
      </c>
      <c r="P760" s="17">
        <v>425</v>
      </c>
      <c r="Q760" s="22" t="s">
        <v>7854</v>
      </c>
      <c r="R760" s="22">
        <v>85</v>
      </c>
      <c r="S760" s="24" t="s">
        <v>7854</v>
      </c>
      <c r="T760" s="24">
        <v>0</v>
      </c>
      <c r="U760" t="s">
        <v>5144</v>
      </c>
    </row>
    <row r="761" spans="1:21" x14ac:dyDescent="0.25">
      <c r="A761">
        <v>773</v>
      </c>
      <c r="B761">
        <v>24453</v>
      </c>
      <c r="C761" t="s">
        <v>5145</v>
      </c>
      <c r="D761" t="s">
        <v>7574</v>
      </c>
      <c r="E761" t="s">
        <v>5148</v>
      </c>
      <c r="F761" t="s">
        <v>53</v>
      </c>
      <c r="G761" t="s">
        <v>1152</v>
      </c>
      <c r="H761" t="s">
        <v>30</v>
      </c>
      <c r="I761" s="12">
        <v>3476581</v>
      </c>
      <c r="J761" t="s">
        <v>31</v>
      </c>
      <c r="K761" t="s">
        <v>7879</v>
      </c>
      <c r="L761" t="s">
        <v>7893</v>
      </c>
      <c r="M761" t="s">
        <v>32</v>
      </c>
      <c r="N761" t="s">
        <v>33</v>
      </c>
      <c r="O761" s="17">
        <v>195000</v>
      </c>
      <c r="P761" s="17" t="s">
        <v>7854</v>
      </c>
      <c r="Q761" s="22">
        <v>0</v>
      </c>
      <c r="R761" s="22" t="s">
        <v>7854</v>
      </c>
      <c r="S761" s="24">
        <v>0</v>
      </c>
      <c r="T761" s="24" t="s">
        <v>7854</v>
      </c>
      <c r="U761" t="s">
        <v>5149</v>
      </c>
    </row>
    <row r="762" spans="1:21" x14ac:dyDescent="0.25">
      <c r="A762">
        <v>774</v>
      </c>
      <c r="B762">
        <v>24517</v>
      </c>
      <c r="C762" t="s">
        <v>5150</v>
      </c>
      <c r="D762" t="s">
        <v>7575</v>
      </c>
      <c r="E762" t="s">
        <v>5153</v>
      </c>
      <c r="F762" t="s">
        <v>28</v>
      </c>
      <c r="G762" t="s">
        <v>5154</v>
      </c>
      <c r="H762" t="s">
        <v>43</v>
      </c>
      <c r="I762" s="13" t="s">
        <v>5155</v>
      </c>
      <c r="J762" t="s">
        <v>31</v>
      </c>
      <c r="K762" t="s">
        <v>7879</v>
      </c>
      <c r="L762" t="s">
        <v>7893</v>
      </c>
      <c r="M762" t="s">
        <v>63</v>
      </c>
      <c r="N762" t="s">
        <v>33</v>
      </c>
      <c r="O762" s="17">
        <v>195000</v>
      </c>
      <c r="P762" s="17" t="s">
        <v>7854</v>
      </c>
      <c r="Q762" s="22">
        <v>0</v>
      </c>
      <c r="R762" s="22" t="s">
        <v>7854</v>
      </c>
      <c r="S762" s="24">
        <v>0</v>
      </c>
      <c r="T762" s="24" t="s">
        <v>7854</v>
      </c>
      <c r="U762" t="s">
        <v>5156</v>
      </c>
    </row>
    <row r="763" spans="1:21" x14ac:dyDescent="0.25">
      <c r="A763">
        <v>775</v>
      </c>
      <c r="B763">
        <v>849</v>
      </c>
      <c r="C763" t="s">
        <v>5157</v>
      </c>
      <c r="D763" t="s">
        <v>7576</v>
      </c>
      <c r="E763" t="s">
        <v>5160</v>
      </c>
      <c r="F763" t="s">
        <v>28</v>
      </c>
      <c r="G763" t="s">
        <v>5161</v>
      </c>
      <c r="H763" t="s">
        <v>43</v>
      </c>
      <c r="I763" s="12">
        <v>8137377727</v>
      </c>
      <c r="J763" t="s">
        <v>31</v>
      </c>
      <c r="K763" t="s">
        <v>7886</v>
      </c>
      <c r="L763" t="s">
        <v>7981</v>
      </c>
      <c r="M763" t="s">
        <v>63</v>
      </c>
      <c r="N763" t="s">
        <v>33</v>
      </c>
      <c r="O763" s="17">
        <v>812500</v>
      </c>
      <c r="P763" s="17" t="s">
        <v>7854</v>
      </c>
      <c r="Q763" s="22">
        <v>0</v>
      </c>
      <c r="R763" s="22" t="s">
        <v>7854</v>
      </c>
      <c r="S763" s="24">
        <v>162500</v>
      </c>
      <c r="T763" s="24" t="s">
        <v>7854</v>
      </c>
      <c r="U763" t="s">
        <v>5162</v>
      </c>
    </row>
    <row r="764" spans="1:21" x14ac:dyDescent="0.25">
      <c r="A764">
        <v>776</v>
      </c>
      <c r="B764">
        <v>22893</v>
      </c>
      <c r="C764" t="s">
        <v>5163</v>
      </c>
      <c r="D764" t="s">
        <v>7577</v>
      </c>
      <c r="E764" t="s">
        <v>32</v>
      </c>
      <c r="F764" t="s">
        <v>28</v>
      </c>
      <c r="G764" t="s">
        <v>5167</v>
      </c>
      <c r="H764" t="s">
        <v>30</v>
      </c>
      <c r="I764" s="12">
        <f>220-7568885</f>
        <v>-7568665</v>
      </c>
      <c r="J764" t="s">
        <v>45</v>
      </c>
      <c r="K764" t="s">
        <v>7879</v>
      </c>
      <c r="L764" t="s">
        <v>8028</v>
      </c>
      <c r="M764" t="s">
        <v>32</v>
      </c>
      <c r="N764" t="s">
        <v>33</v>
      </c>
      <c r="O764" s="17">
        <v>195000</v>
      </c>
      <c r="P764" s="17" t="s">
        <v>7854</v>
      </c>
      <c r="Q764" s="22">
        <v>0</v>
      </c>
      <c r="R764" s="22" t="s">
        <v>7854</v>
      </c>
      <c r="S764" s="24">
        <v>0</v>
      </c>
      <c r="T764" s="24" t="s">
        <v>7854</v>
      </c>
      <c r="U764" t="s">
        <v>5168</v>
      </c>
    </row>
    <row r="765" spans="1:21" x14ac:dyDescent="0.25">
      <c r="A765">
        <v>777</v>
      </c>
      <c r="B765">
        <v>22648</v>
      </c>
      <c r="C765" t="s">
        <v>5169</v>
      </c>
      <c r="D765" t="s">
        <v>7578</v>
      </c>
      <c r="E765" t="s">
        <v>5172</v>
      </c>
      <c r="F765" t="s">
        <v>28</v>
      </c>
      <c r="G765" t="s">
        <v>5173</v>
      </c>
      <c r="H765" t="s">
        <v>43</v>
      </c>
      <c r="I765" s="13" t="s">
        <v>5174</v>
      </c>
      <c r="J765" t="s">
        <v>31</v>
      </c>
      <c r="K765" t="s">
        <v>7881</v>
      </c>
      <c r="L765" t="s">
        <v>7940</v>
      </c>
      <c r="M765" t="s">
        <v>46</v>
      </c>
      <c r="N765" t="s">
        <v>33</v>
      </c>
      <c r="O765" s="17">
        <v>552500</v>
      </c>
      <c r="P765" s="17" t="s">
        <v>7854</v>
      </c>
      <c r="Q765" s="22">
        <v>0</v>
      </c>
      <c r="R765" s="22" t="s">
        <v>7854</v>
      </c>
      <c r="S765" s="24">
        <v>0</v>
      </c>
      <c r="T765" s="24" t="s">
        <v>7854</v>
      </c>
      <c r="U765" t="s">
        <v>5175</v>
      </c>
    </row>
    <row r="766" spans="1:21" x14ac:dyDescent="0.25">
      <c r="A766">
        <v>778</v>
      </c>
      <c r="B766">
        <v>767</v>
      </c>
      <c r="C766" t="s">
        <v>5177</v>
      </c>
      <c r="D766" t="s">
        <v>7579</v>
      </c>
      <c r="E766" t="s">
        <v>5181</v>
      </c>
      <c r="F766" t="s">
        <v>53</v>
      </c>
      <c r="G766" t="s">
        <v>5182</v>
      </c>
      <c r="H766" t="s">
        <v>43</v>
      </c>
      <c r="I766" s="13" t="s">
        <v>5183</v>
      </c>
      <c r="J766" t="s">
        <v>31</v>
      </c>
      <c r="K766" t="s">
        <v>7886</v>
      </c>
      <c r="L766" t="s">
        <v>7981</v>
      </c>
      <c r="M766" t="s">
        <v>63</v>
      </c>
      <c r="N766" t="s">
        <v>33</v>
      </c>
      <c r="O766" s="17">
        <v>812500</v>
      </c>
      <c r="P766" s="17" t="s">
        <v>7854</v>
      </c>
      <c r="Q766" s="22">
        <v>0</v>
      </c>
      <c r="R766" s="22" t="s">
        <v>7854</v>
      </c>
      <c r="S766" s="24">
        <v>162500</v>
      </c>
      <c r="T766" s="24" t="s">
        <v>7854</v>
      </c>
      <c r="U766" t="s">
        <v>5184</v>
      </c>
    </row>
    <row r="767" spans="1:21" x14ac:dyDescent="0.25">
      <c r="A767">
        <v>779</v>
      </c>
      <c r="B767">
        <v>8145</v>
      </c>
      <c r="C767" t="s">
        <v>5185</v>
      </c>
      <c r="D767" t="s">
        <v>7580</v>
      </c>
      <c r="E767" t="s">
        <v>5189</v>
      </c>
      <c r="F767" t="s">
        <v>28</v>
      </c>
      <c r="G767" t="s">
        <v>5190</v>
      </c>
      <c r="H767" t="s">
        <v>43</v>
      </c>
      <c r="I767" s="13" t="s">
        <v>5191</v>
      </c>
      <c r="J767" t="s">
        <v>45</v>
      </c>
      <c r="K767" t="s">
        <v>7881</v>
      </c>
      <c r="L767" t="s">
        <v>7893</v>
      </c>
      <c r="M767" t="s">
        <v>63</v>
      </c>
      <c r="N767" t="s">
        <v>33</v>
      </c>
      <c r="O767" s="17">
        <v>552500</v>
      </c>
      <c r="P767" s="17" t="s">
        <v>7854</v>
      </c>
      <c r="Q767" s="22">
        <v>0</v>
      </c>
      <c r="R767" s="22" t="s">
        <v>7854</v>
      </c>
      <c r="S767" s="24">
        <v>0</v>
      </c>
      <c r="T767" s="24" t="s">
        <v>7854</v>
      </c>
      <c r="U767" t="s">
        <v>5192</v>
      </c>
    </row>
    <row r="768" spans="1:21" x14ac:dyDescent="0.25">
      <c r="A768">
        <v>780</v>
      </c>
      <c r="B768">
        <v>5980</v>
      </c>
      <c r="C768" t="s">
        <v>5193</v>
      </c>
      <c r="D768" t="s">
        <v>7581</v>
      </c>
      <c r="E768" t="s">
        <v>7923</v>
      </c>
      <c r="F768" t="s">
        <v>53</v>
      </c>
      <c r="G768" t="s">
        <v>936</v>
      </c>
      <c r="H768" t="s">
        <v>43</v>
      </c>
      <c r="I768" s="12">
        <v>8038884836</v>
      </c>
      <c r="J768" t="s">
        <v>31</v>
      </c>
      <c r="K768" t="s">
        <v>7886</v>
      </c>
      <c r="L768" t="s">
        <v>7893</v>
      </c>
      <c r="M768" t="s">
        <v>46</v>
      </c>
      <c r="N768" t="s">
        <v>33</v>
      </c>
      <c r="O768" s="17">
        <v>812500</v>
      </c>
      <c r="P768" s="17" t="s">
        <v>7854</v>
      </c>
      <c r="Q768" s="22">
        <v>0</v>
      </c>
      <c r="R768" s="22" t="s">
        <v>7854</v>
      </c>
      <c r="S768" s="24">
        <v>162500</v>
      </c>
      <c r="T768" s="24" t="s">
        <v>7854</v>
      </c>
      <c r="U768" t="s">
        <v>5196</v>
      </c>
    </row>
    <row r="769" spans="1:21" x14ac:dyDescent="0.25">
      <c r="A769">
        <v>782</v>
      </c>
      <c r="B769">
        <v>10577</v>
      </c>
      <c r="C769" t="s">
        <v>5197</v>
      </c>
      <c r="D769" t="s">
        <v>7582</v>
      </c>
      <c r="E769" t="s">
        <v>5199</v>
      </c>
      <c r="F769" t="s">
        <v>53</v>
      </c>
      <c r="G769" t="s">
        <v>5200</v>
      </c>
      <c r="H769" t="s">
        <v>43</v>
      </c>
      <c r="I769" s="12">
        <v>2347037895301</v>
      </c>
      <c r="J769" t="s">
        <v>31</v>
      </c>
      <c r="K769" t="s">
        <v>7886</v>
      </c>
      <c r="L769" t="s">
        <v>7940</v>
      </c>
      <c r="M769" t="s">
        <v>63</v>
      </c>
      <c r="N769" t="s">
        <v>33</v>
      </c>
      <c r="O769" s="17">
        <v>812500</v>
      </c>
      <c r="P769" s="17" t="s">
        <v>7854</v>
      </c>
      <c r="Q769" s="22">
        <v>110500</v>
      </c>
      <c r="R769" s="22" t="s">
        <v>7854</v>
      </c>
      <c r="S769" s="24">
        <v>162500</v>
      </c>
      <c r="T769" s="24" t="s">
        <v>7854</v>
      </c>
      <c r="U769" t="s">
        <v>5201</v>
      </c>
    </row>
    <row r="770" spans="1:21" x14ac:dyDescent="0.25">
      <c r="A770">
        <v>783</v>
      </c>
      <c r="B770">
        <v>24240</v>
      </c>
      <c r="C770" t="s">
        <v>5202</v>
      </c>
      <c r="D770" t="s">
        <v>7583</v>
      </c>
      <c r="E770" t="s">
        <v>5204</v>
      </c>
      <c r="F770" t="s">
        <v>53</v>
      </c>
      <c r="G770" t="s">
        <v>5205</v>
      </c>
      <c r="H770" t="s">
        <v>43</v>
      </c>
      <c r="I770" s="13" t="s">
        <v>5206</v>
      </c>
      <c r="J770" t="s">
        <v>31</v>
      </c>
      <c r="K770" t="s">
        <v>7879</v>
      </c>
      <c r="L770" t="s">
        <v>7981</v>
      </c>
      <c r="M770" t="s">
        <v>63</v>
      </c>
      <c r="N770" t="s">
        <v>33</v>
      </c>
      <c r="O770" s="17">
        <v>195000</v>
      </c>
      <c r="P770" s="17" t="s">
        <v>7854</v>
      </c>
      <c r="Q770" s="22">
        <v>0</v>
      </c>
      <c r="R770" s="22" t="s">
        <v>7854</v>
      </c>
      <c r="S770" s="24">
        <v>0</v>
      </c>
      <c r="T770" s="24" t="s">
        <v>7854</v>
      </c>
      <c r="U770" t="s">
        <v>5207</v>
      </c>
    </row>
    <row r="771" spans="1:21" x14ac:dyDescent="0.25">
      <c r="A771">
        <v>784</v>
      </c>
      <c r="B771">
        <v>24432</v>
      </c>
      <c r="C771" t="s">
        <v>5208</v>
      </c>
      <c r="D771" t="s">
        <v>7584</v>
      </c>
      <c r="E771" t="s">
        <v>5209</v>
      </c>
      <c r="F771" t="s">
        <v>28</v>
      </c>
      <c r="G771" t="s">
        <v>5210</v>
      </c>
      <c r="H771" t="s">
        <v>43</v>
      </c>
      <c r="I771" s="13" t="s">
        <v>5211</v>
      </c>
      <c r="J771" t="s">
        <v>31</v>
      </c>
      <c r="K771" t="s">
        <v>7879</v>
      </c>
      <c r="L771" t="s">
        <v>7981</v>
      </c>
      <c r="M771" t="s">
        <v>46</v>
      </c>
      <c r="N771" t="s">
        <v>33</v>
      </c>
      <c r="O771" s="17">
        <v>195000</v>
      </c>
      <c r="P771" s="17" t="s">
        <v>7854</v>
      </c>
      <c r="Q771" s="22">
        <v>0</v>
      </c>
      <c r="R771" s="22" t="s">
        <v>7854</v>
      </c>
      <c r="S771" s="24">
        <v>0</v>
      </c>
      <c r="T771" s="24" t="s">
        <v>7854</v>
      </c>
      <c r="U771" t="s">
        <v>5212</v>
      </c>
    </row>
    <row r="772" spans="1:21" x14ac:dyDescent="0.25">
      <c r="A772">
        <v>785</v>
      </c>
      <c r="B772">
        <v>7924</v>
      </c>
      <c r="C772" t="s">
        <v>5213</v>
      </c>
      <c r="D772" t="s">
        <v>7585</v>
      </c>
      <c r="E772" t="s">
        <v>5215</v>
      </c>
      <c r="F772" t="s">
        <v>28</v>
      </c>
      <c r="G772" t="s">
        <v>5216</v>
      </c>
      <c r="H772" t="s">
        <v>43</v>
      </c>
      <c r="I772" s="12">
        <v>8038141104</v>
      </c>
      <c r="J772" t="s">
        <v>31</v>
      </c>
      <c r="K772" t="s">
        <v>7886</v>
      </c>
      <c r="L772" t="s">
        <v>7940</v>
      </c>
      <c r="M772" t="s">
        <v>46</v>
      </c>
      <c r="N772" t="s">
        <v>33</v>
      </c>
      <c r="O772" s="17">
        <v>812500</v>
      </c>
      <c r="P772" s="17" t="s">
        <v>7854</v>
      </c>
      <c r="Q772" s="22">
        <v>0</v>
      </c>
      <c r="R772" s="22" t="s">
        <v>7854</v>
      </c>
      <c r="S772" s="24">
        <v>162500</v>
      </c>
      <c r="T772" s="24" t="s">
        <v>7854</v>
      </c>
      <c r="U772" t="s">
        <v>5217</v>
      </c>
    </row>
    <row r="773" spans="1:21" x14ac:dyDescent="0.25">
      <c r="A773">
        <v>786</v>
      </c>
      <c r="B773">
        <v>10911</v>
      </c>
      <c r="C773" t="s">
        <v>5218</v>
      </c>
      <c r="D773" t="s">
        <v>7586</v>
      </c>
      <c r="E773" t="s">
        <v>7970</v>
      </c>
      <c r="F773" t="s">
        <v>28</v>
      </c>
      <c r="G773" t="s">
        <v>717</v>
      </c>
      <c r="H773" t="s">
        <v>43</v>
      </c>
      <c r="I773" s="12">
        <v>8038673056</v>
      </c>
      <c r="J773" t="s">
        <v>45</v>
      </c>
      <c r="K773" t="s">
        <v>7881</v>
      </c>
      <c r="L773" t="s">
        <v>7940</v>
      </c>
      <c r="M773" t="s">
        <v>87</v>
      </c>
      <c r="N773" t="s">
        <v>33</v>
      </c>
      <c r="O773" s="17">
        <v>552500</v>
      </c>
      <c r="P773" s="17" t="s">
        <v>7854</v>
      </c>
      <c r="Q773" s="22">
        <v>0</v>
      </c>
      <c r="R773" s="22" t="s">
        <v>7854</v>
      </c>
      <c r="S773" s="24">
        <v>0</v>
      </c>
      <c r="T773" s="24" t="s">
        <v>7854</v>
      </c>
      <c r="U773" t="s">
        <v>5221</v>
      </c>
    </row>
    <row r="774" spans="1:21" x14ac:dyDescent="0.25">
      <c r="A774">
        <v>787</v>
      </c>
      <c r="B774">
        <v>4051</v>
      </c>
      <c r="C774" t="s">
        <v>5222</v>
      </c>
      <c r="D774" t="s">
        <v>7587</v>
      </c>
      <c r="E774" t="s">
        <v>5225</v>
      </c>
      <c r="F774" t="s">
        <v>28</v>
      </c>
      <c r="G774" t="s">
        <v>1152</v>
      </c>
      <c r="H774" t="s">
        <v>30</v>
      </c>
      <c r="I774" s="12">
        <v>2207998784</v>
      </c>
      <c r="J774" t="s">
        <v>31</v>
      </c>
      <c r="K774" t="s">
        <v>7881</v>
      </c>
      <c r="L774" t="s">
        <v>7893</v>
      </c>
      <c r="M774" t="s">
        <v>32</v>
      </c>
      <c r="N774" t="s">
        <v>33</v>
      </c>
      <c r="O774" s="17">
        <v>552500</v>
      </c>
      <c r="P774" s="17" t="s">
        <v>7854</v>
      </c>
      <c r="Q774" s="22">
        <v>0</v>
      </c>
      <c r="R774" s="22" t="s">
        <v>7854</v>
      </c>
      <c r="S774" s="24">
        <v>0</v>
      </c>
      <c r="T774" s="24" t="s">
        <v>7854</v>
      </c>
      <c r="U774" t="s">
        <v>5226</v>
      </c>
    </row>
    <row r="775" spans="1:21" x14ac:dyDescent="0.25">
      <c r="A775">
        <v>788</v>
      </c>
      <c r="B775">
        <v>24527</v>
      </c>
      <c r="C775" t="s">
        <v>5227</v>
      </c>
      <c r="D775" t="s">
        <v>7588</v>
      </c>
      <c r="E775" t="s">
        <v>46</v>
      </c>
      <c r="F775" t="s">
        <v>28</v>
      </c>
      <c r="G775" t="s">
        <v>5230</v>
      </c>
      <c r="H775" t="s">
        <v>43</v>
      </c>
      <c r="I775" s="13" t="s">
        <v>5231</v>
      </c>
      <c r="J775" t="s">
        <v>31</v>
      </c>
      <c r="K775" t="s">
        <v>7879</v>
      </c>
      <c r="L775" t="s">
        <v>7893</v>
      </c>
      <c r="M775" t="s">
        <v>46</v>
      </c>
      <c r="N775" t="s">
        <v>33</v>
      </c>
      <c r="O775" s="17">
        <v>195000</v>
      </c>
      <c r="P775" s="17" t="s">
        <v>7854</v>
      </c>
      <c r="Q775" s="22">
        <v>0</v>
      </c>
      <c r="R775" s="22" t="s">
        <v>7854</v>
      </c>
      <c r="S775" s="24">
        <v>0</v>
      </c>
      <c r="T775" s="24" t="s">
        <v>7854</v>
      </c>
      <c r="U775" t="s">
        <v>5232</v>
      </c>
    </row>
    <row r="776" spans="1:21" x14ac:dyDescent="0.25">
      <c r="A776">
        <v>789</v>
      </c>
      <c r="B776">
        <v>24162</v>
      </c>
      <c r="C776" t="s">
        <v>5233</v>
      </c>
      <c r="D776" t="s">
        <v>7589</v>
      </c>
      <c r="E776" t="s">
        <v>5237</v>
      </c>
      <c r="F776" t="s">
        <v>53</v>
      </c>
      <c r="G776" t="s">
        <v>5238</v>
      </c>
      <c r="H776" t="s">
        <v>453</v>
      </c>
      <c r="I776" s="13" t="s">
        <v>5239</v>
      </c>
      <c r="J776" t="s">
        <v>31</v>
      </c>
      <c r="K776" t="s">
        <v>7879</v>
      </c>
      <c r="L776" t="s">
        <v>7893</v>
      </c>
      <c r="M776" t="s">
        <v>455</v>
      </c>
      <c r="N776" t="s">
        <v>130</v>
      </c>
      <c r="O776" s="17" t="s">
        <v>7854</v>
      </c>
      <c r="P776" s="17">
        <v>150</v>
      </c>
      <c r="Q776" s="22" t="s">
        <v>7854</v>
      </c>
      <c r="R776" s="22">
        <v>0</v>
      </c>
      <c r="S776" s="24" t="s">
        <v>7854</v>
      </c>
      <c r="T776" s="24">
        <v>0</v>
      </c>
      <c r="U776" t="s">
        <v>5240</v>
      </c>
    </row>
    <row r="777" spans="1:21" x14ac:dyDescent="0.25">
      <c r="A777">
        <v>790</v>
      </c>
      <c r="B777">
        <v>24531</v>
      </c>
      <c r="C777" t="s">
        <v>5241</v>
      </c>
      <c r="D777" t="s">
        <v>7590</v>
      </c>
      <c r="E777" t="s">
        <v>5245</v>
      </c>
      <c r="F777" t="s">
        <v>53</v>
      </c>
      <c r="G777" t="s">
        <v>5245</v>
      </c>
      <c r="H777" t="s">
        <v>43</v>
      </c>
      <c r="I777" s="13" t="s">
        <v>5246</v>
      </c>
      <c r="J777" t="s">
        <v>31</v>
      </c>
      <c r="K777" t="s">
        <v>7879</v>
      </c>
      <c r="L777" t="s">
        <v>7940</v>
      </c>
      <c r="M777" t="s">
        <v>46</v>
      </c>
      <c r="N777" t="s">
        <v>33</v>
      </c>
      <c r="O777" s="17">
        <v>195000</v>
      </c>
      <c r="P777" s="17" t="s">
        <v>7854</v>
      </c>
      <c r="Q777" s="22">
        <v>0</v>
      </c>
      <c r="R777" s="22" t="s">
        <v>7854</v>
      </c>
      <c r="S777" s="24">
        <v>0</v>
      </c>
      <c r="T777" s="24" t="s">
        <v>7854</v>
      </c>
      <c r="U777" t="s">
        <v>5247</v>
      </c>
    </row>
    <row r="778" spans="1:21" x14ac:dyDescent="0.25">
      <c r="A778">
        <v>791</v>
      </c>
      <c r="B778">
        <v>24169</v>
      </c>
      <c r="C778" t="s">
        <v>5248</v>
      </c>
      <c r="D778" t="s">
        <v>7591</v>
      </c>
      <c r="E778" t="s">
        <v>5251</v>
      </c>
      <c r="F778" t="s">
        <v>53</v>
      </c>
      <c r="G778" t="s">
        <v>524</v>
      </c>
      <c r="H778" t="s">
        <v>43</v>
      </c>
      <c r="I778" s="13" t="s">
        <v>5252</v>
      </c>
      <c r="J778" t="s">
        <v>31</v>
      </c>
      <c r="K778" t="s">
        <v>7879</v>
      </c>
      <c r="L778" t="s">
        <v>7940</v>
      </c>
      <c r="M778" t="s">
        <v>63</v>
      </c>
      <c r="N778" t="s">
        <v>33</v>
      </c>
      <c r="O778" s="17">
        <v>195000</v>
      </c>
      <c r="P778" s="17" t="s">
        <v>7854</v>
      </c>
      <c r="Q778" s="22">
        <v>0</v>
      </c>
      <c r="R778" s="22" t="s">
        <v>7854</v>
      </c>
      <c r="S778" s="24">
        <v>0</v>
      </c>
      <c r="T778" s="24" t="s">
        <v>7854</v>
      </c>
      <c r="U778" t="s">
        <v>5253</v>
      </c>
    </row>
    <row r="779" spans="1:21" x14ac:dyDescent="0.25">
      <c r="A779">
        <v>792</v>
      </c>
      <c r="B779">
        <v>24529</v>
      </c>
      <c r="C779" t="s">
        <v>5254</v>
      </c>
      <c r="D779" t="s">
        <v>7592</v>
      </c>
      <c r="E779" t="s">
        <v>5257</v>
      </c>
      <c r="F779" t="s">
        <v>53</v>
      </c>
      <c r="G779" t="s">
        <v>5258</v>
      </c>
      <c r="H779" t="s">
        <v>43</v>
      </c>
      <c r="I779" s="13" t="s">
        <v>5259</v>
      </c>
      <c r="J779" t="s">
        <v>31</v>
      </c>
      <c r="K779" t="s">
        <v>7879</v>
      </c>
      <c r="L779" t="s">
        <v>7981</v>
      </c>
      <c r="M779" t="s">
        <v>87</v>
      </c>
      <c r="N779" t="s">
        <v>33</v>
      </c>
      <c r="O779" s="17">
        <v>195000</v>
      </c>
      <c r="P779" s="17" t="s">
        <v>7854</v>
      </c>
      <c r="Q779" s="22">
        <v>0</v>
      </c>
      <c r="R779" s="22" t="s">
        <v>7854</v>
      </c>
      <c r="S779" s="24">
        <v>0</v>
      </c>
      <c r="T779" s="24" t="s">
        <v>7854</v>
      </c>
      <c r="U779" t="s">
        <v>5260</v>
      </c>
    </row>
    <row r="780" spans="1:21" x14ac:dyDescent="0.25">
      <c r="A780">
        <v>793</v>
      </c>
      <c r="B780">
        <v>9115</v>
      </c>
      <c r="C780" t="s">
        <v>5261</v>
      </c>
      <c r="D780" t="s">
        <v>7593</v>
      </c>
      <c r="E780" t="s">
        <v>5265</v>
      </c>
      <c r="F780" t="s">
        <v>28</v>
      </c>
      <c r="G780" t="s">
        <v>3926</v>
      </c>
      <c r="H780" t="s">
        <v>43</v>
      </c>
      <c r="I780" s="12">
        <v>7032704997</v>
      </c>
      <c r="J780" t="s">
        <v>31</v>
      </c>
      <c r="K780" t="s">
        <v>7881</v>
      </c>
      <c r="L780" t="s">
        <v>7888</v>
      </c>
      <c r="M780" t="s">
        <v>46</v>
      </c>
      <c r="N780" t="s">
        <v>33</v>
      </c>
      <c r="O780" s="17">
        <v>552500</v>
      </c>
      <c r="P780" s="17" t="s">
        <v>7854</v>
      </c>
      <c r="Q780" s="22">
        <v>110500</v>
      </c>
      <c r="R780" s="22" t="s">
        <v>7854</v>
      </c>
      <c r="S780" s="24">
        <v>0</v>
      </c>
      <c r="T780" s="24" t="s">
        <v>7854</v>
      </c>
      <c r="U780" t="s">
        <v>5266</v>
      </c>
    </row>
    <row r="781" spans="1:21" x14ac:dyDescent="0.25">
      <c r="A781">
        <v>794</v>
      </c>
      <c r="B781">
        <v>2380</v>
      </c>
      <c r="C781" t="s">
        <v>5267</v>
      </c>
      <c r="D781" t="s">
        <v>7594</v>
      </c>
      <c r="E781" t="s">
        <v>8016</v>
      </c>
      <c r="F781" t="s">
        <v>53</v>
      </c>
      <c r="G781" t="s">
        <v>5269</v>
      </c>
      <c r="H781" t="s">
        <v>43</v>
      </c>
      <c r="I781" s="12">
        <v>8061672473</v>
      </c>
      <c r="J781" t="s">
        <v>31</v>
      </c>
      <c r="K781" t="s">
        <v>7886</v>
      </c>
      <c r="L781" t="s">
        <v>7981</v>
      </c>
      <c r="M781" t="s">
        <v>46</v>
      </c>
      <c r="N781" t="s">
        <v>33</v>
      </c>
      <c r="O781" s="17">
        <v>812500</v>
      </c>
      <c r="P781" s="17" t="s">
        <v>7854</v>
      </c>
      <c r="Q781" s="22">
        <v>0</v>
      </c>
      <c r="R781" s="22" t="s">
        <v>7854</v>
      </c>
      <c r="S781" s="24">
        <v>162500</v>
      </c>
      <c r="T781" s="24" t="s">
        <v>7854</v>
      </c>
      <c r="U781" t="s">
        <v>5270</v>
      </c>
    </row>
    <row r="782" spans="1:21" x14ac:dyDescent="0.25">
      <c r="A782">
        <v>795</v>
      </c>
      <c r="B782">
        <v>21353</v>
      </c>
      <c r="C782" t="s">
        <v>5271</v>
      </c>
      <c r="D782" t="s">
        <v>7595</v>
      </c>
      <c r="E782" t="s">
        <v>8017</v>
      </c>
      <c r="F782" t="s">
        <v>28</v>
      </c>
      <c r="G782" t="s">
        <v>8018</v>
      </c>
      <c r="H782" t="s">
        <v>43</v>
      </c>
      <c r="I782" s="13" t="s">
        <v>5275</v>
      </c>
      <c r="J782" t="s">
        <v>45</v>
      </c>
      <c r="K782" t="s">
        <v>7881</v>
      </c>
      <c r="L782" t="s">
        <v>7981</v>
      </c>
      <c r="M782" t="s">
        <v>63</v>
      </c>
      <c r="N782" t="s">
        <v>33</v>
      </c>
      <c r="O782" s="17">
        <v>552500</v>
      </c>
      <c r="P782" s="17" t="s">
        <v>7854</v>
      </c>
      <c r="Q782" s="22">
        <v>0</v>
      </c>
      <c r="R782" s="22" t="s">
        <v>7854</v>
      </c>
      <c r="S782" s="24">
        <v>0</v>
      </c>
      <c r="T782" s="24" t="s">
        <v>7854</v>
      </c>
      <c r="U782" t="s">
        <v>5276</v>
      </c>
    </row>
    <row r="783" spans="1:21" x14ac:dyDescent="0.25">
      <c r="A783">
        <v>796</v>
      </c>
      <c r="B783">
        <v>19610</v>
      </c>
      <c r="C783" t="s">
        <v>5277</v>
      </c>
      <c r="D783" t="s">
        <v>7596</v>
      </c>
      <c r="E783" t="s">
        <v>5279</v>
      </c>
      <c r="F783" t="s">
        <v>53</v>
      </c>
      <c r="G783" t="s">
        <v>5280</v>
      </c>
      <c r="H783" t="s">
        <v>43</v>
      </c>
      <c r="I783" s="13" t="s">
        <v>5281</v>
      </c>
      <c r="J783" t="s">
        <v>31</v>
      </c>
      <c r="K783" t="s">
        <v>7881</v>
      </c>
      <c r="L783" t="s">
        <v>7893</v>
      </c>
      <c r="M783" t="s">
        <v>46</v>
      </c>
      <c r="N783" t="s">
        <v>33</v>
      </c>
      <c r="O783" s="17">
        <v>552500</v>
      </c>
      <c r="P783" s="17" t="s">
        <v>7854</v>
      </c>
      <c r="Q783" s="22">
        <v>0</v>
      </c>
      <c r="R783" s="22" t="s">
        <v>7854</v>
      </c>
      <c r="S783" s="24">
        <v>0</v>
      </c>
      <c r="T783" s="24" t="s">
        <v>7854</v>
      </c>
      <c r="U783" t="s">
        <v>5282</v>
      </c>
    </row>
    <row r="784" spans="1:21" x14ac:dyDescent="0.25">
      <c r="A784">
        <v>797</v>
      </c>
      <c r="B784">
        <v>1495</v>
      </c>
      <c r="C784" t="s">
        <v>5283</v>
      </c>
      <c r="D784" t="s">
        <v>7597</v>
      </c>
      <c r="E784" t="s">
        <v>5285</v>
      </c>
      <c r="F784" t="s">
        <v>53</v>
      </c>
      <c r="G784" t="s">
        <v>5286</v>
      </c>
      <c r="H784" t="s">
        <v>30</v>
      </c>
      <c r="I784" s="13" t="s">
        <v>5287</v>
      </c>
      <c r="J784" t="s">
        <v>45</v>
      </c>
      <c r="K784" t="s">
        <v>7881</v>
      </c>
      <c r="L784" t="s">
        <v>7981</v>
      </c>
      <c r="M784" t="s">
        <v>32</v>
      </c>
      <c r="N784" t="s">
        <v>33</v>
      </c>
      <c r="O784" s="17">
        <v>552500</v>
      </c>
      <c r="P784" s="17" t="s">
        <v>7854</v>
      </c>
      <c r="Q784" s="22">
        <v>0</v>
      </c>
      <c r="R784" s="22" t="s">
        <v>7854</v>
      </c>
      <c r="S784" s="24">
        <v>0</v>
      </c>
      <c r="T784" s="24" t="s">
        <v>7854</v>
      </c>
      <c r="U784" t="s">
        <v>5288</v>
      </c>
    </row>
    <row r="785" spans="1:21" x14ac:dyDescent="0.25">
      <c r="A785">
        <v>798</v>
      </c>
      <c r="B785">
        <v>18903</v>
      </c>
      <c r="C785" t="s">
        <v>5289</v>
      </c>
      <c r="D785" t="s">
        <v>7598</v>
      </c>
      <c r="E785" t="s">
        <v>5292</v>
      </c>
      <c r="F785" t="s">
        <v>53</v>
      </c>
      <c r="G785" t="s">
        <v>5293</v>
      </c>
      <c r="H785" t="s">
        <v>43</v>
      </c>
      <c r="I785" s="12">
        <v>2348034951044</v>
      </c>
      <c r="J785" t="s">
        <v>31</v>
      </c>
      <c r="K785" t="s">
        <v>7886</v>
      </c>
      <c r="L785" t="s">
        <v>7981</v>
      </c>
      <c r="M785" t="s">
        <v>46</v>
      </c>
      <c r="N785" t="s">
        <v>33</v>
      </c>
      <c r="O785" s="17">
        <v>812500</v>
      </c>
      <c r="P785" s="17" t="s">
        <v>7854</v>
      </c>
      <c r="Q785" s="22">
        <v>0</v>
      </c>
      <c r="R785" s="22" t="s">
        <v>7854</v>
      </c>
      <c r="S785" s="24">
        <v>162500</v>
      </c>
      <c r="T785" s="24" t="s">
        <v>7854</v>
      </c>
      <c r="U785" t="s">
        <v>5294</v>
      </c>
    </row>
    <row r="786" spans="1:21" x14ac:dyDescent="0.25">
      <c r="A786">
        <v>799</v>
      </c>
      <c r="B786">
        <v>24482</v>
      </c>
      <c r="C786" t="s">
        <v>5295</v>
      </c>
      <c r="D786" t="s">
        <v>7599</v>
      </c>
      <c r="E786" t="s">
        <v>5299</v>
      </c>
      <c r="F786" t="s">
        <v>53</v>
      </c>
      <c r="G786" t="s">
        <v>5300</v>
      </c>
      <c r="H786" t="s">
        <v>43</v>
      </c>
      <c r="I786" s="13" t="s">
        <v>5301</v>
      </c>
      <c r="J786" t="s">
        <v>31</v>
      </c>
      <c r="K786" t="s">
        <v>7879</v>
      </c>
      <c r="L786" t="s">
        <v>7893</v>
      </c>
      <c r="M786" t="s">
        <v>87</v>
      </c>
      <c r="N786" t="s">
        <v>33</v>
      </c>
      <c r="O786" s="17">
        <v>195000</v>
      </c>
      <c r="P786" s="17" t="s">
        <v>7854</v>
      </c>
      <c r="Q786" s="22">
        <v>0</v>
      </c>
      <c r="R786" s="22" t="s">
        <v>7854</v>
      </c>
      <c r="S786" s="24">
        <v>0</v>
      </c>
      <c r="T786" s="24" t="s">
        <v>7854</v>
      </c>
      <c r="U786" t="s">
        <v>5302</v>
      </c>
    </row>
    <row r="787" spans="1:21" x14ac:dyDescent="0.25">
      <c r="A787">
        <v>800</v>
      </c>
      <c r="B787">
        <v>24434</v>
      </c>
      <c r="C787" t="s">
        <v>5303</v>
      </c>
      <c r="D787" t="s">
        <v>7600</v>
      </c>
      <c r="E787" t="s">
        <v>5307</v>
      </c>
      <c r="F787" t="s">
        <v>28</v>
      </c>
      <c r="G787" t="s">
        <v>524</v>
      </c>
      <c r="H787" t="s">
        <v>43</v>
      </c>
      <c r="I787" s="13" t="s">
        <v>5308</v>
      </c>
      <c r="J787" t="s">
        <v>31</v>
      </c>
      <c r="K787" t="s">
        <v>7879</v>
      </c>
      <c r="L787" t="s">
        <v>7981</v>
      </c>
      <c r="M787" t="s">
        <v>46</v>
      </c>
      <c r="N787" t="s">
        <v>33</v>
      </c>
      <c r="O787" s="17">
        <v>195000</v>
      </c>
      <c r="P787" s="17" t="s">
        <v>7854</v>
      </c>
      <c r="Q787" s="22">
        <v>0</v>
      </c>
      <c r="R787" s="22" t="s">
        <v>7854</v>
      </c>
      <c r="S787" s="24">
        <v>0</v>
      </c>
      <c r="T787" s="24" t="s">
        <v>7854</v>
      </c>
      <c r="U787" t="s">
        <v>5309</v>
      </c>
    </row>
    <row r="788" spans="1:21" x14ac:dyDescent="0.25">
      <c r="A788">
        <v>801</v>
      </c>
      <c r="B788">
        <v>24492</v>
      </c>
      <c r="C788" t="s">
        <v>5310</v>
      </c>
      <c r="D788" t="s">
        <v>7601</v>
      </c>
      <c r="E788" t="s">
        <v>5312</v>
      </c>
      <c r="F788" t="s">
        <v>53</v>
      </c>
      <c r="G788" t="s">
        <v>5313</v>
      </c>
      <c r="H788" t="s">
        <v>43</v>
      </c>
      <c r="I788" s="13" t="s">
        <v>5314</v>
      </c>
      <c r="J788" t="s">
        <v>31</v>
      </c>
      <c r="K788" t="s">
        <v>7879</v>
      </c>
      <c r="L788" t="s">
        <v>7940</v>
      </c>
      <c r="M788" t="s">
        <v>63</v>
      </c>
      <c r="N788" t="s">
        <v>33</v>
      </c>
      <c r="O788" s="17">
        <v>195000</v>
      </c>
      <c r="P788" s="17" t="s">
        <v>7854</v>
      </c>
      <c r="Q788" s="22">
        <v>0</v>
      </c>
      <c r="R788" s="22" t="s">
        <v>7854</v>
      </c>
      <c r="S788" s="24">
        <v>0</v>
      </c>
      <c r="T788" s="24" t="s">
        <v>7854</v>
      </c>
      <c r="U788" t="s">
        <v>5315</v>
      </c>
    </row>
    <row r="789" spans="1:21" x14ac:dyDescent="0.25">
      <c r="A789">
        <v>802</v>
      </c>
      <c r="B789">
        <v>16840</v>
      </c>
      <c r="C789" t="s">
        <v>5316</v>
      </c>
      <c r="D789" t="s">
        <v>7602</v>
      </c>
      <c r="E789" t="s">
        <v>5320</v>
      </c>
      <c r="F789" t="s">
        <v>28</v>
      </c>
      <c r="G789" t="s">
        <v>3623</v>
      </c>
      <c r="H789" t="s">
        <v>43</v>
      </c>
      <c r="I789" s="13" t="s">
        <v>5321</v>
      </c>
      <c r="J789" t="s">
        <v>31</v>
      </c>
      <c r="K789" t="s">
        <v>7886</v>
      </c>
      <c r="L789" t="s">
        <v>7981</v>
      </c>
      <c r="M789" t="s">
        <v>46</v>
      </c>
      <c r="N789" t="s">
        <v>33</v>
      </c>
      <c r="O789" s="17">
        <v>812500</v>
      </c>
      <c r="P789" s="17" t="s">
        <v>7854</v>
      </c>
      <c r="Q789" s="22">
        <v>0</v>
      </c>
      <c r="R789" s="22" t="s">
        <v>7854</v>
      </c>
      <c r="S789" s="24">
        <v>162500</v>
      </c>
      <c r="T789" s="24" t="s">
        <v>7854</v>
      </c>
      <c r="U789" t="s">
        <v>5322</v>
      </c>
    </row>
    <row r="790" spans="1:21" x14ac:dyDescent="0.25">
      <c r="A790">
        <v>803</v>
      </c>
      <c r="B790">
        <v>4517</v>
      </c>
      <c r="C790" t="s">
        <v>5323</v>
      </c>
      <c r="D790" t="s">
        <v>7603</v>
      </c>
      <c r="E790" t="s">
        <v>5326</v>
      </c>
      <c r="F790" t="s">
        <v>53</v>
      </c>
      <c r="G790" t="s">
        <v>429</v>
      </c>
      <c r="H790" t="s">
        <v>43</v>
      </c>
      <c r="I790" s="12">
        <v>8135759409</v>
      </c>
      <c r="J790" t="s">
        <v>45</v>
      </c>
      <c r="K790" t="s">
        <v>7881</v>
      </c>
      <c r="L790" t="s">
        <v>7893</v>
      </c>
      <c r="M790" t="s">
        <v>46</v>
      </c>
      <c r="N790" t="s">
        <v>33</v>
      </c>
      <c r="O790" s="17">
        <v>552500</v>
      </c>
      <c r="P790" s="17" t="s">
        <v>7854</v>
      </c>
      <c r="Q790" s="22">
        <v>0</v>
      </c>
      <c r="R790" s="22" t="s">
        <v>7854</v>
      </c>
      <c r="S790" s="24">
        <v>0</v>
      </c>
      <c r="T790" s="24" t="s">
        <v>7854</v>
      </c>
      <c r="U790" t="s">
        <v>5327</v>
      </c>
    </row>
    <row r="791" spans="1:21" x14ac:dyDescent="0.25">
      <c r="A791">
        <v>804</v>
      </c>
      <c r="B791">
        <v>16788</v>
      </c>
      <c r="C791" t="s">
        <v>5328</v>
      </c>
      <c r="D791" t="s">
        <v>7604</v>
      </c>
      <c r="E791" t="s">
        <v>5331</v>
      </c>
      <c r="F791" t="s">
        <v>53</v>
      </c>
      <c r="G791" t="s">
        <v>5332</v>
      </c>
      <c r="H791" t="s">
        <v>43</v>
      </c>
      <c r="I791" s="13" t="s">
        <v>5333</v>
      </c>
      <c r="J791" t="s">
        <v>31</v>
      </c>
      <c r="K791" t="s">
        <v>7886</v>
      </c>
      <c r="L791" t="s">
        <v>7893</v>
      </c>
      <c r="M791" t="s">
        <v>63</v>
      </c>
      <c r="N791" t="s">
        <v>33</v>
      </c>
      <c r="O791" s="17">
        <v>812500</v>
      </c>
      <c r="P791" s="17" t="s">
        <v>7854</v>
      </c>
      <c r="Q791" s="22">
        <v>0</v>
      </c>
      <c r="R791" s="22" t="s">
        <v>7854</v>
      </c>
      <c r="S791" s="24">
        <v>162500</v>
      </c>
      <c r="T791" s="24" t="s">
        <v>7854</v>
      </c>
      <c r="U791" t="s">
        <v>5334</v>
      </c>
    </row>
    <row r="792" spans="1:21" x14ac:dyDescent="0.25">
      <c r="A792">
        <v>805</v>
      </c>
      <c r="B792">
        <v>9991</v>
      </c>
      <c r="C792" t="s">
        <v>5335</v>
      </c>
      <c r="D792" t="s">
        <v>7605</v>
      </c>
      <c r="E792" t="s">
        <v>5337</v>
      </c>
      <c r="F792" t="s">
        <v>28</v>
      </c>
      <c r="G792" t="s">
        <v>5338</v>
      </c>
      <c r="H792" t="s">
        <v>43</v>
      </c>
      <c r="I792" s="12">
        <v>7035124963</v>
      </c>
      <c r="J792" t="s">
        <v>31</v>
      </c>
      <c r="K792" t="s">
        <v>7886</v>
      </c>
      <c r="L792" t="s">
        <v>8028</v>
      </c>
      <c r="M792" t="s">
        <v>63</v>
      </c>
      <c r="N792" t="s">
        <v>33</v>
      </c>
      <c r="O792" s="17">
        <v>812500</v>
      </c>
      <c r="P792" s="17" t="s">
        <v>7854</v>
      </c>
      <c r="Q792" s="22">
        <v>0</v>
      </c>
      <c r="R792" s="22" t="s">
        <v>7854</v>
      </c>
      <c r="S792" s="24">
        <v>162500</v>
      </c>
      <c r="T792" s="24" t="s">
        <v>7854</v>
      </c>
      <c r="U792" t="s">
        <v>5339</v>
      </c>
    </row>
    <row r="793" spans="1:21" x14ac:dyDescent="0.25">
      <c r="A793">
        <v>806</v>
      </c>
      <c r="B793">
        <v>5120</v>
      </c>
      <c r="C793" t="s">
        <v>5340</v>
      </c>
      <c r="D793" t="s">
        <v>7606</v>
      </c>
      <c r="E793" t="s">
        <v>5344</v>
      </c>
      <c r="F793" t="s">
        <v>28</v>
      </c>
      <c r="G793" t="s">
        <v>732</v>
      </c>
      <c r="H793" t="s">
        <v>43</v>
      </c>
      <c r="I793" s="12">
        <v>8160662856</v>
      </c>
      <c r="J793" t="s">
        <v>31</v>
      </c>
      <c r="K793" t="s">
        <v>7886</v>
      </c>
      <c r="L793" t="s">
        <v>7981</v>
      </c>
      <c r="M793" t="s">
        <v>46</v>
      </c>
      <c r="N793" t="s">
        <v>33</v>
      </c>
      <c r="O793" s="17">
        <v>812500</v>
      </c>
      <c r="P793" s="17" t="s">
        <v>7854</v>
      </c>
      <c r="Q793" s="22">
        <v>0</v>
      </c>
      <c r="R793" s="22" t="s">
        <v>7854</v>
      </c>
      <c r="S793" s="24">
        <v>162500</v>
      </c>
      <c r="T793" s="24" t="s">
        <v>7854</v>
      </c>
      <c r="U793" t="s">
        <v>5345</v>
      </c>
    </row>
    <row r="794" spans="1:21" x14ac:dyDescent="0.25">
      <c r="A794">
        <v>807</v>
      </c>
      <c r="B794">
        <v>24137</v>
      </c>
      <c r="C794" t="s">
        <v>5346</v>
      </c>
      <c r="D794" t="s">
        <v>7607</v>
      </c>
      <c r="E794" t="s">
        <v>5350</v>
      </c>
      <c r="F794" t="s">
        <v>28</v>
      </c>
      <c r="G794" t="s">
        <v>5351</v>
      </c>
      <c r="H794" t="s">
        <v>43</v>
      </c>
      <c r="I794" s="12" t="s">
        <v>5352</v>
      </c>
      <c r="J794" t="s">
        <v>31</v>
      </c>
      <c r="K794" t="s">
        <v>7879</v>
      </c>
      <c r="L794" t="s">
        <v>7940</v>
      </c>
      <c r="M794" t="s">
        <v>46</v>
      </c>
      <c r="N794" t="s">
        <v>33</v>
      </c>
      <c r="O794" s="17">
        <v>195000</v>
      </c>
      <c r="P794" s="17" t="s">
        <v>7854</v>
      </c>
      <c r="Q794" s="22">
        <v>0</v>
      </c>
      <c r="R794" s="22" t="s">
        <v>7854</v>
      </c>
      <c r="S794" s="24">
        <v>0</v>
      </c>
      <c r="T794" s="24" t="s">
        <v>7854</v>
      </c>
      <c r="U794" t="s">
        <v>5353</v>
      </c>
    </row>
    <row r="795" spans="1:21" x14ac:dyDescent="0.25">
      <c r="A795">
        <v>808</v>
      </c>
      <c r="B795">
        <v>18932</v>
      </c>
      <c r="C795" t="s">
        <v>5354</v>
      </c>
      <c r="D795" t="s">
        <v>7608</v>
      </c>
      <c r="E795" t="s">
        <v>5357</v>
      </c>
      <c r="F795" t="s">
        <v>53</v>
      </c>
      <c r="G795" t="s">
        <v>5358</v>
      </c>
      <c r="H795" t="s">
        <v>43</v>
      </c>
      <c r="I795" s="13" t="s">
        <v>5359</v>
      </c>
      <c r="J795" t="s">
        <v>31</v>
      </c>
      <c r="K795" t="s">
        <v>7881</v>
      </c>
      <c r="L795" t="s">
        <v>7940</v>
      </c>
      <c r="M795" t="s">
        <v>63</v>
      </c>
      <c r="N795" t="s">
        <v>33</v>
      </c>
      <c r="O795" s="17">
        <v>552500</v>
      </c>
      <c r="P795" s="17" t="s">
        <v>7854</v>
      </c>
      <c r="Q795" s="22">
        <v>110500</v>
      </c>
      <c r="R795" s="22" t="s">
        <v>7854</v>
      </c>
      <c r="S795" s="24">
        <v>0</v>
      </c>
      <c r="T795" s="24" t="s">
        <v>7854</v>
      </c>
      <c r="U795" t="s">
        <v>5360</v>
      </c>
    </row>
    <row r="796" spans="1:21" x14ac:dyDescent="0.25">
      <c r="A796">
        <v>809</v>
      </c>
      <c r="B796">
        <v>24277</v>
      </c>
      <c r="C796" t="s">
        <v>5361</v>
      </c>
      <c r="D796" t="s">
        <v>7609</v>
      </c>
      <c r="E796" t="s">
        <v>8019</v>
      </c>
      <c r="F796" t="s">
        <v>53</v>
      </c>
      <c r="G796" t="s">
        <v>5363</v>
      </c>
      <c r="H796" t="s">
        <v>43</v>
      </c>
      <c r="I796" s="13" t="s">
        <v>5364</v>
      </c>
      <c r="J796" t="s">
        <v>31</v>
      </c>
      <c r="K796" t="s">
        <v>7881</v>
      </c>
      <c r="L796" t="s">
        <v>7981</v>
      </c>
      <c r="M796" t="s">
        <v>46</v>
      </c>
      <c r="N796" t="s">
        <v>33</v>
      </c>
      <c r="O796" s="17">
        <v>552500</v>
      </c>
      <c r="P796" s="17" t="s">
        <v>7854</v>
      </c>
      <c r="Q796" s="22">
        <v>0</v>
      </c>
      <c r="R796" s="22" t="s">
        <v>7854</v>
      </c>
      <c r="S796" s="24">
        <v>0</v>
      </c>
      <c r="T796" s="24" t="s">
        <v>7854</v>
      </c>
      <c r="U796" t="s">
        <v>5365</v>
      </c>
    </row>
    <row r="797" spans="1:21" x14ac:dyDescent="0.25">
      <c r="A797">
        <v>810</v>
      </c>
      <c r="B797">
        <v>19470</v>
      </c>
      <c r="C797" t="s">
        <v>5366</v>
      </c>
      <c r="D797" t="s">
        <v>7610</v>
      </c>
      <c r="E797">
        <v>220</v>
      </c>
      <c r="F797" t="s">
        <v>53</v>
      </c>
      <c r="G797" t="s">
        <v>5167</v>
      </c>
      <c r="H797" t="s">
        <v>30</v>
      </c>
      <c r="I797" s="12">
        <v>2203884957</v>
      </c>
      <c r="J797" t="s">
        <v>31</v>
      </c>
      <c r="K797" t="s">
        <v>7881</v>
      </c>
      <c r="L797" t="s">
        <v>7893</v>
      </c>
      <c r="M797" t="s">
        <v>32</v>
      </c>
      <c r="N797" t="s">
        <v>33</v>
      </c>
      <c r="O797" s="17">
        <v>552500</v>
      </c>
      <c r="P797" s="17" t="s">
        <v>7854</v>
      </c>
      <c r="Q797" s="22">
        <v>0</v>
      </c>
      <c r="R797" s="22" t="s">
        <v>7854</v>
      </c>
      <c r="S797" s="24">
        <v>0</v>
      </c>
      <c r="T797" s="24" t="s">
        <v>7854</v>
      </c>
      <c r="U797" t="s">
        <v>5369</v>
      </c>
    </row>
    <row r="798" spans="1:21" x14ac:dyDescent="0.25">
      <c r="A798">
        <v>811</v>
      </c>
      <c r="B798">
        <v>7224</v>
      </c>
      <c r="C798" t="s">
        <v>5370</v>
      </c>
      <c r="D798" t="s">
        <v>7611</v>
      </c>
      <c r="E798" t="s">
        <v>5373</v>
      </c>
      <c r="F798" t="s">
        <v>53</v>
      </c>
      <c r="G798" t="s">
        <v>1152</v>
      </c>
      <c r="H798" t="s">
        <v>30</v>
      </c>
      <c r="I798" s="12" t="s">
        <v>5374</v>
      </c>
      <c r="J798" t="s">
        <v>31</v>
      </c>
      <c r="K798" t="s">
        <v>7881</v>
      </c>
      <c r="L798" t="s">
        <v>7893</v>
      </c>
      <c r="M798" t="s">
        <v>32</v>
      </c>
      <c r="N798" t="s">
        <v>33</v>
      </c>
      <c r="O798" s="17">
        <v>552500</v>
      </c>
      <c r="P798" s="17" t="s">
        <v>7854</v>
      </c>
      <c r="Q798" s="22">
        <v>0</v>
      </c>
      <c r="R798" s="22" t="s">
        <v>7854</v>
      </c>
      <c r="S798" s="24">
        <v>0</v>
      </c>
      <c r="T798" s="24" t="s">
        <v>7854</v>
      </c>
      <c r="U798" t="s">
        <v>5375</v>
      </c>
    </row>
    <row r="799" spans="1:21" x14ac:dyDescent="0.25">
      <c r="A799">
        <v>812</v>
      </c>
      <c r="B799">
        <v>23685</v>
      </c>
      <c r="C799" t="s">
        <v>5376</v>
      </c>
      <c r="D799" t="s">
        <v>7612</v>
      </c>
      <c r="E799" t="s">
        <v>5378</v>
      </c>
      <c r="F799" t="s">
        <v>53</v>
      </c>
      <c r="G799" t="s">
        <v>5379</v>
      </c>
      <c r="H799" t="s">
        <v>43</v>
      </c>
      <c r="I799" s="13" t="s">
        <v>5380</v>
      </c>
      <c r="J799" t="s">
        <v>45</v>
      </c>
      <c r="K799" t="s">
        <v>7879</v>
      </c>
      <c r="L799" t="s">
        <v>7893</v>
      </c>
      <c r="M799" t="s">
        <v>63</v>
      </c>
      <c r="N799" t="s">
        <v>33</v>
      </c>
      <c r="O799" s="17">
        <v>195000</v>
      </c>
      <c r="P799" s="17" t="s">
        <v>7854</v>
      </c>
      <c r="Q799" s="22">
        <v>0</v>
      </c>
      <c r="R799" s="22" t="s">
        <v>7854</v>
      </c>
      <c r="S799" s="24">
        <v>0</v>
      </c>
      <c r="T799" s="24" t="s">
        <v>7854</v>
      </c>
      <c r="U799" t="s">
        <v>5381</v>
      </c>
    </row>
    <row r="800" spans="1:21" x14ac:dyDescent="0.25">
      <c r="A800">
        <v>813</v>
      </c>
      <c r="B800">
        <v>24538</v>
      </c>
      <c r="C800" t="s">
        <v>5382</v>
      </c>
      <c r="D800" t="s">
        <v>7613</v>
      </c>
      <c r="E800">
        <v>2348088898205</v>
      </c>
      <c r="F800" t="s">
        <v>53</v>
      </c>
      <c r="G800" t="s">
        <v>5386</v>
      </c>
      <c r="H800" t="s">
        <v>43</v>
      </c>
      <c r="I800" s="12">
        <v>2348039373082</v>
      </c>
      <c r="J800" t="s">
        <v>31</v>
      </c>
      <c r="K800" t="s">
        <v>7879</v>
      </c>
      <c r="L800" t="s">
        <v>7940</v>
      </c>
      <c r="M800" t="s">
        <v>87</v>
      </c>
      <c r="N800" t="s">
        <v>33</v>
      </c>
      <c r="O800" s="17">
        <v>195000</v>
      </c>
      <c r="P800" s="17" t="s">
        <v>7854</v>
      </c>
      <c r="Q800" s="22">
        <v>0</v>
      </c>
      <c r="R800" s="22" t="s">
        <v>7854</v>
      </c>
      <c r="S800" s="24">
        <v>0</v>
      </c>
      <c r="T800" s="24" t="s">
        <v>7854</v>
      </c>
      <c r="U800" t="s">
        <v>5387</v>
      </c>
    </row>
    <row r="801" spans="1:21" x14ac:dyDescent="0.25">
      <c r="A801">
        <v>814</v>
      </c>
      <c r="B801">
        <v>19799</v>
      </c>
      <c r="C801" t="s">
        <v>5388</v>
      </c>
      <c r="D801" t="s">
        <v>7614</v>
      </c>
      <c r="E801" t="s">
        <v>5391</v>
      </c>
      <c r="F801" t="s">
        <v>53</v>
      </c>
      <c r="G801" t="s">
        <v>4022</v>
      </c>
      <c r="H801" t="s">
        <v>453</v>
      </c>
      <c r="I801" s="12">
        <v>233245275716</v>
      </c>
      <c r="J801" t="s">
        <v>45</v>
      </c>
      <c r="K801" t="s">
        <v>7881</v>
      </c>
      <c r="L801" t="s">
        <v>7893</v>
      </c>
      <c r="M801" t="s">
        <v>455</v>
      </c>
      <c r="N801" t="s">
        <v>130</v>
      </c>
      <c r="O801" s="17" t="s">
        <v>7854</v>
      </c>
      <c r="P801" s="17">
        <v>425</v>
      </c>
      <c r="Q801" s="22" t="s">
        <v>7854</v>
      </c>
      <c r="R801" s="22">
        <v>0</v>
      </c>
      <c r="S801" s="24" t="s">
        <v>7854</v>
      </c>
      <c r="T801" s="24">
        <v>0</v>
      </c>
      <c r="U801" t="s">
        <v>5392</v>
      </c>
    </row>
    <row r="802" spans="1:21" x14ac:dyDescent="0.25">
      <c r="A802">
        <v>815</v>
      </c>
      <c r="B802">
        <v>24523</v>
      </c>
      <c r="C802" t="s">
        <v>5393</v>
      </c>
      <c r="D802" t="s">
        <v>7615</v>
      </c>
      <c r="E802" t="s">
        <v>5397</v>
      </c>
      <c r="F802" t="s">
        <v>28</v>
      </c>
      <c r="G802" t="s">
        <v>5398</v>
      </c>
      <c r="H802" t="s">
        <v>43</v>
      </c>
      <c r="I802" s="13" t="s">
        <v>5399</v>
      </c>
      <c r="J802" t="s">
        <v>31</v>
      </c>
      <c r="K802" t="s">
        <v>7879</v>
      </c>
      <c r="L802" t="s">
        <v>7888</v>
      </c>
      <c r="M802" t="s">
        <v>46</v>
      </c>
      <c r="N802" t="s">
        <v>33</v>
      </c>
      <c r="O802" s="17">
        <v>195000</v>
      </c>
      <c r="P802" s="17" t="s">
        <v>7854</v>
      </c>
      <c r="Q802" s="22">
        <v>0</v>
      </c>
      <c r="R802" s="22" t="s">
        <v>7854</v>
      </c>
      <c r="S802" s="24">
        <v>0</v>
      </c>
      <c r="T802" s="24" t="s">
        <v>7854</v>
      </c>
      <c r="U802" t="s">
        <v>5400</v>
      </c>
    </row>
    <row r="803" spans="1:21" x14ac:dyDescent="0.25">
      <c r="A803">
        <v>816</v>
      </c>
      <c r="B803">
        <v>24487</v>
      </c>
      <c r="C803" t="s">
        <v>5401</v>
      </c>
      <c r="D803" t="s">
        <v>7616</v>
      </c>
      <c r="E803" t="s">
        <v>5405</v>
      </c>
      <c r="F803" t="s">
        <v>53</v>
      </c>
      <c r="G803" t="s">
        <v>5406</v>
      </c>
      <c r="H803" t="s">
        <v>43</v>
      </c>
      <c r="I803" s="13" t="s">
        <v>5407</v>
      </c>
      <c r="J803" t="s">
        <v>31</v>
      </c>
      <c r="K803" t="s">
        <v>7879</v>
      </c>
      <c r="L803" t="s">
        <v>7940</v>
      </c>
      <c r="M803" t="s">
        <v>63</v>
      </c>
      <c r="N803" t="s">
        <v>33</v>
      </c>
      <c r="O803" s="17">
        <v>195000</v>
      </c>
      <c r="P803" s="17" t="s">
        <v>7854</v>
      </c>
      <c r="Q803" s="22">
        <v>0</v>
      </c>
      <c r="R803" s="22" t="s">
        <v>7854</v>
      </c>
      <c r="S803" s="24">
        <v>0</v>
      </c>
      <c r="T803" s="24" t="s">
        <v>7854</v>
      </c>
      <c r="U803" t="s">
        <v>5408</v>
      </c>
    </row>
    <row r="804" spans="1:21" x14ac:dyDescent="0.25">
      <c r="A804">
        <v>817</v>
      </c>
      <c r="B804">
        <v>16177</v>
      </c>
      <c r="C804" s="11" t="s">
        <v>5409</v>
      </c>
      <c r="D804" t="s">
        <v>7617</v>
      </c>
      <c r="E804" t="s">
        <v>8020</v>
      </c>
      <c r="F804" t="s">
        <v>28</v>
      </c>
      <c r="G804" t="s">
        <v>2443</v>
      </c>
      <c r="H804" t="s">
        <v>43</v>
      </c>
      <c r="I804" s="13" t="s">
        <v>5410</v>
      </c>
      <c r="J804" t="s">
        <v>31</v>
      </c>
      <c r="K804" t="s">
        <v>7886</v>
      </c>
      <c r="L804" t="s">
        <v>7981</v>
      </c>
      <c r="M804" t="s">
        <v>46</v>
      </c>
      <c r="N804" t="s">
        <v>33</v>
      </c>
      <c r="O804" s="17">
        <v>812500</v>
      </c>
      <c r="P804" s="17" t="s">
        <v>7854</v>
      </c>
      <c r="Q804" s="22">
        <v>0</v>
      </c>
      <c r="R804" s="22" t="s">
        <v>7854</v>
      </c>
      <c r="S804" s="24">
        <v>162500</v>
      </c>
      <c r="T804" s="24" t="s">
        <v>7854</v>
      </c>
      <c r="U804" t="s">
        <v>5411</v>
      </c>
    </row>
    <row r="805" spans="1:21" x14ac:dyDescent="0.25">
      <c r="A805">
        <v>818</v>
      </c>
      <c r="B805">
        <v>24126</v>
      </c>
      <c r="C805" t="s">
        <v>5412</v>
      </c>
      <c r="D805" t="s">
        <v>7618</v>
      </c>
      <c r="E805" t="s">
        <v>5416</v>
      </c>
      <c r="F805" t="s">
        <v>28</v>
      </c>
      <c r="G805" t="s">
        <v>5417</v>
      </c>
      <c r="H805" t="s">
        <v>453</v>
      </c>
      <c r="I805" s="13" t="s">
        <v>5418</v>
      </c>
      <c r="J805" t="s">
        <v>31</v>
      </c>
      <c r="K805" t="s">
        <v>7879</v>
      </c>
      <c r="L805" t="s">
        <v>7981</v>
      </c>
      <c r="M805" t="s">
        <v>455</v>
      </c>
      <c r="N805" t="s">
        <v>130</v>
      </c>
      <c r="O805" s="17" t="s">
        <v>7854</v>
      </c>
      <c r="P805" s="17">
        <v>150</v>
      </c>
      <c r="Q805" s="22" t="s">
        <v>7854</v>
      </c>
      <c r="R805" s="22">
        <v>0</v>
      </c>
      <c r="S805" s="24" t="s">
        <v>7854</v>
      </c>
      <c r="T805" s="24">
        <v>0</v>
      </c>
      <c r="U805" t="s">
        <v>5419</v>
      </c>
    </row>
    <row r="806" spans="1:21" x14ac:dyDescent="0.25">
      <c r="A806">
        <v>819</v>
      </c>
      <c r="B806">
        <v>23664</v>
      </c>
      <c r="C806" t="s">
        <v>5420</v>
      </c>
      <c r="D806" t="s">
        <v>7619</v>
      </c>
      <c r="E806" t="s">
        <v>5423</v>
      </c>
      <c r="F806" t="s">
        <v>28</v>
      </c>
      <c r="G806" t="s">
        <v>5424</v>
      </c>
      <c r="H806" t="s">
        <v>43</v>
      </c>
      <c r="I806" s="12">
        <v>2348033417101</v>
      </c>
      <c r="J806" t="s">
        <v>45</v>
      </c>
      <c r="K806" t="s">
        <v>7879</v>
      </c>
      <c r="L806" t="s">
        <v>7893</v>
      </c>
      <c r="M806" t="s">
        <v>87</v>
      </c>
      <c r="N806" t="s">
        <v>33</v>
      </c>
      <c r="O806" s="17">
        <v>195000</v>
      </c>
      <c r="P806" s="17" t="s">
        <v>7854</v>
      </c>
      <c r="Q806" s="22">
        <v>0</v>
      </c>
      <c r="R806" s="22" t="s">
        <v>7854</v>
      </c>
      <c r="S806" s="24">
        <v>0</v>
      </c>
      <c r="T806" s="24" t="s">
        <v>7854</v>
      </c>
      <c r="U806" t="s">
        <v>5425</v>
      </c>
    </row>
    <row r="807" spans="1:21" x14ac:dyDescent="0.25">
      <c r="A807">
        <v>820</v>
      </c>
      <c r="B807">
        <v>24540</v>
      </c>
      <c r="C807" t="s">
        <v>5426</v>
      </c>
      <c r="D807" t="s">
        <v>7620</v>
      </c>
      <c r="E807" t="s">
        <v>5429</v>
      </c>
      <c r="F807" t="s">
        <v>53</v>
      </c>
      <c r="G807" t="s">
        <v>5430</v>
      </c>
      <c r="H807" t="s">
        <v>43</v>
      </c>
      <c r="I807" s="13" t="s">
        <v>5431</v>
      </c>
      <c r="J807" t="s">
        <v>31</v>
      </c>
      <c r="K807" t="s">
        <v>7879</v>
      </c>
      <c r="L807" t="s">
        <v>7940</v>
      </c>
      <c r="M807" t="s">
        <v>87</v>
      </c>
      <c r="N807" t="s">
        <v>33</v>
      </c>
      <c r="O807" s="17">
        <v>195000</v>
      </c>
      <c r="P807" s="17" t="s">
        <v>7854</v>
      </c>
      <c r="Q807" s="22">
        <v>0</v>
      </c>
      <c r="R807" s="22" t="s">
        <v>7854</v>
      </c>
      <c r="S807" s="24">
        <v>0</v>
      </c>
      <c r="T807" s="24" t="s">
        <v>7854</v>
      </c>
      <c r="U807" t="s">
        <v>5432</v>
      </c>
    </row>
    <row r="808" spans="1:21" x14ac:dyDescent="0.25">
      <c r="A808">
        <v>821</v>
      </c>
      <c r="B808">
        <v>1308</v>
      </c>
      <c r="C808" t="s">
        <v>5433</v>
      </c>
      <c r="D808" t="s">
        <v>7621</v>
      </c>
      <c r="E808" t="s">
        <v>5436</v>
      </c>
      <c r="F808" t="s">
        <v>28</v>
      </c>
      <c r="G808" t="s">
        <v>5437</v>
      </c>
      <c r="H808" t="s">
        <v>43</v>
      </c>
      <c r="I808" s="12">
        <v>8035452196</v>
      </c>
      <c r="J808" t="s">
        <v>31</v>
      </c>
      <c r="K808" t="s">
        <v>7886</v>
      </c>
      <c r="L808" t="s">
        <v>7893</v>
      </c>
      <c r="M808" t="s">
        <v>46</v>
      </c>
      <c r="N808" t="s">
        <v>33</v>
      </c>
      <c r="O808" s="17">
        <v>812500</v>
      </c>
      <c r="P808" s="17" t="s">
        <v>7854</v>
      </c>
      <c r="Q808" s="22">
        <v>0</v>
      </c>
      <c r="R808" s="22" t="s">
        <v>7854</v>
      </c>
      <c r="S808" s="24">
        <v>162500</v>
      </c>
      <c r="T808" s="24" t="s">
        <v>7854</v>
      </c>
      <c r="U808" t="s">
        <v>5438</v>
      </c>
    </row>
    <row r="809" spans="1:21" x14ac:dyDescent="0.25">
      <c r="A809">
        <v>822</v>
      </c>
      <c r="B809">
        <v>24316</v>
      </c>
      <c r="C809" t="s">
        <v>5439</v>
      </c>
      <c r="D809" t="s">
        <v>7622</v>
      </c>
      <c r="E809" t="s">
        <v>5443</v>
      </c>
      <c r="F809" t="s">
        <v>28</v>
      </c>
      <c r="G809" t="s">
        <v>5444</v>
      </c>
      <c r="H809" t="s">
        <v>43</v>
      </c>
      <c r="I809" s="13" t="s">
        <v>5445</v>
      </c>
      <c r="J809" t="s">
        <v>31</v>
      </c>
      <c r="K809" t="s">
        <v>7879</v>
      </c>
      <c r="L809" t="s">
        <v>7888</v>
      </c>
      <c r="M809" t="s">
        <v>63</v>
      </c>
      <c r="N809" t="s">
        <v>33</v>
      </c>
      <c r="O809" s="17">
        <v>195000</v>
      </c>
      <c r="P809" s="17" t="s">
        <v>7854</v>
      </c>
      <c r="Q809" s="22">
        <v>0</v>
      </c>
      <c r="R809" s="22" t="s">
        <v>7854</v>
      </c>
      <c r="S809" s="24">
        <v>0</v>
      </c>
      <c r="T809" s="24" t="s">
        <v>7854</v>
      </c>
      <c r="U809" t="s">
        <v>5446</v>
      </c>
    </row>
    <row r="810" spans="1:21" x14ac:dyDescent="0.25">
      <c r="A810">
        <v>823</v>
      </c>
      <c r="B810">
        <v>347</v>
      </c>
      <c r="C810" t="s">
        <v>5447</v>
      </c>
      <c r="D810" t="s">
        <v>7623</v>
      </c>
      <c r="E810" t="s">
        <v>8021</v>
      </c>
      <c r="F810" t="s">
        <v>53</v>
      </c>
      <c r="G810" t="s">
        <v>3569</v>
      </c>
      <c r="H810" t="s">
        <v>43</v>
      </c>
      <c r="I810" s="13" t="s">
        <v>5450</v>
      </c>
      <c r="J810" t="s">
        <v>45</v>
      </c>
      <c r="K810" t="s">
        <v>7881</v>
      </c>
      <c r="L810" t="s">
        <v>7981</v>
      </c>
      <c r="M810" t="s">
        <v>46</v>
      </c>
      <c r="N810" t="s">
        <v>33</v>
      </c>
      <c r="O810" s="17">
        <v>552500</v>
      </c>
      <c r="P810" s="17" t="s">
        <v>7854</v>
      </c>
      <c r="Q810" s="22">
        <v>0</v>
      </c>
      <c r="R810" s="22" t="s">
        <v>7854</v>
      </c>
      <c r="S810" s="24">
        <v>0</v>
      </c>
      <c r="T810" s="24" t="s">
        <v>7854</v>
      </c>
      <c r="U810" t="s">
        <v>5451</v>
      </c>
    </row>
    <row r="811" spans="1:21" x14ac:dyDescent="0.25">
      <c r="A811">
        <v>824</v>
      </c>
      <c r="B811">
        <v>20275</v>
      </c>
      <c r="C811" t="s">
        <v>5452</v>
      </c>
      <c r="D811" t="s">
        <v>7624</v>
      </c>
      <c r="E811" t="s">
        <v>5456</v>
      </c>
      <c r="F811" t="s">
        <v>53</v>
      </c>
      <c r="G811" t="s">
        <v>5457</v>
      </c>
      <c r="H811" t="s">
        <v>43</v>
      </c>
      <c r="I811" s="13" t="s">
        <v>5458</v>
      </c>
      <c r="J811" t="s">
        <v>31</v>
      </c>
      <c r="K811" t="s">
        <v>7881</v>
      </c>
      <c r="L811" t="s">
        <v>7893</v>
      </c>
      <c r="M811" t="s">
        <v>46</v>
      </c>
      <c r="N811" t="s">
        <v>33</v>
      </c>
      <c r="O811" s="17">
        <v>552500</v>
      </c>
      <c r="P811" s="17" t="s">
        <v>7854</v>
      </c>
      <c r="Q811" s="22">
        <v>0</v>
      </c>
      <c r="R811" s="22" t="s">
        <v>7854</v>
      </c>
      <c r="S811" s="24">
        <v>0</v>
      </c>
      <c r="T811" s="24" t="s">
        <v>7854</v>
      </c>
      <c r="U811" t="s">
        <v>5459</v>
      </c>
    </row>
    <row r="812" spans="1:21" x14ac:dyDescent="0.25">
      <c r="A812">
        <v>825</v>
      </c>
      <c r="B812">
        <v>8517</v>
      </c>
      <c r="C812" t="s">
        <v>5460</v>
      </c>
      <c r="D812" t="s">
        <v>7625</v>
      </c>
      <c r="E812" t="s">
        <v>5462</v>
      </c>
      <c r="F812" t="s">
        <v>53</v>
      </c>
      <c r="G812" t="s">
        <v>2883</v>
      </c>
      <c r="H812" t="s">
        <v>43</v>
      </c>
      <c r="I812" s="12">
        <v>8062306951</v>
      </c>
      <c r="J812" t="s">
        <v>31</v>
      </c>
      <c r="K812" t="s">
        <v>7886</v>
      </c>
      <c r="L812" t="s">
        <v>7981</v>
      </c>
      <c r="M812" t="s">
        <v>63</v>
      </c>
      <c r="N812" t="s">
        <v>33</v>
      </c>
      <c r="O812" s="17">
        <v>812500</v>
      </c>
      <c r="P812" s="17" t="s">
        <v>7854</v>
      </c>
      <c r="Q812" s="22">
        <v>0</v>
      </c>
      <c r="R812" s="22" t="s">
        <v>7854</v>
      </c>
      <c r="S812" s="24">
        <v>162500</v>
      </c>
      <c r="T812" s="24" t="s">
        <v>7854</v>
      </c>
      <c r="U812" t="s">
        <v>5463</v>
      </c>
    </row>
    <row r="813" spans="1:21" x14ac:dyDescent="0.25">
      <c r="A813">
        <v>826</v>
      </c>
      <c r="B813">
        <v>7815</v>
      </c>
      <c r="C813" t="s">
        <v>5464</v>
      </c>
      <c r="D813" t="s">
        <v>7626</v>
      </c>
      <c r="E813" t="s">
        <v>5468</v>
      </c>
      <c r="F813" t="s">
        <v>28</v>
      </c>
      <c r="G813" t="s">
        <v>5469</v>
      </c>
      <c r="H813" t="s">
        <v>43</v>
      </c>
      <c r="I813" s="12">
        <v>2348037096865</v>
      </c>
      <c r="J813" t="s">
        <v>31</v>
      </c>
      <c r="K813" t="s">
        <v>7886</v>
      </c>
      <c r="L813" t="s">
        <v>7940</v>
      </c>
      <c r="M813" t="s">
        <v>63</v>
      </c>
      <c r="N813" t="s">
        <v>33</v>
      </c>
      <c r="O813" s="17">
        <v>812500</v>
      </c>
      <c r="P813" s="17" t="s">
        <v>7854</v>
      </c>
      <c r="Q813" s="22">
        <v>0</v>
      </c>
      <c r="R813" s="22" t="s">
        <v>7854</v>
      </c>
      <c r="S813" s="24">
        <v>162500</v>
      </c>
      <c r="T813" s="24" t="s">
        <v>7854</v>
      </c>
      <c r="U813" t="s">
        <v>5470</v>
      </c>
    </row>
    <row r="814" spans="1:21" ht="16.5" customHeight="1" x14ac:dyDescent="0.25">
      <c r="A814">
        <v>827</v>
      </c>
      <c r="B814">
        <v>11456</v>
      </c>
      <c r="C814" t="s">
        <v>5471</v>
      </c>
      <c r="D814" t="s">
        <v>7627</v>
      </c>
      <c r="E814" t="s">
        <v>5474</v>
      </c>
      <c r="F814" t="s">
        <v>53</v>
      </c>
      <c r="G814" t="s">
        <v>5475</v>
      </c>
      <c r="H814" t="s">
        <v>43</v>
      </c>
      <c r="I814" s="12">
        <v>8032610229</v>
      </c>
      <c r="J814" t="s">
        <v>31</v>
      </c>
      <c r="K814" t="s">
        <v>7886</v>
      </c>
      <c r="L814" t="s">
        <v>7940</v>
      </c>
      <c r="M814" t="s">
        <v>63</v>
      </c>
      <c r="N814" t="s">
        <v>33</v>
      </c>
      <c r="O814" s="17">
        <v>812500</v>
      </c>
      <c r="P814" s="17" t="s">
        <v>7854</v>
      </c>
      <c r="Q814" s="22">
        <v>110500</v>
      </c>
      <c r="R814" s="22" t="s">
        <v>7854</v>
      </c>
      <c r="S814" s="24">
        <v>162500</v>
      </c>
      <c r="T814" s="24" t="s">
        <v>7854</v>
      </c>
      <c r="U814" t="s">
        <v>5476</v>
      </c>
    </row>
    <row r="815" spans="1:21" x14ac:dyDescent="0.25">
      <c r="A815">
        <v>828</v>
      </c>
      <c r="B815">
        <v>15945</v>
      </c>
      <c r="C815" t="s">
        <v>5477</v>
      </c>
      <c r="D815" t="s">
        <v>7628</v>
      </c>
      <c r="E815" t="s">
        <v>5481</v>
      </c>
      <c r="F815" t="s">
        <v>28</v>
      </c>
      <c r="G815" t="s">
        <v>5482</v>
      </c>
      <c r="H815" t="s">
        <v>43</v>
      </c>
      <c r="I815" s="12">
        <v>8066688810</v>
      </c>
      <c r="J815" t="s">
        <v>244</v>
      </c>
      <c r="K815" t="s">
        <v>7886</v>
      </c>
      <c r="L815" t="s">
        <v>7893</v>
      </c>
      <c r="M815" t="s">
        <v>63</v>
      </c>
      <c r="N815" t="s">
        <v>33</v>
      </c>
      <c r="O815" s="17">
        <v>812500</v>
      </c>
      <c r="P815" s="17" t="s">
        <v>7854</v>
      </c>
      <c r="Q815" s="22">
        <v>0</v>
      </c>
      <c r="R815" s="22" t="s">
        <v>7854</v>
      </c>
      <c r="S815" s="24">
        <v>0</v>
      </c>
      <c r="T815" s="24" t="s">
        <v>7854</v>
      </c>
      <c r="U815" t="s">
        <v>5483</v>
      </c>
    </row>
    <row r="816" spans="1:21" x14ac:dyDescent="0.25">
      <c r="A816">
        <v>829</v>
      </c>
      <c r="B816">
        <v>24359</v>
      </c>
      <c r="C816" t="s">
        <v>5484</v>
      </c>
      <c r="D816" t="s">
        <v>7629</v>
      </c>
      <c r="E816" t="s">
        <v>5488</v>
      </c>
      <c r="F816" t="s">
        <v>53</v>
      </c>
      <c r="G816" t="s">
        <v>5489</v>
      </c>
      <c r="H816" t="s">
        <v>43</v>
      </c>
      <c r="I816" s="13" t="s">
        <v>5490</v>
      </c>
      <c r="J816" t="s">
        <v>31</v>
      </c>
      <c r="K816" t="s">
        <v>7879</v>
      </c>
      <c r="L816" t="s">
        <v>7940</v>
      </c>
      <c r="M816" t="s">
        <v>63</v>
      </c>
      <c r="N816" t="s">
        <v>33</v>
      </c>
      <c r="O816" s="17">
        <v>195000</v>
      </c>
      <c r="P816" s="17" t="s">
        <v>7854</v>
      </c>
      <c r="Q816" s="22">
        <v>0</v>
      </c>
      <c r="R816" s="22" t="s">
        <v>7854</v>
      </c>
      <c r="S816" s="24">
        <v>0</v>
      </c>
      <c r="T816" s="24" t="s">
        <v>7854</v>
      </c>
      <c r="U816" t="s">
        <v>5491</v>
      </c>
    </row>
    <row r="817" spans="1:21" x14ac:dyDescent="0.25">
      <c r="A817">
        <v>830</v>
      </c>
      <c r="B817">
        <v>24436</v>
      </c>
      <c r="C817" t="s">
        <v>5492</v>
      </c>
      <c r="D817" t="s">
        <v>7630</v>
      </c>
      <c r="E817" t="s">
        <v>5495</v>
      </c>
      <c r="F817" t="s">
        <v>28</v>
      </c>
      <c r="G817" t="s">
        <v>5496</v>
      </c>
      <c r="H817" t="s">
        <v>43</v>
      </c>
      <c r="I817" s="13" t="s">
        <v>5497</v>
      </c>
      <c r="J817" t="s">
        <v>31</v>
      </c>
      <c r="K817" t="s">
        <v>7879</v>
      </c>
      <c r="L817" t="s">
        <v>7893</v>
      </c>
      <c r="M817" t="s">
        <v>87</v>
      </c>
      <c r="N817" t="s">
        <v>33</v>
      </c>
      <c r="O817" s="17">
        <v>195000</v>
      </c>
      <c r="P817" s="17" t="s">
        <v>7854</v>
      </c>
      <c r="Q817" s="22">
        <v>0</v>
      </c>
      <c r="R817" s="22" t="s">
        <v>7854</v>
      </c>
      <c r="S817" s="24">
        <v>0</v>
      </c>
      <c r="T817" s="24" t="s">
        <v>7854</v>
      </c>
      <c r="U817" t="s">
        <v>5498</v>
      </c>
    </row>
    <row r="818" spans="1:21" x14ac:dyDescent="0.25">
      <c r="A818">
        <v>831</v>
      </c>
      <c r="B818">
        <v>24534</v>
      </c>
      <c r="C818" t="s">
        <v>5499</v>
      </c>
      <c r="D818" t="s">
        <v>7631</v>
      </c>
      <c r="E818" t="s">
        <v>5503</v>
      </c>
      <c r="F818" t="s">
        <v>53</v>
      </c>
      <c r="G818" t="s">
        <v>5504</v>
      </c>
      <c r="H818" t="s">
        <v>453</v>
      </c>
      <c r="I818" s="13" t="s">
        <v>5505</v>
      </c>
      <c r="J818" t="s">
        <v>31</v>
      </c>
      <c r="K818" t="s">
        <v>7879</v>
      </c>
      <c r="L818" t="s">
        <v>8028</v>
      </c>
      <c r="M818" t="s">
        <v>455</v>
      </c>
      <c r="N818" t="s">
        <v>130</v>
      </c>
      <c r="O818" s="17" t="s">
        <v>7854</v>
      </c>
      <c r="P818" s="17">
        <v>150</v>
      </c>
      <c r="Q818" s="22" t="s">
        <v>7854</v>
      </c>
      <c r="R818" s="22">
        <v>0</v>
      </c>
      <c r="S818" s="24" t="s">
        <v>7854</v>
      </c>
      <c r="T818" s="24">
        <v>0</v>
      </c>
      <c r="U818" t="s">
        <v>5506</v>
      </c>
    </row>
    <row r="819" spans="1:21" x14ac:dyDescent="0.25">
      <c r="A819">
        <v>832</v>
      </c>
      <c r="B819">
        <v>18995</v>
      </c>
      <c r="C819" t="s">
        <v>5507</v>
      </c>
      <c r="D819" t="s">
        <v>7632</v>
      </c>
      <c r="E819" t="s">
        <v>5509</v>
      </c>
      <c r="F819" t="s">
        <v>28</v>
      </c>
      <c r="G819" t="s">
        <v>5510</v>
      </c>
      <c r="H819" t="s">
        <v>43</v>
      </c>
      <c r="I819" s="13" t="s">
        <v>5511</v>
      </c>
      <c r="J819" t="s">
        <v>31</v>
      </c>
      <c r="K819" t="s">
        <v>7881</v>
      </c>
      <c r="L819" t="s">
        <v>7888</v>
      </c>
      <c r="M819" t="s">
        <v>46</v>
      </c>
      <c r="N819" t="s">
        <v>33</v>
      </c>
      <c r="O819" s="17">
        <v>552500</v>
      </c>
      <c r="P819" s="17" t="s">
        <v>7854</v>
      </c>
      <c r="Q819" s="22">
        <v>110500</v>
      </c>
      <c r="R819" s="22" t="s">
        <v>7854</v>
      </c>
      <c r="S819" s="24">
        <v>0</v>
      </c>
      <c r="T819" s="24" t="s">
        <v>7854</v>
      </c>
      <c r="U819" t="s">
        <v>5512</v>
      </c>
    </row>
    <row r="820" spans="1:21" x14ac:dyDescent="0.25">
      <c r="A820">
        <v>833</v>
      </c>
      <c r="B820">
        <v>24544</v>
      </c>
      <c r="C820" t="s">
        <v>5513</v>
      </c>
      <c r="D820" t="s">
        <v>7633</v>
      </c>
      <c r="E820" t="s">
        <v>5517</v>
      </c>
      <c r="F820" t="s">
        <v>53</v>
      </c>
      <c r="G820" t="s">
        <v>5518</v>
      </c>
      <c r="H820" t="s">
        <v>43</v>
      </c>
      <c r="I820" s="13" t="s">
        <v>5519</v>
      </c>
      <c r="J820" t="s">
        <v>31</v>
      </c>
      <c r="K820" t="s">
        <v>7879</v>
      </c>
      <c r="L820" t="s">
        <v>7940</v>
      </c>
      <c r="M820" t="s">
        <v>87</v>
      </c>
      <c r="N820" t="s">
        <v>33</v>
      </c>
      <c r="O820" s="17">
        <v>195000</v>
      </c>
      <c r="P820" s="17" t="s">
        <v>7854</v>
      </c>
      <c r="Q820" s="22">
        <v>0</v>
      </c>
      <c r="R820" s="22" t="s">
        <v>7854</v>
      </c>
      <c r="S820" s="24">
        <v>0</v>
      </c>
      <c r="T820" s="24" t="s">
        <v>7854</v>
      </c>
      <c r="U820" t="s">
        <v>5520</v>
      </c>
    </row>
    <row r="821" spans="1:21" x14ac:dyDescent="0.25">
      <c r="A821">
        <v>834</v>
      </c>
      <c r="B821">
        <v>24526</v>
      </c>
      <c r="C821" t="s">
        <v>5521</v>
      </c>
      <c r="D821" t="s">
        <v>7634</v>
      </c>
      <c r="E821" s="2" t="s">
        <v>5522</v>
      </c>
      <c r="F821" t="s">
        <v>28</v>
      </c>
      <c r="G821" t="s">
        <v>5523</v>
      </c>
      <c r="H821" t="s">
        <v>43</v>
      </c>
      <c r="I821" s="13" t="s">
        <v>5522</v>
      </c>
      <c r="J821" t="s">
        <v>31</v>
      </c>
      <c r="K821" t="s">
        <v>7879</v>
      </c>
      <c r="L821" t="s">
        <v>7888</v>
      </c>
      <c r="M821" t="s">
        <v>46</v>
      </c>
      <c r="N821" t="s">
        <v>33</v>
      </c>
      <c r="O821" s="17">
        <v>195000</v>
      </c>
      <c r="P821" s="17" t="s">
        <v>7854</v>
      </c>
      <c r="Q821" s="22">
        <v>0</v>
      </c>
      <c r="R821" s="22" t="s">
        <v>7854</v>
      </c>
      <c r="S821" s="24">
        <v>0</v>
      </c>
      <c r="T821" s="24" t="s">
        <v>7854</v>
      </c>
      <c r="U821" t="s">
        <v>5524</v>
      </c>
    </row>
    <row r="822" spans="1:21" x14ac:dyDescent="0.25">
      <c r="A822">
        <v>835</v>
      </c>
      <c r="B822">
        <v>6749</v>
      </c>
      <c r="C822" t="s">
        <v>5525</v>
      </c>
      <c r="D822" t="s">
        <v>7635</v>
      </c>
      <c r="E822" t="s">
        <v>7971</v>
      </c>
      <c r="F822" t="s">
        <v>53</v>
      </c>
      <c r="G822" t="s">
        <v>3575</v>
      </c>
      <c r="H822" t="s">
        <v>43</v>
      </c>
      <c r="I822" s="12">
        <v>8063318876</v>
      </c>
      <c r="J822" t="s">
        <v>31</v>
      </c>
      <c r="K822" t="s">
        <v>7886</v>
      </c>
      <c r="L822" t="s">
        <v>7940</v>
      </c>
      <c r="M822" t="s">
        <v>46</v>
      </c>
      <c r="N822" t="s">
        <v>33</v>
      </c>
      <c r="O822" s="17">
        <v>812500</v>
      </c>
      <c r="P822" s="17" t="s">
        <v>7854</v>
      </c>
      <c r="Q822" s="22">
        <v>0</v>
      </c>
      <c r="R822" s="22" t="s">
        <v>7854</v>
      </c>
      <c r="S822" s="24">
        <v>162500</v>
      </c>
      <c r="T822" s="24" t="s">
        <v>7854</v>
      </c>
      <c r="U822" t="s">
        <v>5528</v>
      </c>
    </row>
    <row r="823" spans="1:21" x14ac:dyDescent="0.25">
      <c r="A823">
        <v>836</v>
      </c>
      <c r="B823">
        <v>9801</v>
      </c>
      <c r="C823" t="s">
        <v>5529</v>
      </c>
      <c r="D823" t="s">
        <v>7636</v>
      </c>
      <c r="E823" t="s">
        <v>5532</v>
      </c>
      <c r="F823" t="s">
        <v>28</v>
      </c>
      <c r="G823" t="s">
        <v>5533</v>
      </c>
      <c r="H823" t="s">
        <v>43</v>
      </c>
      <c r="I823" s="13" t="s">
        <v>5534</v>
      </c>
      <c r="J823" t="s">
        <v>31</v>
      </c>
      <c r="K823" t="s">
        <v>7881</v>
      </c>
      <c r="L823" t="s">
        <v>7981</v>
      </c>
      <c r="M823" t="s">
        <v>46</v>
      </c>
      <c r="N823" t="s">
        <v>33</v>
      </c>
      <c r="O823" s="17">
        <v>552500</v>
      </c>
      <c r="P823" s="17" t="s">
        <v>7854</v>
      </c>
      <c r="Q823" s="22">
        <v>0</v>
      </c>
      <c r="R823" s="22" t="s">
        <v>7854</v>
      </c>
      <c r="S823" s="24">
        <v>0</v>
      </c>
      <c r="T823" s="24" t="s">
        <v>7854</v>
      </c>
      <c r="U823" t="s">
        <v>5535</v>
      </c>
    </row>
    <row r="824" spans="1:21" x14ac:dyDescent="0.25">
      <c r="A824">
        <v>837</v>
      </c>
      <c r="B824">
        <v>20850</v>
      </c>
      <c r="C824" t="s">
        <v>5536</v>
      </c>
      <c r="D824" t="s">
        <v>7637</v>
      </c>
      <c r="E824" t="s">
        <v>5538</v>
      </c>
      <c r="F824" t="s">
        <v>53</v>
      </c>
      <c r="G824" t="s">
        <v>5539</v>
      </c>
      <c r="H824" t="s">
        <v>453</v>
      </c>
      <c r="I824" s="12">
        <v>233243588428</v>
      </c>
      <c r="J824" t="s">
        <v>31</v>
      </c>
      <c r="K824" t="s">
        <v>7881</v>
      </c>
      <c r="L824" t="s">
        <v>7888</v>
      </c>
      <c r="M824" t="s">
        <v>455</v>
      </c>
      <c r="N824" t="s">
        <v>33</v>
      </c>
      <c r="O824" s="17">
        <v>552500</v>
      </c>
      <c r="P824" s="17" t="s">
        <v>7854</v>
      </c>
      <c r="Q824" s="22">
        <v>110500</v>
      </c>
      <c r="R824" s="22" t="s">
        <v>7854</v>
      </c>
      <c r="S824" s="24">
        <v>0</v>
      </c>
      <c r="T824" s="24" t="s">
        <v>7854</v>
      </c>
      <c r="U824" t="s">
        <v>5540</v>
      </c>
    </row>
    <row r="825" spans="1:21" x14ac:dyDescent="0.25">
      <c r="A825">
        <v>838</v>
      </c>
      <c r="B825">
        <v>24533</v>
      </c>
      <c r="C825" t="s">
        <v>5541</v>
      </c>
      <c r="D825" t="s">
        <v>7638</v>
      </c>
      <c r="E825" t="s">
        <v>5544</v>
      </c>
      <c r="F825" t="s">
        <v>28</v>
      </c>
      <c r="G825" t="s">
        <v>5545</v>
      </c>
      <c r="H825" t="s">
        <v>43</v>
      </c>
      <c r="I825" s="13" t="s">
        <v>5546</v>
      </c>
      <c r="J825" t="s">
        <v>31</v>
      </c>
      <c r="K825" t="s">
        <v>7879</v>
      </c>
      <c r="L825" t="s">
        <v>7893</v>
      </c>
      <c r="M825" t="s">
        <v>46</v>
      </c>
      <c r="N825" t="s">
        <v>33</v>
      </c>
      <c r="O825" s="17">
        <v>195000</v>
      </c>
      <c r="P825" s="17" t="s">
        <v>7854</v>
      </c>
      <c r="Q825" s="22">
        <v>0</v>
      </c>
      <c r="R825" s="22" t="s">
        <v>7854</v>
      </c>
      <c r="S825" s="24">
        <v>0</v>
      </c>
      <c r="T825" s="24" t="s">
        <v>7854</v>
      </c>
      <c r="U825" t="s">
        <v>5547</v>
      </c>
    </row>
    <row r="826" spans="1:21" x14ac:dyDescent="0.25">
      <c r="A826">
        <v>839</v>
      </c>
      <c r="B826">
        <v>11103</v>
      </c>
      <c r="C826" t="s">
        <v>5548</v>
      </c>
      <c r="D826" t="s">
        <v>7639</v>
      </c>
      <c r="E826" t="s">
        <v>3575</v>
      </c>
      <c r="F826" t="s">
        <v>28</v>
      </c>
      <c r="G826" t="s">
        <v>2822</v>
      </c>
      <c r="H826" t="s">
        <v>43</v>
      </c>
      <c r="I826" s="12">
        <v>8163917731</v>
      </c>
      <c r="J826" t="s">
        <v>31</v>
      </c>
      <c r="K826" t="s">
        <v>7881</v>
      </c>
      <c r="L826" t="s">
        <v>7981</v>
      </c>
      <c r="M826" t="s">
        <v>46</v>
      </c>
      <c r="N826" t="s">
        <v>33</v>
      </c>
      <c r="O826" s="17">
        <v>552500</v>
      </c>
      <c r="P826" s="17" t="s">
        <v>7854</v>
      </c>
      <c r="Q826" s="22">
        <v>0</v>
      </c>
      <c r="R826" s="22" t="s">
        <v>7854</v>
      </c>
      <c r="S826" s="24">
        <v>0</v>
      </c>
      <c r="T826" s="24" t="s">
        <v>7854</v>
      </c>
      <c r="U826" t="s">
        <v>5552</v>
      </c>
    </row>
    <row r="827" spans="1:21" x14ac:dyDescent="0.25">
      <c r="A827">
        <v>840</v>
      </c>
      <c r="B827">
        <v>22484</v>
      </c>
      <c r="C827" t="s">
        <v>5553</v>
      </c>
      <c r="D827" t="s">
        <v>7640</v>
      </c>
      <c r="E827" t="s">
        <v>5556</v>
      </c>
      <c r="F827" t="s">
        <v>28</v>
      </c>
      <c r="G827" t="s">
        <v>968</v>
      </c>
      <c r="H827" t="s">
        <v>453</v>
      </c>
      <c r="I827" s="12">
        <v>233207994961</v>
      </c>
      <c r="J827" t="s">
        <v>45</v>
      </c>
      <c r="K827" t="s">
        <v>7881</v>
      </c>
      <c r="L827" t="s">
        <v>7981</v>
      </c>
      <c r="M827" t="s">
        <v>455</v>
      </c>
      <c r="N827" t="s">
        <v>130</v>
      </c>
      <c r="O827" s="17" t="s">
        <v>7854</v>
      </c>
      <c r="P827" s="17">
        <v>425</v>
      </c>
      <c r="Q827" s="22" t="s">
        <v>7854</v>
      </c>
      <c r="R827" s="22">
        <v>0</v>
      </c>
      <c r="S827" s="24" t="s">
        <v>7854</v>
      </c>
      <c r="T827" s="24">
        <v>0</v>
      </c>
      <c r="U827" t="s">
        <v>5557</v>
      </c>
    </row>
    <row r="828" spans="1:21" x14ac:dyDescent="0.25">
      <c r="A828">
        <v>841</v>
      </c>
      <c r="B828">
        <v>18823</v>
      </c>
      <c r="C828" t="s">
        <v>5558</v>
      </c>
      <c r="D828" t="s">
        <v>7641</v>
      </c>
      <c r="E828" t="s">
        <v>5562</v>
      </c>
      <c r="F828" t="s">
        <v>28</v>
      </c>
      <c r="G828" t="s">
        <v>5563</v>
      </c>
      <c r="H828" t="s">
        <v>453</v>
      </c>
      <c r="I828" s="12">
        <v>233264611206</v>
      </c>
      <c r="J828" t="s">
        <v>31</v>
      </c>
      <c r="K828" t="s">
        <v>7886</v>
      </c>
      <c r="L828" t="s">
        <v>7981</v>
      </c>
      <c r="M828" t="s">
        <v>455</v>
      </c>
      <c r="N828" t="s">
        <v>130</v>
      </c>
      <c r="O828" s="17" t="s">
        <v>7854</v>
      </c>
      <c r="P828" s="17">
        <v>625</v>
      </c>
      <c r="Q828" s="22" t="s">
        <v>7854</v>
      </c>
      <c r="R828" s="22">
        <v>0</v>
      </c>
      <c r="S828" s="24" t="s">
        <v>7854</v>
      </c>
      <c r="T828" s="24">
        <v>125</v>
      </c>
      <c r="U828" t="s">
        <v>5564</v>
      </c>
    </row>
    <row r="829" spans="1:21" x14ac:dyDescent="0.25">
      <c r="A829">
        <v>842</v>
      </c>
      <c r="B829">
        <v>22455</v>
      </c>
      <c r="C829" t="s">
        <v>5565</v>
      </c>
      <c r="D829" t="s">
        <v>7642</v>
      </c>
      <c r="E829" t="s">
        <v>5569</v>
      </c>
      <c r="F829" t="s">
        <v>28</v>
      </c>
      <c r="G829" t="s">
        <v>2939</v>
      </c>
      <c r="H829" t="s">
        <v>453</v>
      </c>
      <c r="I829" s="13" t="s">
        <v>5570</v>
      </c>
      <c r="J829" t="s">
        <v>45</v>
      </c>
      <c r="K829" t="s">
        <v>7881</v>
      </c>
      <c r="L829" t="s">
        <v>7893</v>
      </c>
      <c r="M829" t="s">
        <v>455</v>
      </c>
      <c r="N829" t="s">
        <v>130</v>
      </c>
      <c r="O829" s="17" t="s">
        <v>7854</v>
      </c>
      <c r="P829" s="17">
        <v>425</v>
      </c>
      <c r="Q829" s="22" t="s">
        <v>7854</v>
      </c>
      <c r="R829" s="22">
        <v>0</v>
      </c>
      <c r="S829" s="24" t="s">
        <v>7854</v>
      </c>
      <c r="T829" s="24">
        <v>0</v>
      </c>
      <c r="U829" t="s">
        <v>5571</v>
      </c>
    </row>
    <row r="830" spans="1:21" x14ac:dyDescent="0.25">
      <c r="A830">
        <v>843</v>
      </c>
      <c r="B830">
        <v>22365</v>
      </c>
      <c r="C830" t="s">
        <v>5572</v>
      </c>
      <c r="D830" t="s">
        <v>7643</v>
      </c>
      <c r="E830" t="s">
        <v>952</v>
      </c>
      <c r="F830" t="s">
        <v>53</v>
      </c>
      <c r="G830" t="s">
        <v>952</v>
      </c>
      <c r="H830" t="s">
        <v>453</v>
      </c>
      <c r="I830" s="13" t="s">
        <v>5576</v>
      </c>
      <c r="J830" t="s">
        <v>31</v>
      </c>
      <c r="K830" t="s">
        <v>7881</v>
      </c>
      <c r="L830" t="s">
        <v>8028</v>
      </c>
      <c r="M830" t="s">
        <v>455</v>
      </c>
      <c r="N830" t="s">
        <v>130</v>
      </c>
      <c r="O830" s="17" t="s">
        <v>7854</v>
      </c>
      <c r="P830" s="17">
        <v>425</v>
      </c>
      <c r="Q830" s="22" t="s">
        <v>7854</v>
      </c>
      <c r="R830" s="22">
        <v>0</v>
      </c>
      <c r="S830" s="24" t="s">
        <v>7854</v>
      </c>
      <c r="T830" s="24">
        <v>0</v>
      </c>
      <c r="U830" t="s">
        <v>5577</v>
      </c>
    </row>
    <row r="831" spans="1:21" x14ac:dyDescent="0.25">
      <c r="A831">
        <v>844</v>
      </c>
      <c r="B831">
        <v>24520</v>
      </c>
      <c r="C831" t="s">
        <v>5578</v>
      </c>
      <c r="D831" t="s">
        <v>7644</v>
      </c>
      <c r="E831" t="s">
        <v>5580</v>
      </c>
      <c r="F831" t="s">
        <v>28</v>
      </c>
      <c r="G831" t="s">
        <v>869</v>
      </c>
      <c r="H831" t="s">
        <v>43</v>
      </c>
      <c r="I831" s="13" t="s">
        <v>5581</v>
      </c>
      <c r="J831" t="s">
        <v>31</v>
      </c>
      <c r="K831" t="s">
        <v>7879</v>
      </c>
      <c r="L831" t="s">
        <v>7981</v>
      </c>
      <c r="M831" t="s">
        <v>46</v>
      </c>
      <c r="N831" t="s">
        <v>33</v>
      </c>
      <c r="O831" s="17">
        <v>195000</v>
      </c>
      <c r="P831" s="17" t="s">
        <v>7854</v>
      </c>
      <c r="Q831" s="22">
        <v>0</v>
      </c>
      <c r="R831" s="22" t="s">
        <v>7854</v>
      </c>
      <c r="S831" s="24">
        <v>0</v>
      </c>
      <c r="T831" s="24" t="s">
        <v>7854</v>
      </c>
      <c r="U831" t="s">
        <v>5582</v>
      </c>
    </row>
    <row r="832" spans="1:21" x14ac:dyDescent="0.25">
      <c r="A832">
        <v>845</v>
      </c>
      <c r="B832">
        <v>23784</v>
      </c>
      <c r="C832" t="s">
        <v>5583</v>
      </c>
      <c r="D832" t="s">
        <v>7645</v>
      </c>
      <c r="E832" t="s">
        <v>5586</v>
      </c>
      <c r="F832" t="s">
        <v>28</v>
      </c>
      <c r="G832" t="s">
        <v>5587</v>
      </c>
      <c r="H832" t="s">
        <v>43</v>
      </c>
      <c r="I832" s="13" t="s">
        <v>5588</v>
      </c>
      <c r="J832" t="s">
        <v>45</v>
      </c>
      <c r="K832" t="s">
        <v>7879</v>
      </c>
      <c r="L832" t="s">
        <v>7893</v>
      </c>
      <c r="M832" t="s">
        <v>46</v>
      </c>
      <c r="N832" t="s">
        <v>33</v>
      </c>
      <c r="O832" s="17">
        <v>195000</v>
      </c>
      <c r="P832" s="17" t="s">
        <v>7854</v>
      </c>
      <c r="Q832" s="22">
        <v>0</v>
      </c>
      <c r="R832" s="22" t="s">
        <v>7854</v>
      </c>
      <c r="S832" s="24">
        <v>0</v>
      </c>
      <c r="T832" s="24" t="s">
        <v>7854</v>
      </c>
      <c r="U832" t="s">
        <v>5589</v>
      </c>
    </row>
    <row r="833" spans="1:21" x14ac:dyDescent="0.25">
      <c r="A833">
        <v>846</v>
      </c>
      <c r="B833">
        <v>24430</v>
      </c>
      <c r="C833" t="s">
        <v>5590</v>
      </c>
      <c r="D833" t="s">
        <v>7646</v>
      </c>
      <c r="E833" t="s">
        <v>5593</v>
      </c>
      <c r="F833" t="s">
        <v>28</v>
      </c>
      <c r="G833" t="s">
        <v>5594</v>
      </c>
      <c r="H833" t="s">
        <v>43</v>
      </c>
      <c r="I833" s="13" t="s">
        <v>5595</v>
      </c>
      <c r="J833" t="s">
        <v>31</v>
      </c>
      <c r="K833" t="s">
        <v>7879</v>
      </c>
      <c r="L833" t="s">
        <v>8028</v>
      </c>
      <c r="M833" t="s">
        <v>46</v>
      </c>
      <c r="N833" t="s">
        <v>33</v>
      </c>
      <c r="O833" s="17">
        <v>195000</v>
      </c>
      <c r="P833" s="17" t="s">
        <v>7854</v>
      </c>
      <c r="Q833" s="22">
        <v>0</v>
      </c>
      <c r="R833" s="22" t="s">
        <v>7854</v>
      </c>
      <c r="S833" s="24">
        <v>0</v>
      </c>
      <c r="T833" s="24" t="s">
        <v>7854</v>
      </c>
      <c r="U833" t="s">
        <v>5596</v>
      </c>
    </row>
    <row r="834" spans="1:21" x14ac:dyDescent="0.25">
      <c r="A834">
        <v>848</v>
      </c>
      <c r="B834">
        <v>24542</v>
      </c>
      <c r="C834" t="s">
        <v>5598</v>
      </c>
      <c r="D834" t="s">
        <v>7647</v>
      </c>
      <c r="E834" t="s">
        <v>5601</v>
      </c>
      <c r="F834" t="s">
        <v>53</v>
      </c>
      <c r="G834" t="s">
        <v>5602</v>
      </c>
      <c r="H834" t="s">
        <v>43</v>
      </c>
      <c r="I834" s="13" t="s">
        <v>5603</v>
      </c>
      <c r="J834" t="s">
        <v>31</v>
      </c>
      <c r="K834" t="s">
        <v>7879</v>
      </c>
      <c r="L834" t="s">
        <v>7888</v>
      </c>
      <c r="M834" t="s">
        <v>87</v>
      </c>
      <c r="N834" t="s">
        <v>33</v>
      </c>
      <c r="O834" s="17">
        <v>195000</v>
      </c>
      <c r="P834" s="17" t="s">
        <v>7854</v>
      </c>
      <c r="Q834" s="22">
        <v>0</v>
      </c>
      <c r="R834" s="22" t="s">
        <v>7854</v>
      </c>
      <c r="S834" s="24">
        <v>0</v>
      </c>
      <c r="T834" s="24" t="s">
        <v>7854</v>
      </c>
      <c r="U834" t="s">
        <v>5604</v>
      </c>
    </row>
    <row r="835" spans="1:21" x14ac:dyDescent="0.25">
      <c r="A835">
        <v>849</v>
      </c>
      <c r="B835">
        <v>23814</v>
      </c>
      <c r="C835" t="s">
        <v>5605</v>
      </c>
      <c r="D835" t="s">
        <v>7648</v>
      </c>
      <c r="E835" t="s">
        <v>5608</v>
      </c>
      <c r="F835" t="s">
        <v>53</v>
      </c>
      <c r="G835" t="s">
        <v>5609</v>
      </c>
      <c r="H835" t="s">
        <v>453</v>
      </c>
      <c r="I835" s="12" t="s">
        <v>5610</v>
      </c>
      <c r="J835" t="s">
        <v>31</v>
      </c>
      <c r="K835" t="s">
        <v>7879</v>
      </c>
      <c r="L835" t="s">
        <v>7893</v>
      </c>
      <c r="M835" t="s">
        <v>455</v>
      </c>
      <c r="N835" t="s">
        <v>130</v>
      </c>
      <c r="O835" s="17" t="s">
        <v>7854</v>
      </c>
      <c r="P835" s="17">
        <v>150</v>
      </c>
      <c r="Q835" s="22" t="s">
        <v>7854</v>
      </c>
      <c r="R835" s="22">
        <v>0</v>
      </c>
      <c r="S835" s="24" t="s">
        <v>7854</v>
      </c>
      <c r="T835" s="24">
        <v>0</v>
      </c>
      <c r="U835" t="s">
        <v>5611</v>
      </c>
    </row>
    <row r="836" spans="1:21" x14ac:dyDescent="0.25">
      <c r="A836">
        <v>850</v>
      </c>
      <c r="B836">
        <v>21629</v>
      </c>
      <c r="C836" t="s">
        <v>5612</v>
      </c>
      <c r="D836" t="s">
        <v>7649</v>
      </c>
      <c r="E836" t="s">
        <v>5615</v>
      </c>
      <c r="F836" t="s">
        <v>28</v>
      </c>
      <c r="G836" t="s">
        <v>5616</v>
      </c>
      <c r="H836" t="s">
        <v>43</v>
      </c>
      <c r="I836" s="13" t="s">
        <v>5617</v>
      </c>
      <c r="J836" t="s">
        <v>45</v>
      </c>
      <c r="K836" t="s">
        <v>7879</v>
      </c>
      <c r="L836" t="s">
        <v>7981</v>
      </c>
      <c r="M836" t="s">
        <v>46</v>
      </c>
      <c r="N836" t="s">
        <v>33</v>
      </c>
      <c r="O836" s="17">
        <v>195000</v>
      </c>
      <c r="P836" s="17" t="s">
        <v>7854</v>
      </c>
      <c r="Q836" s="22">
        <v>0</v>
      </c>
      <c r="R836" s="22" t="s">
        <v>7854</v>
      </c>
      <c r="S836" s="24">
        <v>0</v>
      </c>
      <c r="T836" s="24" t="s">
        <v>7854</v>
      </c>
      <c r="U836" t="s">
        <v>5618</v>
      </c>
    </row>
    <row r="837" spans="1:21" x14ac:dyDescent="0.25">
      <c r="A837">
        <v>851</v>
      </c>
      <c r="B837">
        <v>20989</v>
      </c>
      <c r="C837" t="s">
        <v>5619</v>
      </c>
      <c r="D837" t="s">
        <v>7650</v>
      </c>
      <c r="E837" t="s">
        <v>5623</v>
      </c>
      <c r="F837" t="s">
        <v>53</v>
      </c>
      <c r="G837" t="s">
        <v>5624</v>
      </c>
      <c r="H837" t="s">
        <v>43</v>
      </c>
      <c r="I837" s="13" t="s">
        <v>5625</v>
      </c>
      <c r="J837" t="s">
        <v>31</v>
      </c>
      <c r="K837" t="s">
        <v>7881</v>
      </c>
      <c r="L837" t="s">
        <v>7888</v>
      </c>
      <c r="M837" t="s">
        <v>63</v>
      </c>
      <c r="N837" t="s">
        <v>33</v>
      </c>
      <c r="O837" s="17">
        <v>552500</v>
      </c>
      <c r="P837" s="17" t="s">
        <v>7854</v>
      </c>
      <c r="Q837" s="22">
        <v>110500</v>
      </c>
      <c r="R837" s="22" t="s">
        <v>7854</v>
      </c>
      <c r="S837" s="24">
        <v>0</v>
      </c>
      <c r="T837" s="24" t="s">
        <v>7854</v>
      </c>
      <c r="U837" t="s">
        <v>5626</v>
      </c>
    </row>
    <row r="838" spans="1:21" x14ac:dyDescent="0.25">
      <c r="A838">
        <v>852</v>
      </c>
      <c r="B838">
        <v>24473</v>
      </c>
      <c r="C838" t="s">
        <v>5627</v>
      </c>
      <c r="D838" t="s">
        <v>7651</v>
      </c>
      <c r="E838" t="s">
        <v>5630</v>
      </c>
      <c r="F838" t="s">
        <v>53</v>
      </c>
      <c r="G838" t="s">
        <v>5631</v>
      </c>
      <c r="H838" t="s">
        <v>453</v>
      </c>
      <c r="I838" s="12">
        <v>233532707874</v>
      </c>
      <c r="J838" t="s">
        <v>31</v>
      </c>
      <c r="K838" t="s">
        <v>7879</v>
      </c>
      <c r="L838" t="s">
        <v>7893</v>
      </c>
      <c r="M838" t="s">
        <v>455</v>
      </c>
      <c r="N838" t="s">
        <v>130</v>
      </c>
      <c r="O838" s="17" t="s">
        <v>7854</v>
      </c>
      <c r="P838" s="17">
        <v>150</v>
      </c>
      <c r="Q838" s="22" t="s">
        <v>7854</v>
      </c>
      <c r="R838" s="22">
        <v>0</v>
      </c>
      <c r="S838" s="24" t="s">
        <v>7854</v>
      </c>
      <c r="T838" s="24">
        <v>0</v>
      </c>
      <c r="U838" t="s">
        <v>5632</v>
      </c>
    </row>
    <row r="839" spans="1:21" x14ac:dyDescent="0.25">
      <c r="A839">
        <v>855</v>
      </c>
      <c r="B839">
        <v>3745</v>
      </c>
      <c r="C839" t="s">
        <v>5633</v>
      </c>
      <c r="D839" t="s">
        <v>7652</v>
      </c>
      <c r="E839" t="s">
        <v>5636</v>
      </c>
      <c r="F839" t="s">
        <v>53</v>
      </c>
      <c r="G839" t="s">
        <v>5637</v>
      </c>
      <c r="H839" t="s">
        <v>43</v>
      </c>
      <c r="I839" s="13" t="s">
        <v>5638</v>
      </c>
      <c r="J839" t="s">
        <v>31</v>
      </c>
      <c r="K839" t="s">
        <v>7886</v>
      </c>
      <c r="L839" t="s">
        <v>7981</v>
      </c>
      <c r="M839" t="s">
        <v>46</v>
      </c>
      <c r="N839" t="s">
        <v>33</v>
      </c>
      <c r="O839" s="17">
        <v>812500</v>
      </c>
      <c r="P839" s="17" t="s">
        <v>7854</v>
      </c>
      <c r="Q839" s="22">
        <v>0</v>
      </c>
      <c r="R839" s="22" t="s">
        <v>7854</v>
      </c>
      <c r="S839" s="24">
        <v>162500</v>
      </c>
      <c r="T839" s="24" t="s">
        <v>7854</v>
      </c>
      <c r="U839" t="s">
        <v>5639</v>
      </c>
    </row>
    <row r="840" spans="1:21" x14ac:dyDescent="0.25">
      <c r="A840">
        <v>856</v>
      </c>
      <c r="B840">
        <v>19308</v>
      </c>
      <c r="C840" t="s">
        <v>5640</v>
      </c>
      <c r="D840" t="s">
        <v>7653</v>
      </c>
      <c r="E840" t="s">
        <v>5643</v>
      </c>
      <c r="F840" t="s">
        <v>28</v>
      </c>
      <c r="G840" t="s">
        <v>1624</v>
      </c>
      <c r="H840" t="s">
        <v>453</v>
      </c>
      <c r="I840" s="13" t="s">
        <v>5644</v>
      </c>
      <c r="J840" t="s">
        <v>45</v>
      </c>
      <c r="K840" t="s">
        <v>7881</v>
      </c>
      <c r="L840" t="s">
        <v>7893</v>
      </c>
      <c r="M840" t="s">
        <v>455</v>
      </c>
      <c r="N840" t="s">
        <v>130</v>
      </c>
      <c r="O840" s="17" t="s">
        <v>7854</v>
      </c>
      <c r="P840" s="17">
        <v>425</v>
      </c>
      <c r="Q840" s="22" t="s">
        <v>7854</v>
      </c>
      <c r="R840" s="22">
        <v>0</v>
      </c>
      <c r="S840" s="24" t="s">
        <v>7854</v>
      </c>
      <c r="T840" s="24">
        <v>0</v>
      </c>
      <c r="U840" t="s">
        <v>5645</v>
      </c>
    </row>
    <row r="841" spans="1:21" x14ac:dyDescent="0.25">
      <c r="A841">
        <v>857</v>
      </c>
      <c r="B841">
        <v>6229</v>
      </c>
      <c r="C841" t="s">
        <v>5646</v>
      </c>
      <c r="D841" t="s">
        <v>7654</v>
      </c>
      <c r="E841" t="s">
        <v>5649</v>
      </c>
      <c r="F841" t="s">
        <v>53</v>
      </c>
      <c r="G841" t="s">
        <v>5650</v>
      </c>
      <c r="H841" t="s">
        <v>43</v>
      </c>
      <c r="I841" s="13" t="s">
        <v>5651</v>
      </c>
      <c r="J841" t="s">
        <v>31</v>
      </c>
      <c r="K841" t="s">
        <v>7886</v>
      </c>
      <c r="L841" t="s">
        <v>7940</v>
      </c>
      <c r="M841" t="s">
        <v>63</v>
      </c>
      <c r="N841" t="s">
        <v>33</v>
      </c>
      <c r="O841" s="17">
        <v>812500</v>
      </c>
      <c r="P841" s="17" t="s">
        <v>7854</v>
      </c>
      <c r="Q841" s="22">
        <v>0</v>
      </c>
      <c r="R841" s="22" t="s">
        <v>7854</v>
      </c>
      <c r="S841" s="24">
        <v>162500</v>
      </c>
      <c r="T841" s="24" t="s">
        <v>7854</v>
      </c>
      <c r="U841" t="s">
        <v>5652</v>
      </c>
    </row>
    <row r="842" spans="1:21" x14ac:dyDescent="0.25">
      <c r="A842">
        <v>858</v>
      </c>
      <c r="B842">
        <v>23802</v>
      </c>
      <c r="C842" t="s">
        <v>5653</v>
      </c>
      <c r="D842" t="s">
        <v>7655</v>
      </c>
      <c r="E842" t="s">
        <v>5657</v>
      </c>
      <c r="F842" t="s">
        <v>53</v>
      </c>
      <c r="G842" t="s">
        <v>5027</v>
      </c>
      <c r="H842" t="s">
        <v>43</v>
      </c>
      <c r="I842" s="12">
        <v>2347064554287</v>
      </c>
      <c r="J842" t="s">
        <v>31</v>
      </c>
      <c r="K842" t="s">
        <v>7881</v>
      </c>
      <c r="L842" t="s">
        <v>7893</v>
      </c>
      <c r="M842" t="s">
        <v>87</v>
      </c>
      <c r="N842" t="s">
        <v>33</v>
      </c>
      <c r="O842" s="17">
        <v>552500</v>
      </c>
      <c r="P842" s="17" t="s">
        <v>7854</v>
      </c>
      <c r="Q842" s="22">
        <v>0</v>
      </c>
      <c r="R842" s="22" t="s">
        <v>7854</v>
      </c>
      <c r="S842" s="24">
        <v>0</v>
      </c>
      <c r="T842" s="24" t="s">
        <v>7854</v>
      </c>
      <c r="U842" t="s">
        <v>5658</v>
      </c>
    </row>
    <row r="843" spans="1:21" x14ac:dyDescent="0.25">
      <c r="A843">
        <v>859</v>
      </c>
      <c r="B843">
        <v>24536</v>
      </c>
      <c r="C843" t="s">
        <v>5659</v>
      </c>
      <c r="D843" t="s">
        <v>7656</v>
      </c>
      <c r="E843" t="s">
        <v>5663</v>
      </c>
      <c r="F843" t="s">
        <v>53</v>
      </c>
      <c r="G843" t="s">
        <v>191</v>
      </c>
      <c r="H843" t="s">
        <v>43</v>
      </c>
      <c r="I843" s="13" t="s">
        <v>5664</v>
      </c>
      <c r="J843" t="s">
        <v>31</v>
      </c>
      <c r="K843" t="s">
        <v>7879</v>
      </c>
      <c r="L843" t="s">
        <v>8028</v>
      </c>
      <c r="M843" t="s">
        <v>63</v>
      </c>
      <c r="N843" t="s">
        <v>33</v>
      </c>
      <c r="O843" s="17">
        <v>195000</v>
      </c>
      <c r="P843" s="17" t="s">
        <v>7854</v>
      </c>
      <c r="Q843" s="22">
        <v>0</v>
      </c>
      <c r="R843" s="22" t="s">
        <v>7854</v>
      </c>
      <c r="S843" s="24">
        <v>0</v>
      </c>
      <c r="T843" s="24" t="s">
        <v>7854</v>
      </c>
      <c r="U843" t="s">
        <v>5665</v>
      </c>
    </row>
    <row r="844" spans="1:21" x14ac:dyDescent="0.25">
      <c r="A844">
        <v>860</v>
      </c>
      <c r="B844">
        <v>23983</v>
      </c>
      <c r="C844" t="s">
        <v>5666</v>
      </c>
      <c r="D844" t="s">
        <v>7657</v>
      </c>
      <c r="E844" t="s">
        <v>5670</v>
      </c>
      <c r="F844" t="s">
        <v>28</v>
      </c>
      <c r="G844" t="s">
        <v>2044</v>
      </c>
      <c r="H844" t="s">
        <v>43</v>
      </c>
      <c r="I844" s="13" t="s">
        <v>5671</v>
      </c>
      <c r="J844" t="s">
        <v>31</v>
      </c>
      <c r="K844" t="s">
        <v>7879</v>
      </c>
      <c r="L844" t="s">
        <v>8028</v>
      </c>
      <c r="M844" t="s">
        <v>63</v>
      </c>
      <c r="N844" t="s">
        <v>33</v>
      </c>
      <c r="O844" s="17">
        <v>195000</v>
      </c>
      <c r="P844" s="17" t="s">
        <v>7854</v>
      </c>
      <c r="Q844" s="22">
        <v>0</v>
      </c>
      <c r="R844" s="22" t="s">
        <v>7854</v>
      </c>
      <c r="S844" s="24">
        <v>0</v>
      </c>
      <c r="T844" s="24" t="s">
        <v>7854</v>
      </c>
      <c r="U844" t="s">
        <v>5672</v>
      </c>
    </row>
    <row r="845" spans="1:21" x14ac:dyDescent="0.25">
      <c r="A845">
        <v>861</v>
      </c>
      <c r="B845">
        <v>22457</v>
      </c>
      <c r="C845" t="s">
        <v>5674</v>
      </c>
      <c r="D845" t="s">
        <v>7658</v>
      </c>
      <c r="E845" t="s">
        <v>5676</v>
      </c>
      <c r="F845" t="s">
        <v>53</v>
      </c>
      <c r="G845" t="s">
        <v>4506</v>
      </c>
      <c r="H845" t="s">
        <v>43</v>
      </c>
      <c r="I845" s="12">
        <v>2348036863776</v>
      </c>
      <c r="J845" t="s">
        <v>31</v>
      </c>
      <c r="K845" t="s">
        <v>7881</v>
      </c>
      <c r="L845" t="s">
        <v>7981</v>
      </c>
      <c r="M845" t="s">
        <v>46</v>
      </c>
      <c r="N845" t="s">
        <v>33</v>
      </c>
      <c r="O845" s="17">
        <v>552500</v>
      </c>
      <c r="P845" s="17" t="s">
        <v>7854</v>
      </c>
      <c r="Q845" s="22">
        <v>0</v>
      </c>
      <c r="R845" s="22" t="s">
        <v>7854</v>
      </c>
      <c r="S845" s="24">
        <v>0</v>
      </c>
      <c r="T845" s="24" t="s">
        <v>7854</v>
      </c>
      <c r="U845" t="s">
        <v>5677</v>
      </c>
    </row>
    <row r="846" spans="1:21" x14ac:dyDescent="0.25">
      <c r="A846">
        <v>862</v>
      </c>
      <c r="B846">
        <v>21768</v>
      </c>
      <c r="C846" t="s">
        <v>5678</v>
      </c>
      <c r="D846" t="s">
        <v>7659</v>
      </c>
      <c r="E846" t="s">
        <v>5679</v>
      </c>
      <c r="F846" t="s">
        <v>28</v>
      </c>
      <c r="G846" t="s">
        <v>5680</v>
      </c>
      <c r="H846" t="s">
        <v>43</v>
      </c>
      <c r="I846" s="12">
        <v>238032367444</v>
      </c>
      <c r="J846" t="s">
        <v>31</v>
      </c>
      <c r="K846" t="s">
        <v>7879</v>
      </c>
      <c r="L846" t="s">
        <v>7940</v>
      </c>
      <c r="M846" t="s">
        <v>46</v>
      </c>
      <c r="N846" t="s">
        <v>33</v>
      </c>
      <c r="O846" s="17">
        <v>195000</v>
      </c>
      <c r="P846" s="17" t="s">
        <v>7854</v>
      </c>
      <c r="Q846" s="22">
        <v>0</v>
      </c>
      <c r="R846" s="22" t="s">
        <v>7854</v>
      </c>
      <c r="S846" s="24">
        <v>0</v>
      </c>
      <c r="T846" s="24" t="s">
        <v>7854</v>
      </c>
      <c r="U846" t="s">
        <v>5681</v>
      </c>
    </row>
    <row r="847" spans="1:21" x14ac:dyDescent="0.25">
      <c r="A847">
        <v>863</v>
      </c>
      <c r="B847">
        <v>21217</v>
      </c>
      <c r="C847" t="s">
        <v>5682</v>
      </c>
      <c r="D847" t="s">
        <v>7660</v>
      </c>
      <c r="E847" t="s">
        <v>5684</v>
      </c>
      <c r="F847" t="s">
        <v>28</v>
      </c>
      <c r="G847" t="s">
        <v>5685</v>
      </c>
      <c r="H847" t="s">
        <v>43</v>
      </c>
      <c r="I847" s="12">
        <v>2348120110088</v>
      </c>
      <c r="J847" t="s">
        <v>45</v>
      </c>
      <c r="K847" t="s">
        <v>7881</v>
      </c>
      <c r="L847" t="s">
        <v>7981</v>
      </c>
      <c r="M847" t="s">
        <v>87</v>
      </c>
      <c r="N847" t="s">
        <v>33</v>
      </c>
      <c r="O847" s="17">
        <v>552500</v>
      </c>
      <c r="P847" s="17" t="s">
        <v>7854</v>
      </c>
      <c r="Q847" s="22">
        <v>0</v>
      </c>
      <c r="R847" s="22" t="s">
        <v>7854</v>
      </c>
      <c r="S847" s="24">
        <v>0</v>
      </c>
      <c r="T847" s="24" t="s">
        <v>7854</v>
      </c>
      <c r="U847" t="s">
        <v>5686</v>
      </c>
    </row>
    <row r="848" spans="1:21" x14ac:dyDescent="0.25">
      <c r="A848">
        <v>864</v>
      </c>
      <c r="B848">
        <v>20736</v>
      </c>
      <c r="C848" t="s">
        <v>5687</v>
      </c>
      <c r="D848" t="s">
        <v>7661</v>
      </c>
      <c r="E848" t="s">
        <v>5690</v>
      </c>
      <c r="F848" t="s">
        <v>28</v>
      </c>
      <c r="G848" t="s">
        <v>5691</v>
      </c>
      <c r="H848" t="s">
        <v>43</v>
      </c>
      <c r="I848" s="13" t="s">
        <v>5692</v>
      </c>
      <c r="J848" t="s">
        <v>31</v>
      </c>
      <c r="K848" t="s">
        <v>7881</v>
      </c>
      <c r="L848" t="s">
        <v>7888</v>
      </c>
      <c r="M848" t="s">
        <v>46</v>
      </c>
      <c r="N848" t="s">
        <v>33</v>
      </c>
      <c r="O848" s="17">
        <v>552500</v>
      </c>
      <c r="P848" s="17" t="s">
        <v>7854</v>
      </c>
      <c r="Q848" s="22">
        <v>110500</v>
      </c>
      <c r="R848" s="22" t="s">
        <v>7854</v>
      </c>
      <c r="S848" s="24">
        <v>0</v>
      </c>
      <c r="T848" s="24" t="s">
        <v>7854</v>
      </c>
      <c r="U848" t="s">
        <v>5693</v>
      </c>
    </row>
    <row r="849" spans="1:21" x14ac:dyDescent="0.25">
      <c r="A849">
        <v>865</v>
      </c>
      <c r="B849">
        <v>20496</v>
      </c>
      <c r="C849" t="s">
        <v>5694</v>
      </c>
      <c r="D849" t="s">
        <v>7662</v>
      </c>
      <c r="E849" t="s">
        <v>5698</v>
      </c>
      <c r="F849" t="s">
        <v>28</v>
      </c>
      <c r="G849" t="s">
        <v>5699</v>
      </c>
      <c r="H849" t="s">
        <v>43</v>
      </c>
      <c r="I849" s="13" t="s">
        <v>5700</v>
      </c>
      <c r="J849" t="s">
        <v>31</v>
      </c>
      <c r="K849" t="s">
        <v>7881</v>
      </c>
      <c r="L849" t="s">
        <v>7940</v>
      </c>
      <c r="M849" t="s">
        <v>46</v>
      </c>
      <c r="N849" t="s">
        <v>33</v>
      </c>
      <c r="O849" s="17">
        <v>552500</v>
      </c>
      <c r="P849" s="17" t="s">
        <v>7854</v>
      </c>
      <c r="Q849" s="22">
        <v>0</v>
      </c>
      <c r="R849" s="22" t="s">
        <v>7854</v>
      </c>
      <c r="S849" s="24">
        <v>0</v>
      </c>
      <c r="T849" s="24" t="s">
        <v>7854</v>
      </c>
      <c r="U849" t="s">
        <v>5701</v>
      </c>
    </row>
    <row r="850" spans="1:21" x14ac:dyDescent="0.25">
      <c r="A850">
        <v>866</v>
      </c>
      <c r="B850">
        <v>24545</v>
      </c>
      <c r="C850" t="s">
        <v>5702</v>
      </c>
      <c r="D850" t="s">
        <v>7663</v>
      </c>
      <c r="E850" t="s">
        <v>5706</v>
      </c>
      <c r="F850" t="s">
        <v>53</v>
      </c>
      <c r="G850" t="s">
        <v>5707</v>
      </c>
      <c r="H850" t="s">
        <v>43</v>
      </c>
      <c r="I850" s="13" t="s">
        <v>5708</v>
      </c>
      <c r="J850" t="s">
        <v>31</v>
      </c>
      <c r="K850" t="s">
        <v>7879</v>
      </c>
      <c r="L850" t="s">
        <v>7893</v>
      </c>
      <c r="M850" t="s">
        <v>46</v>
      </c>
      <c r="N850" t="s">
        <v>33</v>
      </c>
      <c r="O850" s="17">
        <v>195000</v>
      </c>
      <c r="P850" s="17" t="s">
        <v>7854</v>
      </c>
      <c r="Q850" s="22">
        <v>0</v>
      </c>
      <c r="R850" s="22" t="s">
        <v>7854</v>
      </c>
      <c r="S850" s="24">
        <v>0</v>
      </c>
      <c r="T850" s="24" t="s">
        <v>7854</v>
      </c>
      <c r="U850" t="s">
        <v>5709</v>
      </c>
    </row>
    <row r="851" spans="1:21" x14ac:dyDescent="0.25">
      <c r="A851">
        <v>867</v>
      </c>
      <c r="B851">
        <v>19655</v>
      </c>
      <c r="C851" t="s">
        <v>5710</v>
      </c>
      <c r="D851" t="s">
        <v>7664</v>
      </c>
      <c r="E851" t="s">
        <v>5713</v>
      </c>
      <c r="F851" t="s">
        <v>53</v>
      </c>
      <c r="G851" t="s">
        <v>5714</v>
      </c>
      <c r="H851" t="s">
        <v>43</v>
      </c>
      <c r="I851" s="13" t="s">
        <v>5715</v>
      </c>
      <c r="J851" t="s">
        <v>45</v>
      </c>
      <c r="K851" t="s">
        <v>7881</v>
      </c>
      <c r="L851" t="s">
        <v>7981</v>
      </c>
      <c r="M851" t="s">
        <v>46</v>
      </c>
      <c r="N851" t="s">
        <v>33</v>
      </c>
      <c r="O851" s="17">
        <v>552500</v>
      </c>
      <c r="P851" s="17" t="s">
        <v>7854</v>
      </c>
      <c r="Q851" s="22">
        <v>0</v>
      </c>
      <c r="R851" s="22" t="s">
        <v>7854</v>
      </c>
      <c r="S851" s="24">
        <v>0</v>
      </c>
      <c r="T851" s="24" t="s">
        <v>7854</v>
      </c>
      <c r="U851" t="s">
        <v>5716</v>
      </c>
    </row>
    <row r="852" spans="1:21" x14ac:dyDescent="0.25">
      <c r="A852">
        <v>868</v>
      </c>
      <c r="B852">
        <v>242</v>
      </c>
      <c r="C852" t="s">
        <v>5717</v>
      </c>
      <c r="D852" t="s">
        <v>7665</v>
      </c>
      <c r="E852" t="s">
        <v>5721</v>
      </c>
      <c r="F852" t="s">
        <v>53</v>
      </c>
      <c r="G852" t="s">
        <v>5722</v>
      </c>
      <c r="H852" t="s">
        <v>43</v>
      </c>
      <c r="I852" s="12">
        <v>7031517017</v>
      </c>
      <c r="J852" t="s">
        <v>31</v>
      </c>
      <c r="K852" t="s">
        <v>7886</v>
      </c>
      <c r="L852" t="s">
        <v>7981</v>
      </c>
      <c r="M852" t="s">
        <v>63</v>
      </c>
      <c r="N852" t="s">
        <v>33</v>
      </c>
      <c r="O852" s="17">
        <v>812500</v>
      </c>
      <c r="P852" s="17" t="s">
        <v>7854</v>
      </c>
      <c r="Q852" s="22">
        <v>0</v>
      </c>
      <c r="R852" s="22" t="s">
        <v>7854</v>
      </c>
      <c r="S852" s="24">
        <v>162500</v>
      </c>
      <c r="T852" s="24" t="s">
        <v>7854</v>
      </c>
      <c r="U852" t="s">
        <v>5723</v>
      </c>
    </row>
    <row r="853" spans="1:21" x14ac:dyDescent="0.25">
      <c r="A853">
        <v>869</v>
      </c>
      <c r="B853">
        <v>24502</v>
      </c>
      <c r="C853" t="s">
        <v>5724</v>
      </c>
      <c r="D853" t="s">
        <v>7666</v>
      </c>
      <c r="E853" t="s">
        <v>5726</v>
      </c>
      <c r="F853" t="s">
        <v>53</v>
      </c>
      <c r="G853" t="s">
        <v>5727</v>
      </c>
      <c r="H853" t="s">
        <v>43</v>
      </c>
      <c r="I853" s="13" t="s">
        <v>5728</v>
      </c>
      <c r="J853" t="s">
        <v>31</v>
      </c>
      <c r="K853" t="s">
        <v>7879</v>
      </c>
      <c r="L853" t="s">
        <v>7940</v>
      </c>
      <c r="M853" t="s">
        <v>46</v>
      </c>
      <c r="N853" t="s">
        <v>33</v>
      </c>
      <c r="O853" s="17">
        <v>195000</v>
      </c>
      <c r="P853" s="17" t="s">
        <v>7854</v>
      </c>
      <c r="Q853" s="22">
        <v>0</v>
      </c>
      <c r="R853" s="22" t="s">
        <v>7854</v>
      </c>
      <c r="S853" s="24">
        <v>0</v>
      </c>
      <c r="T853" s="24" t="s">
        <v>7854</v>
      </c>
      <c r="U853" t="s">
        <v>5729</v>
      </c>
    </row>
    <row r="854" spans="1:21" x14ac:dyDescent="0.25">
      <c r="A854">
        <v>870</v>
      </c>
      <c r="B854">
        <v>24543</v>
      </c>
      <c r="C854" t="s">
        <v>5730</v>
      </c>
      <c r="D854" t="s">
        <v>7667</v>
      </c>
      <c r="E854" t="s">
        <v>5732</v>
      </c>
      <c r="F854" t="s">
        <v>53</v>
      </c>
      <c r="G854" t="s">
        <v>772</v>
      </c>
      <c r="H854" t="s">
        <v>43</v>
      </c>
      <c r="I854" s="13" t="s">
        <v>5733</v>
      </c>
      <c r="J854" t="s">
        <v>31</v>
      </c>
      <c r="K854" t="s">
        <v>7879</v>
      </c>
      <c r="L854" t="s">
        <v>8028</v>
      </c>
      <c r="M854" t="s">
        <v>46</v>
      </c>
      <c r="N854" t="s">
        <v>33</v>
      </c>
      <c r="O854" s="17">
        <v>195000</v>
      </c>
      <c r="P854" s="17" t="s">
        <v>7854</v>
      </c>
      <c r="Q854" s="22">
        <v>0</v>
      </c>
      <c r="R854" s="22" t="s">
        <v>7854</v>
      </c>
      <c r="S854" s="24">
        <v>0</v>
      </c>
      <c r="T854" s="24" t="s">
        <v>7854</v>
      </c>
      <c r="U854" t="s">
        <v>5734</v>
      </c>
    </row>
    <row r="855" spans="1:21" x14ac:dyDescent="0.25">
      <c r="A855">
        <v>871</v>
      </c>
      <c r="B855">
        <v>20051</v>
      </c>
      <c r="C855" t="s">
        <v>5735</v>
      </c>
      <c r="D855" t="s">
        <v>7668</v>
      </c>
      <c r="E855" t="s">
        <v>7932</v>
      </c>
      <c r="F855" t="s">
        <v>53</v>
      </c>
      <c r="G855" t="s">
        <v>5738</v>
      </c>
      <c r="H855" t="s">
        <v>43</v>
      </c>
      <c r="I855" s="13" t="s">
        <v>5739</v>
      </c>
      <c r="J855" t="s">
        <v>31</v>
      </c>
      <c r="K855" t="s">
        <v>7881</v>
      </c>
      <c r="L855" t="s">
        <v>7893</v>
      </c>
      <c r="M855" t="s">
        <v>46</v>
      </c>
      <c r="N855" t="s">
        <v>33</v>
      </c>
      <c r="O855" s="17">
        <v>552500</v>
      </c>
      <c r="P855" s="17" t="s">
        <v>7854</v>
      </c>
      <c r="Q855" s="22">
        <v>0</v>
      </c>
      <c r="R855" s="22" t="s">
        <v>7854</v>
      </c>
      <c r="S855" s="24">
        <v>0</v>
      </c>
      <c r="T855" s="24" t="s">
        <v>7854</v>
      </c>
      <c r="U855" t="s">
        <v>5740</v>
      </c>
    </row>
    <row r="856" spans="1:21" x14ac:dyDescent="0.25">
      <c r="A856">
        <v>872</v>
      </c>
      <c r="B856">
        <v>24506</v>
      </c>
      <c r="C856" t="s">
        <v>5741</v>
      </c>
      <c r="D856" t="s">
        <v>7669</v>
      </c>
      <c r="E856" s="2" t="s">
        <v>5744</v>
      </c>
      <c r="F856" t="s">
        <v>28</v>
      </c>
      <c r="G856" t="s">
        <v>923</v>
      </c>
      <c r="H856" t="s">
        <v>43</v>
      </c>
      <c r="I856" s="13" t="s">
        <v>5744</v>
      </c>
      <c r="J856" t="s">
        <v>31</v>
      </c>
      <c r="K856" t="s">
        <v>7879</v>
      </c>
      <c r="L856" t="s">
        <v>7981</v>
      </c>
      <c r="M856" t="s">
        <v>46</v>
      </c>
      <c r="N856" t="s">
        <v>33</v>
      </c>
      <c r="O856" s="17">
        <v>195000</v>
      </c>
      <c r="P856" s="17" t="s">
        <v>7854</v>
      </c>
      <c r="Q856" s="22">
        <v>0</v>
      </c>
      <c r="R856" s="22" t="s">
        <v>7854</v>
      </c>
      <c r="S856" s="24">
        <v>0</v>
      </c>
      <c r="T856" s="24" t="s">
        <v>7854</v>
      </c>
      <c r="U856" t="s">
        <v>5745</v>
      </c>
    </row>
    <row r="857" spans="1:21" x14ac:dyDescent="0.25">
      <c r="A857">
        <v>873</v>
      </c>
      <c r="B857">
        <v>8310</v>
      </c>
      <c r="C857" t="s">
        <v>5746</v>
      </c>
      <c r="D857" t="s">
        <v>7670</v>
      </c>
      <c r="E857" t="s">
        <v>5750</v>
      </c>
      <c r="F857" t="s">
        <v>28</v>
      </c>
      <c r="G857" t="s">
        <v>5751</v>
      </c>
      <c r="H857" t="s">
        <v>43</v>
      </c>
      <c r="I857" s="12">
        <v>7062042534</v>
      </c>
      <c r="J857" t="s">
        <v>31</v>
      </c>
      <c r="K857" t="s">
        <v>7886</v>
      </c>
      <c r="L857" t="s">
        <v>7940</v>
      </c>
      <c r="M857" t="s">
        <v>63</v>
      </c>
      <c r="N857" t="s">
        <v>33</v>
      </c>
      <c r="O857" s="17">
        <v>812500</v>
      </c>
      <c r="P857" s="17" t="s">
        <v>7854</v>
      </c>
      <c r="Q857" s="22">
        <v>0</v>
      </c>
      <c r="R857" s="22" t="s">
        <v>7854</v>
      </c>
      <c r="S857" s="24">
        <v>162500</v>
      </c>
      <c r="T857" s="24" t="s">
        <v>7854</v>
      </c>
      <c r="U857" t="s">
        <v>5752</v>
      </c>
    </row>
    <row r="858" spans="1:21" x14ac:dyDescent="0.25">
      <c r="A858">
        <v>874</v>
      </c>
      <c r="B858">
        <v>20257</v>
      </c>
      <c r="C858" t="s">
        <v>5753</v>
      </c>
      <c r="D858" t="s">
        <v>7671</v>
      </c>
      <c r="E858" t="s">
        <v>5756</v>
      </c>
      <c r="F858" t="s">
        <v>28</v>
      </c>
      <c r="G858" t="s">
        <v>5757</v>
      </c>
      <c r="H858" t="s">
        <v>43</v>
      </c>
      <c r="I858" s="13" t="s">
        <v>5758</v>
      </c>
      <c r="J858" t="s">
        <v>31</v>
      </c>
      <c r="K858" t="s">
        <v>7881</v>
      </c>
      <c r="L858" t="s">
        <v>7940</v>
      </c>
      <c r="M858" t="s">
        <v>87</v>
      </c>
      <c r="N858" t="s">
        <v>33</v>
      </c>
      <c r="O858" s="17">
        <v>552500</v>
      </c>
      <c r="P858" s="17" t="s">
        <v>7854</v>
      </c>
      <c r="Q858" s="22">
        <v>0</v>
      </c>
      <c r="R858" s="22" t="s">
        <v>7854</v>
      </c>
      <c r="S858" s="24">
        <v>0</v>
      </c>
      <c r="T858" s="24" t="s">
        <v>7854</v>
      </c>
      <c r="U858" t="s">
        <v>5759</v>
      </c>
    </row>
    <row r="859" spans="1:21" x14ac:dyDescent="0.25">
      <c r="A859">
        <v>875</v>
      </c>
      <c r="B859">
        <v>19671</v>
      </c>
      <c r="C859" t="s">
        <v>5760</v>
      </c>
      <c r="D859" t="s">
        <v>7672</v>
      </c>
      <c r="E859" t="s">
        <v>1554</v>
      </c>
      <c r="F859" t="s">
        <v>28</v>
      </c>
      <c r="G859" t="s">
        <v>5763</v>
      </c>
      <c r="H859" t="s">
        <v>43</v>
      </c>
      <c r="I859" s="13" t="s">
        <v>5764</v>
      </c>
      <c r="J859" t="s">
        <v>31</v>
      </c>
      <c r="K859" t="s">
        <v>7881</v>
      </c>
      <c r="L859" t="s">
        <v>7940</v>
      </c>
      <c r="M859" t="s">
        <v>87</v>
      </c>
      <c r="N859" t="s">
        <v>33</v>
      </c>
      <c r="O859" s="17">
        <v>552500</v>
      </c>
      <c r="P859" s="17" t="s">
        <v>7854</v>
      </c>
      <c r="Q859" s="22">
        <v>0</v>
      </c>
      <c r="R859" s="22" t="s">
        <v>7854</v>
      </c>
      <c r="S859" s="24">
        <v>0</v>
      </c>
      <c r="T859" s="24" t="s">
        <v>7854</v>
      </c>
      <c r="U859" t="s">
        <v>5765</v>
      </c>
    </row>
    <row r="860" spans="1:21" x14ac:dyDescent="0.25">
      <c r="A860">
        <v>876</v>
      </c>
      <c r="B860">
        <v>18489</v>
      </c>
      <c r="C860" t="s">
        <v>5766</v>
      </c>
      <c r="D860" t="s">
        <v>7673</v>
      </c>
      <c r="E860" t="s">
        <v>5769</v>
      </c>
      <c r="F860" t="s">
        <v>53</v>
      </c>
      <c r="G860" t="s">
        <v>5770</v>
      </c>
      <c r="H860" t="s">
        <v>43</v>
      </c>
      <c r="I860" s="13" t="s">
        <v>5771</v>
      </c>
      <c r="J860" t="s">
        <v>31</v>
      </c>
      <c r="K860" t="s">
        <v>7879</v>
      </c>
      <c r="L860" t="s">
        <v>7940</v>
      </c>
      <c r="M860" t="s">
        <v>87</v>
      </c>
      <c r="N860" t="s">
        <v>33</v>
      </c>
      <c r="O860" s="17">
        <v>195000</v>
      </c>
      <c r="P860" s="17" t="s">
        <v>7854</v>
      </c>
      <c r="Q860" s="22">
        <v>0</v>
      </c>
      <c r="R860" s="22" t="s">
        <v>7854</v>
      </c>
      <c r="S860" s="24">
        <v>0</v>
      </c>
      <c r="T860" s="24" t="s">
        <v>7854</v>
      </c>
      <c r="U860" t="s">
        <v>5772</v>
      </c>
    </row>
    <row r="861" spans="1:21" x14ac:dyDescent="0.25">
      <c r="A861">
        <v>877</v>
      </c>
      <c r="B861">
        <v>8751</v>
      </c>
      <c r="C861" t="s">
        <v>5773</v>
      </c>
      <c r="D861" t="s">
        <v>7674</v>
      </c>
      <c r="E861" t="s">
        <v>7972</v>
      </c>
      <c r="F861" t="s">
        <v>53</v>
      </c>
      <c r="G861" t="s">
        <v>2443</v>
      </c>
      <c r="H861" t="s">
        <v>43</v>
      </c>
      <c r="I861" s="13" t="s">
        <v>5777</v>
      </c>
      <c r="J861" t="s">
        <v>2333</v>
      </c>
      <c r="K861" t="s">
        <v>7886</v>
      </c>
      <c r="L861" t="s">
        <v>7940</v>
      </c>
      <c r="M861" t="s">
        <v>46</v>
      </c>
      <c r="N861" t="s">
        <v>33</v>
      </c>
      <c r="O861" s="17">
        <v>812500</v>
      </c>
      <c r="P861" s="17" t="s">
        <v>7854</v>
      </c>
      <c r="Q861" s="22">
        <v>0</v>
      </c>
      <c r="R861" s="22" t="s">
        <v>7854</v>
      </c>
      <c r="S861" s="24">
        <v>162500</v>
      </c>
      <c r="T861" s="24" t="s">
        <v>7854</v>
      </c>
      <c r="U861" t="s">
        <v>5778</v>
      </c>
    </row>
    <row r="862" spans="1:21" x14ac:dyDescent="0.25">
      <c r="A862">
        <v>878</v>
      </c>
      <c r="B862">
        <v>24528</v>
      </c>
      <c r="C862" t="s">
        <v>5779</v>
      </c>
      <c r="D862" t="s">
        <v>7675</v>
      </c>
      <c r="E862" t="s">
        <v>5781</v>
      </c>
      <c r="F862" t="s">
        <v>53</v>
      </c>
      <c r="G862" t="s">
        <v>5781</v>
      </c>
      <c r="H862" t="s">
        <v>43</v>
      </c>
      <c r="I862" s="13" t="s">
        <v>5782</v>
      </c>
      <c r="J862" t="s">
        <v>31</v>
      </c>
      <c r="K862" t="s">
        <v>7879</v>
      </c>
      <c r="L862" t="s">
        <v>7888</v>
      </c>
      <c r="M862" t="s">
        <v>46</v>
      </c>
      <c r="N862" t="s">
        <v>33</v>
      </c>
      <c r="O862" s="17">
        <v>195000</v>
      </c>
      <c r="P862" s="17" t="s">
        <v>7854</v>
      </c>
      <c r="Q862" s="22">
        <v>0</v>
      </c>
      <c r="R862" s="22" t="s">
        <v>7854</v>
      </c>
      <c r="S862" s="24">
        <v>0</v>
      </c>
      <c r="T862" s="24" t="s">
        <v>7854</v>
      </c>
      <c r="U862" t="s">
        <v>5783</v>
      </c>
    </row>
    <row r="863" spans="1:21" x14ac:dyDescent="0.25">
      <c r="A863">
        <v>879</v>
      </c>
      <c r="B863">
        <v>24206</v>
      </c>
      <c r="C863" t="s">
        <v>5784</v>
      </c>
      <c r="D863" t="s">
        <v>7676</v>
      </c>
      <c r="E863" t="s">
        <v>5784</v>
      </c>
      <c r="F863" t="s">
        <v>28</v>
      </c>
      <c r="G863" t="s">
        <v>5788</v>
      </c>
      <c r="H863" t="s">
        <v>43</v>
      </c>
      <c r="I863" s="13" t="s">
        <v>5789</v>
      </c>
      <c r="J863" t="s">
        <v>31</v>
      </c>
      <c r="K863" t="s">
        <v>7879</v>
      </c>
      <c r="L863" t="s">
        <v>7888</v>
      </c>
      <c r="M863" t="s">
        <v>46</v>
      </c>
      <c r="N863" t="s">
        <v>33</v>
      </c>
      <c r="O863" s="17">
        <v>195000</v>
      </c>
      <c r="P863" s="17" t="s">
        <v>7854</v>
      </c>
      <c r="Q863" s="22">
        <v>0</v>
      </c>
      <c r="R863" s="22" t="s">
        <v>7854</v>
      </c>
      <c r="S863" s="24">
        <v>0</v>
      </c>
      <c r="T863" s="24" t="s">
        <v>7854</v>
      </c>
      <c r="U863" t="s">
        <v>5790</v>
      </c>
    </row>
    <row r="864" spans="1:21" x14ac:dyDescent="0.25">
      <c r="A864">
        <v>880</v>
      </c>
      <c r="B864">
        <v>21364</v>
      </c>
      <c r="C864" t="s">
        <v>5791</v>
      </c>
      <c r="D864" t="s">
        <v>7677</v>
      </c>
      <c r="E864" t="s">
        <v>5794</v>
      </c>
      <c r="F864" t="s">
        <v>28</v>
      </c>
      <c r="G864" t="s">
        <v>5794</v>
      </c>
      <c r="H864" t="s">
        <v>43</v>
      </c>
      <c r="I864" s="13" t="s">
        <v>5795</v>
      </c>
      <c r="J864" t="s">
        <v>31</v>
      </c>
      <c r="K864" t="s">
        <v>7881</v>
      </c>
      <c r="L864" t="s">
        <v>7888</v>
      </c>
      <c r="M864" t="s">
        <v>46</v>
      </c>
      <c r="N864" t="s">
        <v>33</v>
      </c>
      <c r="O864" s="17">
        <v>552500</v>
      </c>
      <c r="P864" s="17" t="s">
        <v>7854</v>
      </c>
      <c r="Q864" s="22">
        <v>110500</v>
      </c>
      <c r="R864" s="22" t="s">
        <v>7854</v>
      </c>
      <c r="S864" s="24">
        <v>0</v>
      </c>
      <c r="T864" s="24" t="s">
        <v>7854</v>
      </c>
      <c r="U864" t="s">
        <v>5796</v>
      </c>
    </row>
    <row r="865" spans="1:21" x14ac:dyDescent="0.25">
      <c r="A865">
        <v>881</v>
      </c>
      <c r="B865">
        <v>24420</v>
      </c>
      <c r="C865" t="s">
        <v>5797</v>
      </c>
      <c r="D865" t="s">
        <v>7678</v>
      </c>
      <c r="E865" t="s">
        <v>5801</v>
      </c>
      <c r="F865" t="s">
        <v>28</v>
      </c>
      <c r="G865" t="s">
        <v>281</v>
      </c>
      <c r="H865" t="s">
        <v>43</v>
      </c>
      <c r="I865" s="13" t="s">
        <v>5802</v>
      </c>
      <c r="J865" t="s">
        <v>31</v>
      </c>
      <c r="K865" t="s">
        <v>7879</v>
      </c>
      <c r="L865" t="s">
        <v>7940</v>
      </c>
      <c r="M865" t="s">
        <v>46</v>
      </c>
      <c r="N865" t="s">
        <v>33</v>
      </c>
      <c r="O865" s="17">
        <v>195000</v>
      </c>
      <c r="P865" s="17" t="s">
        <v>7854</v>
      </c>
      <c r="Q865" s="22">
        <v>0</v>
      </c>
      <c r="R865" s="22" t="s">
        <v>7854</v>
      </c>
      <c r="S865" s="24">
        <v>0</v>
      </c>
      <c r="T865" s="24" t="s">
        <v>7854</v>
      </c>
      <c r="U865" t="s">
        <v>5803</v>
      </c>
    </row>
    <row r="866" spans="1:21" x14ac:dyDescent="0.25">
      <c r="A866">
        <v>882</v>
      </c>
      <c r="B866">
        <v>1344</v>
      </c>
      <c r="C866" t="s">
        <v>5804</v>
      </c>
      <c r="D866" t="s">
        <v>7679</v>
      </c>
      <c r="E866" t="s">
        <v>5807</v>
      </c>
      <c r="F866" t="s">
        <v>53</v>
      </c>
      <c r="G866" t="s">
        <v>2630</v>
      </c>
      <c r="H866" t="s">
        <v>43</v>
      </c>
      <c r="I866" s="13" t="s">
        <v>5808</v>
      </c>
      <c r="J866" t="s">
        <v>31</v>
      </c>
      <c r="K866" t="s">
        <v>7886</v>
      </c>
      <c r="L866" t="s">
        <v>7893</v>
      </c>
      <c r="M866" t="s">
        <v>63</v>
      </c>
      <c r="N866" t="s">
        <v>33</v>
      </c>
      <c r="O866" s="17">
        <v>812500</v>
      </c>
      <c r="P866" s="17" t="s">
        <v>7854</v>
      </c>
      <c r="Q866" s="22">
        <v>0</v>
      </c>
      <c r="R866" s="22" t="s">
        <v>7854</v>
      </c>
      <c r="S866" s="24">
        <v>162500</v>
      </c>
      <c r="T866" s="24" t="s">
        <v>7854</v>
      </c>
      <c r="U866" t="s">
        <v>5809</v>
      </c>
    </row>
    <row r="867" spans="1:21" x14ac:dyDescent="0.25">
      <c r="A867">
        <v>884</v>
      </c>
      <c r="B867">
        <v>20944</v>
      </c>
      <c r="C867" t="s">
        <v>5810</v>
      </c>
      <c r="D867" t="s">
        <v>7680</v>
      </c>
      <c r="E867" t="s">
        <v>5814</v>
      </c>
      <c r="F867" t="s">
        <v>53</v>
      </c>
      <c r="G867" t="s">
        <v>5815</v>
      </c>
      <c r="H867" t="s">
        <v>453</v>
      </c>
      <c r="I867" s="13" t="s">
        <v>5816</v>
      </c>
      <c r="J867" t="s">
        <v>31</v>
      </c>
      <c r="K867" t="s">
        <v>7881</v>
      </c>
      <c r="L867" t="s">
        <v>7888</v>
      </c>
      <c r="M867" t="s">
        <v>455</v>
      </c>
      <c r="N867" t="s">
        <v>130</v>
      </c>
      <c r="O867" s="17" t="s">
        <v>7854</v>
      </c>
      <c r="P867" s="17">
        <v>425</v>
      </c>
      <c r="Q867" s="22" t="s">
        <v>7854</v>
      </c>
      <c r="R867" s="22">
        <v>85</v>
      </c>
      <c r="S867" s="24" t="s">
        <v>7854</v>
      </c>
      <c r="T867" s="24">
        <v>0</v>
      </c>
      <c r="U867" t="s">
        <v>5817</v>
      </c>
    </row>
    <row r="868" spans="1:21" x14ac:dyDescent="0.25">
      <c r="A868">
        <v>885</v>
      </c>
      <c r="B868">
        <v>20117</v>
      </c>
      <c r="C868" t="s">
        <v>5818</v>
      </c>
      <c r="D868" t="s">
        <v>7681</v>
      </c>
      <c r="E868" t="s">
        <v>5822</v>
      </c>
      <c r="F868" t="s">
        <v>28</v>
      </c>
      <c r="G868" t="s">
        <v>5823</v>
      </c>
      <c r="H868" t="s">
        <v>43</v>
      </c>
      <c r="I868" s="13" t="s">
        <v>5824</v>
      </c>
      <c r="J868" t="s">
        <v>31</v>
      </c>
      <c r="K868" t="s">
        <v>7881</v>
      </c>
      <c r="L868" t="s">
        <v>7940</v>
      </c>
      <c r="M868" t="s">
        <v>63</v>
      </c>
      <c r="N868" t="s">
        <v>33</v>
      </c>
      <c r="O868" s="17">
        <v>552500</v>
      </c>
      <c r="P868" s="17" t="s">
        <v>7854</v>
      </c>
      <c r="Q868" s="22">
        <v>0</v>
      </c>
      <c r="R868" s="22" t="s">
        <v>7854</v>
      </c>
      <c r="S868" s="24">
        <v>0</v>
      </c>
      <c r="T868" s="24" t="s">
        <v>7854</v>
      </c>
      <c r="U868" t="s">
        <v>5825</v>
      </c>
    </row>
    <row r="869" spans="1:21" x14ac:dyDescent="0.25">
      <c r="A869">
        <v>886</v>
      </c>
      <c r="B869">
        <v>3364</v>
      </c>
      <c r="C869" t="s">
        <v>5826</v>
      </c>
      <c r="D869" t="s">
        <v>7682</v>
      </c>
      <c r="E869" t="s">
        <v>5828</v>
      </c>
      <c r="F869" t="s">
        <v>53</v>
      </c>
      <c r="G869" t="s">
        <v>5829</v>
      </c>
      <c r="H869" t="s">
        <v>43</v>
      </c>
      <c r="I869" s="13" t="s">
        <v>5830</v>
      </c>
      <c r="J869" t="s">
        <v>31</v>
      </c>
      <c r="K869" t="s">
        <v>7881</v>
      </c>
      <c r="L869" t="s">
        <v>7940</v>
      </c>
      <c r="M869" t="s">
        <v>46</v>
      </c>
      <c r="N869" t="s">
        <v>33</v>
      </c>
      <c r="O869" s="17">
        <v>552500</v>
      </c>
      <c r="P869" s="17" t="s">
        <v>7854</v>
      </c>
      <c r="Q869" s="22">
        <v>0</v>
      </c>
      <c r="R869" s="22" t="s">
        <v>7854</v>
      </c>
      <c r="S869" s="24">
        <v>0</v>
      </c>
      <c r="T869" s="24" t="s">
        <v>7854</v>
      </c>
      <c r="U869" t="s">
        <v>5831</v>
      </c>
    </row>
    <row r="870" spans="1:21" x14ac:dyDescent="0.25">
      <c r="A870">
        <v>887</v>
      </c>
      <c r="B870">
        <v>2691</v>
      </c>
      <c r="C870" t="s">
        <v>5832</v>
      </c>
      <c r="D870" t="s">
        <v>7683</v>
      </c>
      <c r="E870" t="s">
        <v>8022</v>
      </c>
      <c r="F870" t="s">
        <v>28</v>
      </c>
      <c r="G870" t="s">
        <v>4028</v>
      </c>
      <c r="H870" t="s">
        <v>43</v>
      </c>
      <c r="I870" s="12">
        <v>2348034494894</v>
      </c>
      <c r="J870" t="s">
        <v>2333</v>
      </c>
      <c r="K870" t="s">
        <v>7886</v>
      </c>
      <c r="L870" t="s">
        <v>7981</v>
      </c>
      <c r="M870" t="s">
        <v>46</v>
      </c>
      <c r="N870" t="s">
        <v>33</v>
      </c>
      <c r="O870" s="17">
        <v>812500</v>
      </c>
      <c r="P870" s="17" t="s">
        <v>7854</v>
      </c>
      <c r="Q870" s="22">
        <v>0</v>
      </c>
      <c r="R870" s="22" t="s">
        <v>7854</v>
      </c>
      <c r="S870" s="24">
        <v>162500</v>
      </c>
      <c r="T870" s="24" t="s">
        <v>7854</v>
      </c>
      <c r="U870" t="s">
        <v>5833</v>
      </c>
    </row>
    <row r="871" spans="1:21" x14ac:dyDescent="0.25">
      <c r="A871">
        <v>888</v>
      </c>
      <c r="B871">
        <v>20990</v>
      </c>
      <c r="C871" t="s">
        <v>5834</v>
      </c>
      <c r="D871" t="s">
        <v>7684</v>
      </c>
      <c r="E871" t="s">
        <v>5838</v>
      </c>
      <c r="F871" t="s">
        <v>28</v>
      </c>
      <c r="G871" t="s">
        <v>5839</v>
      </c>
      <c r="H871" t="s">
        <v>453</v>
      </c>
      <c r="I871" s="12">
        <v>233267775522</v>
      </c>
      <c r="J871" t="s">
        <v>31</v>
      </c>
      <c r="K871" t="s">
        <v>7881</v>
      </c>
      <c r="L871" t="s">
        <v>7888</v>
      </c>
      <c r="M871" t="s">
        <v>455</v>
      </c>
      <c r="N871" t="s">
        <v>33</v>
      </c>
      <c r="O871" s="17">
        <v>552500</v>
      </c>
      <c r="P871" s="17" t="s">
        <v>7854</v>
      </c>
      <c r="Q871" s="22">
        <v>110500</v>
      </c>
      <c r="R871" s="22" t="s">
        <v>7854</v>
      </c>
      <c r="S871" s="24">
        <v>0</v>
      </c>
      <c r="T871" s="24" t="s">
        <v>7854</v>
      </c>
      <c r="U871" t="s">
        <v>5840</v>
      </c>
    </row>
    <row r="872" spans="1:21" x14ac:dyDescent="0.25">
      <c r="A872">
        <v>889</v>
      </c>
      <c r="B872">
        <v>3547</v>
      </c>
      <c r="C872" t="s">
        <v>5841</v>
      </c>
      <c r="D872" t="s">
        <v>7685</v>
      </c>
      <c r="E872" t="s">
        <v>5843</v>
      </c>
      <c r="F872" t="s">
        <v>53</v>
      </c>
      <c r="G872" t="s">
        <v>2871</v>
      </c>
      <c r="H872" t="s">
        <v>43</v>
      </c>
      <c r="I872" s="12" t="s">
        <v>5844</v>
      </c>
      <c r="J872" t="s">
        <v>31</v>
      </c>
      <c r="K872" t="s">
        <v>7881</v>
      </c>
      <c r="L872" t="s">
        <v>7940</v>
      </c>
      <c r="M872" t="s">
        <v>46</v>
      </c>
      <c r="N872" t="s">
        <v>33</v>
      </c>
      <c r="O872" s="17">
        <v>552500</v>
      </c>
      <c r="P872" s="17" t="s">
        <v>7854</v>
      </c>
      <c r="Q872" s="22">
        <v>0</v>
      </c>
      <c r="R872" s="22" t="s">
        <v>7854</v>
      </c>
      <c r="S872" s="24">
        <v>0</v>
      </c>
      <c r="T872" s="24" t="s">
        <v>7854</v>
      </c>
      <c r="U872" t="s">
        <v>5845</v>
      </c>
    </row>
    <row r="873" spans="1:21" x14ac:dyDescent="0.25">
      <c r="A873">
        <v>890</v>
      </c>
      <c r="B873">
        <v>24350</v>
      </c>
      <c r="C873" t="s">
        <v>5846</v>
      </c>
      <c r="D873" t="s">
        <v>7686</v>
      </c>
      <c r="E873" t="s">
        <v>5847</v>
      </c>
      <c r="F873" t="s">
        <v>28</v>
      </c>
      <c r="G873" t="s">
        <v>5848</v>
      </c>
      <c r="H873" t="s">
        <v>43</v>
      </c>
      <c r="I873" s="12">
        <v>2348033822164</v>
      </c>
      <c r="J873" t="s">
        <v>31</v>
      </c>
      <c r="K873" t="s">
        <v>7879</v>
      </c>
      <c r="L873" t="s">
        <v>7981</v>
      </c>
      <c r="M873" t="s">
        <v>46</v>
      </c>
      <c r="N873" t="s">
        <v>33</v>
      </c>
      <c r="O873" s="17">
        <v>195000</v>
      </c>
      <c r="P873" s="17" t="s">
        <v>7854</v>
      </c>
      <c r="Q873" s="22">
        <v>0</v>
      </c>
      <c r="R873" s="22" t="s">
        <v>7854</v>
      </c>
      <c r="S873" s="24">
        <v>0</v>
      </c>
      <c r="T873" s="24" t="s">
        <v>7854</v>
      </c>
      <c r="U873" t="s">
        <v>5849</v>
      </c>
    </row>
    <row r="874" spans="1:21" x14ac:dyDescent="0.25">
      <c r="A874">
        <v>891</v>
      </c>
      <c r="B874">
        <v>21338</v>
      </c>
      <c r="C874" t="s">
        <v>5851</v>
      </c>
      <c r="D874" t="s">
        <v>7687</v>
      </c>
      <c r="E874" t="s">
        <v>5855</v>
      </c>
      <c r="F874" t="s">
        <v>53</v>
      </c>
      <c r="G874" t="s">
        <v>5856</v>
      </c>
      <c r="H874" t="s">
        <v>43</v>
      </c>
      <c r="I874" s="13" t="s">
        <v>5857</v>
      </c>
      <c r="J874" t="s">
        <v>31</v>
      </c>
      <c r="K874" t="s">
        <v>7886</v>
      </c>
      <c r="L874" t="s">
        <v>7981</v>
      </c>
      <c r="M874" t="s">
        <v>46</v>
      </c>
      <c r="N874" t="s">
        <v>33</v>
      </c>
      <c r="O874" s="17">
        <v>812500</v>
      </c>
      <c r="P874" s="17" t="s">
        <v>7854</v>
      </c>
      <c r="Q874" s="22">
        <v>0</v>
      </c>
      <c r="R874" s="22" t="s">
        <v>7854</v>
      </c>
      <c r="S874" s="24">
        <v>162500</v>
      </c>
      <c r="T874" s="24" t="s">
        <v>7854</v>
      </c>
      <c r="U874" t="s">
        <v>5858</v>
      </c>
    </row>
    <row r="875" spans="1:21" x14ac:dyDescent="0.25">
      <c r="A875">
        <v>892</v>
      </c>
      <c r="B875">
        <v>24547</v>
      </c>
      <c r="C875" t="s">
        <v>5859</v>
      </c>
      <c r="D875" t="s">
        <v>7688</v>
      </c>
      <c r="E875" t="s">
        <v>5862</v>
      </c>
      <c r="F875" t="s">
        <v>28</v>
      </c>
      <c r="G875" t="s">
        <v>5238</v>
      </c>
      <c r="H875" t="s">
        <v>453</v>
      </c>
      <c r="I875" s="13" t="s">
        <v>5863</v>
      </c>
      <c r="J875" t="s">
        <v>31</v>
      </c>
      <c r="K875" t="s">
        <v>7879</v>
      </c>
      <c r="L875" t="s">
        <v>7888</v>
      </c>
      <c r="M875" t="s">
        <v>455</v>
      </c>
      <c r="N875" t="s">
        <v>130</v>
      </c>
      <c r="O875" s="17" t="s">
        <v>7854</v>
      </c>
      <c r="P875" s="17">
        <v>150</v>
      </c>
      <c r="Q875" s="22" t="s">
        <v>7854</v>
      </c>
      <c r="R875" s="22">
        <v>0</v>
      </c>
      <c r="S875" s="24" t="s">
        <v>7854</v>
      </c>
      <c r="T875" s="24">
        <v>0</v>
      </c>
      <c r="U875" t="s">
        <v>5864</v>
      </c>
    </row>
    <row r="876" spans="1:21" x14ac:dyDescent="0.25">
      <c r="A876">
        <v>893</v>
      </c>
      <c r="B876">
        <v>195</v>
      </c>
      <c r="C876" t="s">
        <v>5866</v>
      </c>
      <c r="D876" t="s">
        <v>7689</v>
      </c>
      <c r="E876" t="s">
        <v>5869</v>
      </c>
      <c r="F876" t="s">
        <v>53</v>
      </c>
      <c r="G876" t="s">
        <v>5870</v>
      </c>
      <c r="H876" t="s">
        <v>43</v>
      </c>
      <c r="I876" s="12">
        <v>2348024695405</v>
      </c>
      <c r="J876" t="s">
        <v>31</v>
      </c>
      <c r="K876" t="s">
        <v>7886</v>
      </c>
      <c r="L876" t="s">
        <v>7981</v>
      </c>
      <c r="M876" t="s">
        <v>46</v>
      </c>
      <c r="N876" t="s">
        <v>33</v>
      </c>
      <c r="O876" s="17">
        <v>812500</v>
      </c>
      <c r="P876" s="17" t="s">
        <v>7854</v>
      </c>
      <c r="Q876" s="22">
        <v>0</v>
      </c>
      <c r="R876" s="22" t="s">
        <v>7854</v>
      </c>
      <c r="S876" s="24">
        <v>162500</v>
      </c>
      <c r="T876" s="24" t="s">
        <v>7854</v>
      </c>
      <c r="U876" t="s">
        <v>5871</v>
      </c>
    </row>
    <row r="877" spans="1:21" x14ac:dyDescent="0.25">
      <c r="A877">
        <v>894</v>
      </c>
      <c r="B877">
        <v>6915</v>
      </c>
      <c r="C877" t="s">
        <v>5872</v>
      </c>
      <c r="D877" t="s">
        <v>7690</v>
      </c>
      <c r="E877" t="s">
        <v>7933</v>
      </c>
      <c r="F877" t="s">
        <v>53</v>
      </c>
      <c r="G877" t="s">
        <v>5875</v>
      </c>
      <c r="H877" t="s">
        <v>43</v>
      </c>
      <c r="I877" s="13" t="s">
        <v>5876</v>
      </c>
      <c r="J877" t="s">
        <v>31</v>
      </c>
      <c r="K877" t="s">
        <v>7881</v>
      </c>
      <c r="L877" t="s">
        <v>7893</v>
      </c>
      <c r="M877" t="s">
        <v>63</v>
      </c>
      <c r="N877" t="s">
        <v>33</v>
      </c>
      <c r="O877" s="17">
        <v>552500</v>
      </c>
      <c r="P877" s="17" t="s">
        <v>7854</v>
      </c>
      <c r="Q877" s="22">
        <v>0</v>
      </c>
      <c r="R877" s="22" t="s">
        <v>7854</v>
      </c>
      <c r="S877" s="24">
        <v>0</v>
      </c>
      <c r="T877" s="24" t="s">
        <v>7854</v>
      </c>
      <c r="U877" t="s">
        <v>5877</v>
      </c>
    </row>
    <row r="878" spans="1:21" x14ac:dyDescent="0.25">
      <c r="A878">
        <v>895</v>
      </c>
      <c r="B878">
        <v>21883</v>
      </c>
      <c r="C878" t="s">
        <v>5878</v>
      </c>
      <c r="D878" t="s">
        <v>7691</v>
      </c>
      <c r="E878" t="s">
        <v>5880</v>
      </c>
      <c r="F878" t="s">
        <v>28</v>
      </c>
      <c r="G878" t="s">
        <v>5881</v>
      </c>
      <c r="H878" t="s">
        <v>43</v>
      </c>
      <c r="I878" s="13" t="s">
        <v>5882</v>
      </c>
      <c r="J878" t="s">
        <v>45</v>
      </c>
      <c r="K878" t="s">
        <v>7879</v>
      </c>
      <c r="L878" t="s">
        <v>7940</v>
      </c>
      <c r="M878" t="s">
        <v>46</v>
      </c>
      <c r="N878" t="s">
        <v>33</v>
      </c>
      <c r="O878" s="17">
        <v>195000</v>
      </c>
      <c r="P878" s="17" t="s">
        <v>7854</v>
      </c>
      <c r="Q878" s="22">
        <v>0</v>
      </c>
      <c r="R878" s="22" t="s">
        <v>7854</v>
      </c>
      <c r="S878" s="24">
        <v>0</v>
      </c>
      <c r="T878" s="24" t="s">
        <v>7854</v>
      </c>
      <c r="U878" t="s">
        <v>5883</v>
      </c>
    </row>
    <row r="879" spans="1:21" x14ac:dyDescent="0.25">
      <c r="A879">
        <v>896</v>
      </c>
      <c r="B879">
        <v>4738</v>
      </c>
      <c r="C879" t="s">
        <v>5884</v>
      </c>
      <c r="D879" t="s">
        <v>7692</v>
      </c>
      <c r="E879" t="s">
        <v>5887</v>
      </c>
      <c r="F879" t="s">
        <v>53</v>
      </c>
      <c r="G879" t="s">
        <v>2375</v>
      </c>
      <c r="H879" t="s">
        <v>43</v>
      </c>
      <c r="I879" s="12">
        <v>2348169254333</v>
      </c>
      <c r="J879" t="s">
        <v>31</v>
      </c>
      <c r="K879" t="s">
        <v>7881</v>
      </c>
      <c r="L879" t="s">
        <v>7940</v>
      </c>
      <c r="M879" t="s">
        <v>46</v>
      </c>
      <c r="N879" t="s">
        <v>33</v>
      </c>
      <c r="O879" s="17">
        <v>552500</v>
      </c>
      <c r="P879" s="17" t="s">
        <v>7854</v>
      </c>
      <c r="Q879" s="22">
        <v>0</v>
      </c>
      <c r="R879" s="22" t="s">
        <v>7854</v>
      </c>
      <c r="S879" s="24">
        <v>0</v>
      </c>
      <c r="T879" s="24" t="s">
        <v>7854</v>
      </c>
      <c r="U879" t="s">
        <v>5888</v>
      </c>
    </row>
    <row r="880" spans="1:21" x14ac:dyDescent="0.25">
      <c r="A880">
        <v>897</v>
      </c>
      <c r="B880">
        <v>1253</v>
      </c>
      <c r="C880" t="s">
        <v>5889</v>
      </c>
      <c r="D880" t="s">
        <v>7693</v>
      </c>
      <c r="E880" t="s">
        <v>7934</v>
      </c>
      <c r="F880" t="s">
        <v>53</v>
      </c>
      <c r="G880" t="s">
        <v>5892</v>
      </c>
      <c r="H880" t="s">
        <v>43</v>
      </c>
      <c r="I880" s="12">
        <v>8032175017</v>
      </c>
      <c r="J880" t="s">
        <v>5893</v>
      </c>
      <c r="K880" t="s">
        <v>7886</v>
      </c>
      <c r="L880" t="s">
        <v>7893</v>
      </c>
      <c r="M880" t="s">
        <v>46</v>
      </c>
      <c r="N880" t="s">
        <v>33</v>
      </c>
      <c r="O880" s="17">
        <v>812500</v>
      </c>
      <c r="P880" s="17" t="s">
        <v>7854</v>
      </c>
      <c r="Q880" s="22">
        <v>0</v>
      </c>
      <c r="R880" s="22" t="s">
        <v>7854</v>
      </c>
      <c r="S880" s="24">
        <v>0</v>
      </c>
      <c r="T880" s="24" t="s">
        <v>7854</v>
      </c>
      <c r="U880" t="s">
        <v>5894</v>
      </c>
    </row>
    <row r="881" spans="1:21" x14ac:dyDescent="0.25">
      <c r="A881">
        <v>898</v>
      </c>
      <c r="B881">
        <v>22967</v>
      </c>
      <c r="C881" t="s">
        <v>5895</v>
      </c>
      <c r="D881" t="s">
        <v>7694</v>
      </c>
      <c r="E881" t="s">
        <v>5898</v>
      </c>
      <c r="F881" t="s">
        <v>53</v>
      </c>
      <c r="G881" t="s">
        <v>5899</v>
      </c>
      <c r="H881" t="s">
        <v>43</v>
      </c>
      <c r="I881" s="12">
        <v>2348060314362</v>
      </c>
      <c r="J881" t="s">
        <v>45</v>
      </c>
      <c r="K881" t="s">
        <v>7879</v>
      </c>
      <c r="L881" t="s">
        <v>8028</v>
      </c>
      <c r="M881" t="s">
        <v>63</v>
      </c>
      <c r="N881" t="s">
        <v>33</v>
      </c>
      <c r="O881" s="17">
        <v>195000</v>
      </c>
      <c r="P881" s="17" t="s">
        <v>7854</v>
      </c>
      <c r="Q881" s="22">
        <v>0</v>
      </c>
      <c r="R881" s="22" t="s">
        <v>7854</v>
      </c>
      <c r="S881" s="24">
        <v>0</v>
      </c>
      <c r="T881" s="24" t="s">
        <v>7854</v>
      </c>
      <c r="U881" t="s">
        <v>5900</v>
      </c>
    </row>
    <row r="882" spans="1:21" x14ac:dyDescent="0.25">
      <c r="A882">
        <v>899</v>
      </c>
      <c r="B882">
        <v>21286</v>
      </c>
      <c r="C882" t="s">
        <v>5901</v>
      </c>
      <c r="D882" t="s">
        <v>7695</v>
      </c>
      <c r="E882" t="s">
        <v>5904</v>
      </c>
      <c r="F882" t="s">
        <v>28</v>
      </c>
      <c r="G882" t="s">
        <v>5905</v>
      </c>
      <c r="H882" t="s">
        <v>43</v>
      </c>
      <c r="I882" s="13" t="s">
        <v>5906</v>
      </c>
      <c r="J882" t="s">
        <v>31</v>
      </c>
      <c r="K882" t="s">
        <v>7881</v>
      </c>
      <c r="L882" t="s">
        <v>7888</v>
      </c>
      <c r="M882" t="s">
        <v>63</v>
      </c>
      <c r="N882" t="s">
        <v>33</v>
      </c>
      <c r="O882" s="17">
        <v>552500</v>
      </c>
      <c r="P882" s="17" t="s">
        <v>7854</v>
      </c>
      <c r="Q882" s="22">
        <v>110500</v>
      </c>
      <c r="R882" s="22" t="s">
        <v>7854</v>
      </c>
      <c r="S882" s="24">
        <v>0</v>
      </c>
      <c r="T882" s="24" t="s">
        <v>7854</v>
      </c>
      <c r="U882" t="s">
        <v>5907</v>
      </c>
    </row>
    <row r="883" spans="1:21" x14ac:dyDescent="0.25">
      <c r="A883">
        <v>900</v>
      </c>
      <c r="B883">
        <v>6929</v>
      </c>
      <c r="C883" t="s">
        <v>5908</v>
      </c>
      <c r="D883" t="s">
        <v>7696</v>
      </c>
      <c r="E883" t="s">
        <v>5911</v>
      </c>
      <c r="F883" t="s">
        <v>28</v>
      </c>
      <c r="G883" t="s">
        <v>5912</v>
      </c>
      <c r="H883" t="s">
        <v>43</v>
      </c>
      <c r="I883" s="12">
        <v>2348031536569</v>
      </c>
      <c r="J883" t="s">
        <v>2333</v>
      </c>
      <c r="K883" t="s">
        <v>7886</v>
      </c>
      <c r="L883" t="s">
        <v>7981</v>
      </c>
      <c r="M883" t="s">
        <v>63</v>
      </c>
      <c r="N883" t="s">
        <v>33</v>
      </c>
      <c r="O883" s="17">
        <v>812500</v>
      </c>
      <c r="P883" s="17" t="s">
        <v>7854</v>
      </c>
      <c r="Q883" s="22">
        <v>0</v>
      </c>
      <c r="R883" s="22" t="s">
        <v>7854</v>
      </c>
      <c r="S883" s="24">
        <v>162500</v>
      </c>
      <c r="T883" s="24" t="s">
        <v>7854</v>
      </c>
      <c r="U883" t="s">
        <v>5913</v>
      </c>
    </row>
    <row r="884" spans="1:21" x14ac:dyDescent="0.25">
      <c r="A884">
        <v>901</v>
      </c>
      <c r="B884">
        <v>19345</v>
      </c>
      <c r="C884" t="s">
        <v>5914</v>
      </c>
      <c r="D884" t="s">
        <v>7697</v>
      </c>
      <c r="E884" t="s">
        <v>5917</v>
      </c>
      <c r="F884" t="s">
        <v>53</v>
      </c>
      <c r="G884" t="s">
        <v>5918</v>
      </c>
      <c r="H884" t="s">
        <v>43</v>
      </c>
      <c r="I884" s="13" t="s">
        <v>5919</v>
      </c>
      <c r="J884" t="s">
        <v>31</v>
      </c>
      <c r="K884" t="s">
        <v>7886</v>
      </c>
      <c r="L884" t="s">
        <v>8028</v>
      </c>
      <c r="M884" t="s">
        <v>63</v>
      </c>
      <c r="N884" t="s">
        <v>33</v>
      </c>
      <c r="O884" s="17">
        <v>812500</v>
      </c>
      <c r="P884" s="17" t="s">
        <v>7854</v>
      </c>
      <c r="Q884" s="22">
        <v>0</v>
      </c>
      <c r="R884" s="22" t="s">
        <v>7854</v>
      </c>
      <c r="S884" s="24">
        <v>162500</v>
      </c>
      <c r="T884" s="24" t="s">
        <v>7854</v>
      </c>
      <c r="U884" t="s">
        <v>5920</v>
      </c>
    </row>
    <row r="885" spans="1:21" x14ac:dyDescent="0.25">
      <c r="A885">
        <v>902</v>
      </c>
      <c r="B885">
        <v>5968</v>
      </c>
      <c r="C885" t="s">
        <v>5921</v>
      </c>
      <c r="D885" t="s">
        <v>7698</v>
      </c>
      <c r="E885" t="s">
        <v>5925</v>
      </c>
      <c r="F885" t="s">
        <v>53</v>
      </c>
      <c r="G885" t="s">
        <v>3971</v>
      </c>
      <c r="H885" t="s">
        <v>43</v>
      </c>
      <c r="I885" s="13" t="s">
        <v>5926</v>
      </c>
      <c r="J885" t="s">
        <v>31</v>
      </c>
      <c r="K885" t="s">
        <v>7886</v>
      </c>
      <c r="L885" t="s">
        <v>7940</v>
      </c>
      <c r="M885" t="s">
        <v>46</v>
      </c>
      <c r="N885" t="s">
        <v>33</v>
      </c>
      <c r="O885" s="17">
        <v>812500</v>
      </c>
      <c r="P885" s="17" t="s">
        <v>7854</v>
      </c>
      <c r="Q885" s="22">
        <v>0</v>
      </c>
      <c r="R885" s="22" t="s">
        <v>7854</v>
      </c>
      <c r="S885" s="24">
        <v>162500</v>
      </c>
      <c r="T885" s="24" t="s">
        <v>7854</v>
      </c>
      <c r="U885" t="s">
        <v>5927</v>
      </c>
    </row>
    <row r="886" spans="1:21" x14ac:dyDescent="0.25">
      <c r="A886">
        <v>903</v>
      </c>
      <c r="B886">
        <v>21878</v>
      </c>
      <c r="C886" t="s">
        <v>5928</v>
      </c>
      <c r="D886" t="s">
        <v>7699</v>
      </c>
      <c r="E886" t="s">
        <v>5932</v>
      </c>
      <c r="F886" t="s">
        <v>53</v>
      </c>
      <c r="G886" t="s">
        <v>5933</v>
      </c>
      <c r="H886" t="s">
        <v>43</v>
      </c>
      <c r="I886" s="12">
        <v>2348066293880</v>
      </c>
      <c r="J886" t="s">
        <v>31</v>
      </c>
      <c r="K886" t="s">
        <v>7879</v>
      </c>
      <c r="L886" t="s">
        <v>7888</v>
      </c>
      <c r="M886" t="s">
        <v>46</v>
      </c>
      <c r="N886" t="s">
        <v>33</v>
      </c>
      <c r="O886" s="17">
        <v>195000</v>
      </c>
      <c r="P886" s="17" t="s">
        <v>7854</v>
      </c>
      <c r="Q886" s="22">
        <v>0</v>
      </c>
      <c r="R886" s="22" t="s">
        <v>7854</v>
      </c>
      <c r="S886" s="24">
        <v>0</v>
      </c>
      <c r="T886" s="24" t="s">
        <v>7854</v>
      </c>
      <c r="U886" t="s">
        <v>5934</v>
      </c>
    </row>
    <row r="887" spans="1:21" x14ac:dyDescent="0.25">
      <c r="A887">
        <v>904</v>
      </c>
      <c r="B887">
        <v>24548</v>
      </c>
      <c r="C887" t="s">
        <v>5935</v>
      </c>
      <c r="D887" t="s">
        <v>7700</v>
      </c>
      <c r="E887" t="s">
        <v>5938</v>
      </c>
      <c r="F887" t="s">
        <v>28</v>
      </c>
      <c r="G887" t="s">
        <v>5939</v>
      </c>
      <c r="H887" t="s">
        <v>43</v>
      </c>
      <c r="I887" s="13" t="s">
        <v>5940</v>
      </c>
      <c r="J887" t="s">
        <v>31</v>
      </c>
      <c r="K887" t="s">
        <v>7879</v>
      </c>
      <c r="L887" t="s">
        <v>8028</v>
      </c>
      <c r="M887" t="s">
        <v>46</v>
      </c>
      <c r="N887" t="s">
        <v>33</v>
      </c>
      <c r="O887" s="17">
        <v>195000</v>
      </c>
      <c r="P887" s="17" t="s">
        <v>7854</v>
      </c>
      <c r="Q887" s="22">
        <v>0</v>
      </c>
      <c r="R887" s="22" t="s">
        <v>7854</v>
      </c>
      <c r="S887" s="24">
        <v>0</v>
      </c>
      <c r="T887" s="24" t="s">
        <v>7854</v>
      </c>
      <c r="U887" t="s">
        <v>5941</v>
      </c>
    </row>
    <row r="888" spans="1:21" x14ac:dyDescent="0.25">
      <c r="A888">
        <v>905</v>
      </c>
      <c r="B888">
        <v>10653</v>
      </c>
      <c r="C888" t="s">
        <v>5942</v>
      </c>
      <c r="D888" t="s">
        <v>7701</v>
      </c>
      <c r="E888" t="s">
        <v>5945</v>
      </c>
      <c r="F888" t="s">
        <v>28</v>
      </c>
      <c r="G888" t="s">
        <v>5946</v>
      </c>
      <c r="H888" t="s">
        <v>43</v>
      </c>
      <c r="I888" s="13" t="s">
        <v>5947</v>
      </c>
      <c r="J888" t="s">
        <v>31</v>
      </c>
      <c r="K888" t="s">
        <v>7886</v>
      </c>
      <c r="L888" t="s">
        <v>7888</v>
      </c>
      <c r="M888" t="s">
        <v>63</v>
      </c>
      <c r="N888" t="s">
        <v>33</v>
      </c>
      <c r="O888" s="17">
        <v>812500</v>
      </c>
      <c r="P888" s="17" t="s">
        <v>7854</v>
      </c>
      <c r="Q888" s="22">
        <v>0</v>
      </c>
      <c r="R888" s="22" t="s">
        <v>7854</v>
      </c>
      <c r="S888" s="24">
        <v>162500</v>
      </c>
      <c r="T888" s="24" t="s">
        <v>7854</v>
      </c>
      <c r="U888" t="s">
        <v>5948</v>
      </c>
    </row>
    <row r="889" spans="1:21" x14ac:dyDescent="0.25">
      <c r="A889">
        <v>906</v>
      </c>
      <c r="B889">
        <v>24524</v>
      </c>
      <c r="C889" t="s">
        <v>5949</v>
      </c>
      <c r="D889" t="s">
        <v>7702</v>
      </c>
      <c r="E889" t="s">
        <v>5952</v>
      </c>
      <c r="F889" t="s">
        <v>28</v>
      </c>
      <c r="G889" t="s">
        <v>5953</v>
      </c>
      <c r="H889" t="s">
        <v>765</v>
      </c>
      <c r="I889" s="12">
        <v>23276228500</v>
      </c>
      <c r="J889" t="s">
        <v>31</v>
      </c>
      <c r="K889" t="s">
        <v>7879</v>
      </c>
      <c r="L889" t="s">
        <v>7940</v>
      </c>
      <c r="M889" t="s">
        <v>1480</v>
      </c>
      <c r="N889" t="s">
        <v>33</v>
      </c>
      <c r="O889" s="17">
        <v>195000</v>
      </c>
      <c r="P889" s="17" t="s">
        <v>7854</v>
      </c>
      <c r="Q889" s="22">
        <v>0</v>
      </c>
      <c r="R889" s="22" t="s">
        <v>7854</v>
      </c>
      <c r="S889" s="24">
        <v>0</v>
      </c>
      <c r="T889" s="24" t="s">
        <v>7854</v>
      </c>
      <c r="U889" t="s">
        <v>5954</v>
      </c>
    </row>
    <row r="890" spans="1:21" x14ac:dyDescent="0.25">
      <c r="A890">
        <v>907</v>
      </c>
      <c r="B890">
        <v>863</v>
      </c>
      <c r="C890" t="s">
        <v>5955</v>
      </c>
      <c r="D890" t="s">
        <v>7703</v>
      </c>
      <c r="E890" t="s">
        <v>5957</v>
      </c>
      <c r="F890" t="s">
        <v>53</v>
      </c>
      <c r="G890" t="s">
        <v>5958</v>
      </c>
      <c r="H890" t="s">
        <v>43</v>
      </c>
      <c r="I890" s="13" t="s">
        <v>5959</v>
      </c>
      <c r="J890" t="s">
        <v>45</v>
      </c>
      <c r="K890" t="s">
        <v>7881</v>
      </c>
      <c r="L890" t="s">
        <v>7893</v>
      </c>
      <c r="M890" t="s">
        <v>87</v>
      </c>
      <c r="N890" t="s">
        <v>33</v>
      </c>
      <c r="O890" s="17">
        <v>552500</v>
      </c>
      <c r="P890" s="17" t="s">
        <v>7854</v>
      </c>
      <c r="Q890" s="22">
        <v>0</v>
      </c>
      <c r="R890" s="22" t="s">
        <v>7854</v>
      </c>
      <c r="S890" s="24">
        <v>0</v>
      </c>
      <c r="T890" s="24" t="s">
        <v>7854</v>
      </c>
      <c r="U890" t="s">
        <v>5960</v>
      </c>
    </row>
    <row r="891" spans="1:21" x14ac:dyDescent="0.25">
      <c r="A891">
        <v>908</v>
      </c>
      <c r="B891">
        <v>9325</v>
      </c>
      <c r="C891" t="s">
        <v>5961</v>
      </c>
      <c r="D891" t="s">
        <v>7704</v>
      </c>
      <c r="E891">
        <v>902101</v>
      </c>
      <c r="F891" t="s">
        <v>28</v>
      </c>
      <c r="G891" t="s">
        <v>5963</v>
      </c>
      <c r="H891" t="s">
        <v>43</v>
      </c>
      <c r="I891" s="12">
        <v>8163110972</v>
      </c>
      <c r="J891" t="s">
        <v>31</v>
      </c>
      <c r="K891" t="s">
        <v>7881</v>
      </c>
      <c r="L891" t="s">
        <v>7940</v>
      </c>
      <c r="M891" t="s">
        <v>46</v>
      </c>
      <c r="N891" t="s">
        <v>33</v>
      </c>
      <c r="O891" s="17">
        <v>552500</v>
      </c>
      <c r="P891" s="17" t="s">
        <v>7854</v>
      </c>
      <c r="Q891" s="22">
        <v>0</v>
      </c>
      <c r="R891" s="22" t="s">
        <v>7854</v>
      </c>
      <c r="S891" s="24">
        <v>0</v>
      </c>
      <c r="T891" s="24" t="s">
        <v>7854</v>
      </c>
      <c r="U891" t="s">
        <v>5964</v>
      </c>
    </row>
    <row r="892" spans="1:21" x14ac:dyDescent="0.25">
      <c r="A892">
        <v>909</v>
      </c>
      <c r="B892">
        <v>22354</v>
      </c>
      <c r="C892" t="s">
        <v>5965</v>
      </c>
      <c r="D892" t="s">
        <v>7705</v>
      </c>
      <c r="E892" t="s">
        <v>5969</v>
      </c>
      <c r="F892" t="s">
        <v>53</v>
      </c>
      <c r="G892" t="s">
        <v>5970</v>
      </c>
      <c r="H892" t="s">
        <v>43</v>
      </c>
      <c r="I892" s="13" t="s">
        <v>5971</v>
      </c>
      <c r="J892" t="s">
        <v>31</v>
      </c>
      <c r="K892" t="s">
        <v>7881</v>
      </c>
      <c r="L892" t="s">
        <v>7893</v>
      </c>
      <c r="M892" t="s">
        <v>87</v>
      </c>
      <c r="N892" t="s">
        <v>33</v>
      </c>
      <c r="O892" s="17">
        <v>552500</v>
      </c>
      <c r="P892" s="17" t="s">
        <v>7854</v>
      </c>
      <c r="Q892" s="22">
        <v>0</v>
      </c>
      <c r="R892" s="22" t="s">
        <v>7854</v>
      </c>
      <c r="S892" s="24">
        <v>0</v>
      </c>
      <c r="T892" s="24" t="s">
        <v>7854</v>
      </c>
      <c r="U892" t="s">
        <v>5972</v>
      </c>
    </row>
    <row r="893" spans="1:21" x14ac:dyDescent="0.25">
      <c r="A893">
        <v>910</v>
      </c>
      <c r="B893">
        <v>10062</v>
      </c>
      <c r="C893" t="s">
        <v>5973</v>
      </c>
      <c r="D893" t="s">
        <v>7706</v>
      </c>
      <c r="E893" t="s">
        <v>5976</v>
      </c>
      <c r="F893" t="s">
        <v>53</v>
      </c>
      <c r="G893" t="s">
        <v>869</v>
      </c>
      <c r="H893" t="s">
        <v>43</v>
      </c>
      <c r="I893" s="12">
        <v>7032298474</v>
      </c>
      <c r="J893" t="s">
        <v>31</v>
      </c>
      <c r="K893" t="s">
        <v>7879</v>
      </c>
      <c r="L893" t="s">
        <v>7940</v>
      </c>
      <c r="M893" t="s">
        <v>46</v>
      </c>
      <c r="N893" t="s">
        <v>33</v>
      </c>
      <c r="O893" s="17">
        <v>195000</v>
      </c>
      <c r="P893" s="17" t="s">
        <v>7854</v>
      </c>
      <c r="Q893" s="22">
        <v>0</v>
      </c>
      <c r="R893" s="22" t="s">
        <v>7854</v>
      </c>
      <c r="S893" s="24">
        <v>0</v>
      </c>
      <c r="T893" s="24" t="s">
        <v>7854</v>
      </c>
      <c r="U893" t="s">
        <v>5977</v>
      </c>
    </row>
    <row r="894" spans="1:21" x14ac:dyDescent="0.25">
      <c r="A894">
        <v>911</v>
      </c>
      <c r="B894">
        <v>3792</v>
      </c>
      <c r="C894" t="s">
        <v>5978</v>
      </c>
      <c r="D894" t="s">
        <v>7707</v>
      </c>
      <c r="E894" t="s">
        <v>5982</v>
      </c>
      <c r="F894" t="s">
        <v>53</v>
      </c>
      <c r="G894" t="s">
        <v>5983</v>
      </c>
      <c r="H894" t="s">
        <v>43</v>
      </c>
      <c r="I894" s="13" t="s">
        <v>5984</v>
      </c>
      <c r="J894" t="s">
        <v>31</v>
      </c>
      <c r="K894" t="s">
        <v>7886</v>
      </c>
      <c r="L894" t="s">
        <v>7981</v>
      </c>
      <c r="M894" t="s">
        <v>46</v>
      </c>
      <c r="N894" t="s">
        <v>33</v>
      </c>
      <c r="O894" s="17">
        <v>812500</v>
      </c>
      <c r="P894" s="17" t="s">
        <v>7854</v>
      </c>
      <c r="Q894" s="22">
        <v>0</v>
      </c>
      <c r="R894" s="22" t="s">
        <v>7854</v>
      </c>
      <c r="S894" s="24">
        <v>162500</v>
      </c>
      <c r="T894" s="24" t="s">
        <v>7854</v>
      </c>
      <c r="U894" t="s">
        <v>5985</v>
      </c>
    </row>
    <row r="895" spans="1:21" x14ac:dyDescent="0.25">
      <c r="A895">
        <v>913</v>
      </c>
      <c r="B895">
        <v>24239</v>
      </c>
      <c r="C895" t="s">
        <v>5986</v>
      </c>
      <c r="D895" t="s">
        <v>7708</v>
      </c>
      <c r="E895" t="s">
        <v>5990</v>
      </c>
      <c r="F895" t="s">
        <v>53</v>
      </c>
      <c r="G895" t="s">
        <v>5991</v>
      </c>
      <c r="H895" t="s">
        <v>43</v>
      </c>
      <c r="I895" s="13" t="s">
        <v>5992</v>
      </c>
      <c r="J895" t="s">
        <v>31</v>
      </c>
      <c r="K895" t="s">
        <v>7879</v>
      </c>
      <c r="L895" t="s">
        <v>7940</v>
      </c>
      <c r="M895" t="s">
        <v>63</v>
      </c>
      <c r="N895" t="s">
        <v>33</v>
      </c>
      <c r="O895" s="17">
        <v>195000</v>
      </c>
      <c r="P895" s="17" t="s">
        <v>7854</v>
      </c>
      <c r="Q895" s="22">
        <v>0</v>
      </c>
      <c r="R895" s="22" t="s">
        <v>7854</v>
      </c>
      <c r="S895" s="24">
        <v>0</v>
      </c>
      <c r="T895" s="24" t="s">
        <v>7854</v>
      </c>
      <c r="U895" t="s">
        <v>5993</v>
      </c>
    </row>
    <row r="896" spans="1:21" x14ac:dyDescent="0.25">
      <c r="A896">
        <v>914</v>
      </c>
      <c r="B896">
        <v>24481</v>
      </c>
      <c r="C896" t="s">
        <v>5994</v>
      </c>
      <c r="D896" t="s">
        <v>7709</v>
      </c>
      <c r="E896" t="s">
        <v>5998</v>
      </c>
      <c r="F896" t="s">
        <v>53</v>
      </c>
      <c r="G896" t="s">
        <v>5999</v>
      </c>
      <c r="H896" t="s">
        <v>765</v>
      </c>
      <c r="I896" s="12">
        <v>23276401526</v>
      </c>
      <c r="J896" t="s">
        <v>31</v>
      </c>
      <c r="K896" t="s">
        <v>7879</v>
      </c>
      <c r="L896" t="s">
        <v>7940</v>
      </c>
      <c r="M896" t="s">
        <v>1480</v>
      </c>
      <c r="N896" t="s">
        <v>33</v>
      </c>
      <c r="O896" s="17">
        <v>195000</v>
      </c>
      <c r="P896" s="17" t="s">
        <v>7854</v>
      </c>
      <c r="Q896" s="22">
        <v>0</v>
      </c>
      <c r="R896" s="22" t="s">
        <v>7854</v>
      </c>
      <c r="S896" s="24">
        <v>0</v>
      </c>
      <c r="T896" s="24" t="s">
        <v>7854</v>
      </c>
      <c r="U896" t="s">
        <v>6000</v>
      </c>
    </row>
    <row r="897" spans="1:21" x14ac:dyDescent="0.25">
      <c r="A897">
        <v>915</v>
      </c>
      <c r="B897">
        <v>10246</v>
      </c>
      <c r="C897" t="s">
        <v>6001</v>
      </c>
      <c r="D897" t="s">
        <v>7710</v>
      </c>
      <c r="E897" t="s">
        <v>6005</v>
      </c>
      <c r="F897" t="s">
        <v>53</v>
      </c>
      <c r="G897" t="s">
        <v>6005</v>
      </c>
      <c r="H897" t="s">
        <v>43</v>
      </c>
      <c r="I897" s="12">
        <v>7031804966</v>
      </c>
      <c r="J897" t="s">
        <v>31</v>
      </c>
      <c r="K897" t="s">
        <v>7886</v>
      </c>
      <c r="L897" t="s">
        <v>7940</v>
      </c>
      <c r="M897" t="s">
        <v>63</v>
      </c>
      <c r="N897" t="s">
        <v>33</v>
      </c>
      <c r="O897" s="17">
        <v>812500</v>
      </c>
      <c r="P897" s="17" t="s">
        <v>7854</v>
      </c>
      <c r="Q897" s="22">
        <v>0</v>
      </c>
      <c r="R897" s="22" t="s">
        <v>7854</v>
      </c>
      <c r="S897" s="24">
        <v>162500</v>
      </c>
      <c r="T897" s="24" t="s">
        <v>7854</v>
      </c>
      <c r="U897" t="s">
        <v>6006</v>
      </c>
    </row>
    <row r="898" spans="1:21" x14ac:dyDescent="0.25">
      <c r="A898">
        <v>916</v>
      </c>
      <c r="B898">
        <v>8303</v>
      </c>
      <c r="C898" t="s">
        <v>6007</v>
      </c>
      <c r="D898" t="s">
        <v>7711</v>
      </c>
      <c r="E898" t="s">
        <v>6010</v>
      </c>
      <c r="F898" t="s">
        <v>53</v>
      </c>
      <c r="G898" t="s">
        <v>717</v>
      </c>
      <c r="H898" t="s">
        <v>43</v>
      </c>
      <c r="I898" s="12">
        <f>234-7038433415</f>
        <v>-7038433181</v>
      </c>
      <c r="J898" t="s">
        <v>244</v>
      </c>
      <c r="K898" t="s">
        <v>7886</v>
      </c>
      <c r="L898" t="s">
        <v>7888</v>
      </c>
      <c r="M898" t="s">
        <v>46</v>
      </c>
      <c r="N898" t="s">
        <v>33</v>
      </c>
      <c r="O898" s="17">
        <v>812500</v>
      </c>
      <c r="P898" s="17" t="s">
        <v>7854</v>
      </c>
      <c r="Q898" s="22">
        <v>0</v>
      </c>
      <c r="R898" s="22" t="s">
        <v>7854</v>
      </c>
      <c r="S898" s="24">
        <v>0</v>
      </c>
      <c r="T898" s="24" t="s">
        <v>7854</v>
      </c>
      <c r="U898" t="s">
        <v>6011</v>
      </c>
    </row>
    <row r="899" spans="1:21" x14ac:dyDescent="0.25">
      <c r="A899">
        <v>917</v>
      </c>
      <c r="B899">
        <v>24223</v>
      </c>
      <c r="C899" t="s">
        <v>6012</v>
      </c>
      <c r="D899" t="s">
        <v>7712</v>
      </c>
      <c r="E899" t="s">
        <v>6016</v>
      </c>
      <c r="F899" t="s">
        <v>53</v>
      </c>
      <c r="G899" t="s">
        <v>3819</v>
      </c>
      <c r="H899" t="s">
        <v>43</v>
      </c>
      <c r="I899" s="13" t="s">
        <v>6017</v>
      </c>
      <c r="J899" t="s">
        <v>31</v>
      </c>
      <c r="K899" t="s">
        <v>7879</v>
      </c>
      <c r="L899" t="s">
        <v>7940</v>
      </c>
      <c r="M899" t="s">
        <v>87</v>
      </c>
      <c r="N899" t="s">
        <v>33</v>
      </c>
      <c r="O899" s="17">
        <v>195000</v>
      </c>
      <c r="P899" s="17" t="s">
        <v>7854</v>
      </c>
      <c r="Q899" s="22">
        <v>0</v>
      </c>
      <c r="R899" s="22" t="s">
        <v>7854</v>
      </c>
      <c r="S899" s="24">
        <v>0</v>
      </c>
      <c r="T899" s="24" t="s">
        <v>7854</v>
      </c>
      <c r="U899" t="s">
        <v>6018</v>
      </c>
    </row>
    <row r="900" spans="1:21" x14ac:dyDescent="0.25">
      <c r="A900">
        <v>918</v>
      </c>
      <c r="B900">
        <v>21359</v>
      </c>
      <c r="C900" t="s">
        <v>6019</v>
      </c>
      <c r="D900" t="s">
        <v>7713</v>
      </c>
      <c r="E900" t="s">
        <v>6021</v>
      </c>
      <c r="F900" t="s">
        <v>28</v>
      </c>
      <c r="G900" t="s">
        <v>960</v>
      </c>
      <c r="H900" t="s">
        <v>453</v>
      </c>
      <c r="I900" s="12">
        <v>233201103930</v>
      </c>
      <c r="J900" t="s">
        <v>45</v>
      </c>
      <c r="K900" t="s">
        <v>7881</v>
      </c>
      <c r="L900" t="s">
        <v>7981</v>
      </c>
      <c r="M900" t="s">
        <v>455</v>
      </c>
      <c r="N900" t="s">
        <v>130</v>
      </c>
      <c r="O900" s="17" t="s">
        <v>7854</v>
      </c>
      <c r="P900" s="17">
        <v>425</v>
      </c>
      <c r="Q900" s="22" t="s">
        <v>7854</v>
      </c>
      <c r="R900" s="22">
        <v>0</v>
      </c>
      <c r="S900" s="24" t="s">
        <v>7854</v>
      </c>
      <c r="T900" s="24">
        <v>0</v>
      </c>
      <c r="U900" t="s">
        <v>6022</v>
      </c>
    </row>
    <row r="901" spans="1:21" x14ac:dyDescent="0.25">
      <c r="A901">
        <v>919</v>
      </c>
      <c r="B901">
        <v>727</v>
      </c>
      <c r="C901" t="s">
        <v>6023</v>
      </c>
      <c r="D901" t="s">
        <v>7714</v>
      </c>
      <c r="E901" t="s">
        <v>6025</v>
      </c>
      <c r="F901" t="s">
        <v>28</v>
      </c>
      <c r="G901" t="s">
        <v>1923</v>
      </c>
      <c r="H901" t="s">
        <v>43</v>
      </c>
      <c r="I901" s="13" t="s">
        <v>6026</v>
      </c>
      <c r="J901" t="s">
        <v>31</v>
      </c>
      <c r="K901" t="s">
        <v>7886</v>
      </c>
      <c r="L901" t="s">
        <v>7893</v>
      </c>
      <c r="M901" t="s">
        <v>63</v>
      </c>
      <c r="N901" t="s">
        <v>33</v>
      </c>
      <c r="O901" s="17">
        <v>812500</v>
      </c>
      <c r="P901" s="17" t="s">
        <v>7854</v>
      </c>
      <c r="Q901" s="22">
        <v>0</v>
      </c>
      <c r="R901" s="22" t="s">
        <v>7854</v>
      </c>
      <c r="S901" s="24">
        <v>162500</v>
      </c>
      <c r="T901" s="24" t="s">
        <v>7854</v>
      </c>
      <c r="U901" t="s">
        <v>6027</v>
      </c>
    </row>
    <row r="902" spans="1:21" x14ac:dyDescent="0.25">
      <c r="A902">
        <v>920</v>
      </c>
      <c r="B902">
        <v>10170</v>
      </c>
      <c r="C902" t="s">
        <v>6028</v>
      </c>
      <c r="D902" t="s">
        <v>7715</v>
      </c>
      <c r="E902" t="s">
        <v>6031</v>
      </c>
      <c r="F902" t="s">
        <v>28</v>
      </c>
      <c r="G902" t="s">
        <v>6032</v>
      </c>
      <c r="H902" t="s">
        <v>43</v>
      </c>
      <c r="I902" s="13" t="s">
        <v>6033</v>
      </c>
      <c r="J902" t="s">
        <v>31</v>
      </c>
      <c r="K902" t="s">
        <v>7881</v>
      </c>
      <c r="L902" t="s">
        <v>7940</v>
      </c>
      <c r="M902" t="s">
        <v>46</v>
      </c>
      <c r="N902" t="s">
        <v>33</v>
      </c>
      <c r="O902" s="17">
        <v>552500</v>
      </c>
      <c r="P902" s="17" t="s">
        <v>7854</v>
      </c>
      <c r="Q902" s="22">
        <v>0</v>
      </c>
      <c r="R902" s="22" t="s">
        <v>7854</v>
      </c>
      <c r="S902" s="24">
        <v>0</v>
      </c>
      <c r="T902" s="24" t="s">
        <v>7854</v>
      </c>
      <c r="U902" t="s">
        <v>6034</v>
      </c>
    </row>
    <row r="903" spans="1:21" x14ac:dyDescent="0.25">
      <c r="A903">
        <v>921</v>
      </c>
      <c r="B903">
        <v>23177</v>
      </c>
      <c r="C903" t="s">
        <v>6035</v>
      </c>
      <c r="D903" t="s">
        <v>7716</v>
      </c>
      <c r="E903" s="2" t="s">
        <v>6038</v>
      </c>
      <c r="F903" t="s">
        <v>53</v>
      </c>
      <c r="G903" t="s">
        <v>6039</v>
      </c>
      <c r="H903" t="s">
        <v>453</v>
      </c>
      <c r="I903" s="13" t="s">
        <v>6040</v>
      </c>
      <c r="J903" t="s">
        <v>45</v>
      </c>
      <c r="K903" t="s">
        <v>7879</v>
      </c>
      <c r="L903" t="s">
        <v>7893</v>
      </c>
      <c r="M903" t="s">
        <v>455</v>
      </c>
      <c r="N903" t="s">
        <v>130</v>
      </c>
      <c r="O903" s="17" t="s">
        <v>7854</v>
      </c>
      <c r="P903" s="17">
        <v>150</v>
      </c>
      <c r="Q903" s="22" t="s">
        <v>7854</v>
      </c>
      <c r="R903" s="22">
        <v>0</v>
      </c>
      <c r="S903" s="24" t="s">
        <v>7854</v>
      </c>
      <c r="T903" s="24">
        <v>0</v>
      </c>
      <c r="U903" t="s">
        <v>6041</v>
      </c>
    </row>
    <row r="904" spans="1:21" x14ac:dyDescent="0.25">
      <c r="A904">
        <v>922</v>
      </c>
      <c r="B904">
        <v>22876</v>
      </c>
      <c r="C904" t="s">
        <v>6042</v>
      </c>
      <c r="D904" t="s">
        <v>7717</v>
      </c>
      <c r="E904" t="s">
        <v>6045</v>
      </c>
      <c r="F904" t="s">
        <v>28</v>
      </c>
      <c r="G904" t="s">
        <v>6046</v>
      </c>
      <c r="H904" t="s">
        <v>43</v>
      </c>
      <c r="I904" s="13" t="s">
        <v>6047</v>
      </c>
      <c r="J904" t="s">
        <v>45</v>
      </c>
      <c r="K904" t="s">
        <v>7879</v>
      </c>
      <c r="L904" t="s">
        <v>7888</v>
      </c>
      <c r="M904" t="s">
        <v>46</v>
      </c>
      <c r="N904" t="s">
        <v>33</v>
      </c>
      <c r="O904" s="17">
        <v>195000</v>
      </c>
      <c r="P904" s="17" t="s">
        <v>7854</v>
      </c>
      <c r="Q904" s="22">
        <v>0</v>
      </c>
      <c r="R904" s="22" t="s">
        <v>7854</v>
      </c>
      <c r="S904" s="24">
        <v>0</v>
      </c>
      <c r="T904" s="24" t="s">
        <v>7854</v>
      </c>
      <c r="U904" t="s">
        <v>6048</v>
      </c>
    </row>
    <row r="905" spans="1:21" x14ac:dyDescent="0.25">
      <c r="A905">
        <v>923</v>
      </c>
      <c r="B905">
        <v>21678</v>
      </c>
      <c r="C905" t="s">
        <v>6049</v>
      </c>
      <c r="D905" t="s">
        <v>7718</v>
      </c>
      <c r="E905" t="s">
        <v>8023</v>
      </c>
      <c r="F905" t="s">
        <v>28</v>
      </c>
      <c r="G905" t="s">
        <v>6053</v>
      </c>
      <c r="H905" t="s">
        <v>43</v>
      </c>
      <c r="I905" s="12">
        <v>2348035001023</v>
      </c>
      <c r="J905" t="s">
        <v>31</v>
      </c>
      <c r="K905" t="s">
        <v>7881</v>
      </c>
      <c r="L905" t="s">
        <v>7981</v>
      </c>
      <c r="M905" t="s">
        <v>87</v>
      </c>
      <c r="N905" t="s">
        <v>33</v>
      </c>
      <c r="O905" s="17">
        <v>552500</v>
      </c>
      <c r="P905" s="17" t="s">
        <v>7854</v>
      </c>
      <c r="Q905" s="22">
        <v>0</v>
      </c>
      <c r="R905" s="22" t="s">
        <v>7854</v>
      </c>
      <c r="S905" s="24">
        <v>0</v>
      </c>
      <c r="T905" s="24" t="s">
        <v>7854</v>
      </c>
      <c r="U905" t="s">
        <v>6054</v>
      </c>
    </row>
    <row r="906" spans="1:21" x14ac:dyDescent="0.25">
      <c r="A906">
        <v>924</v>
      </c>
      <c r="B906">
        <v>1869</v>
      </c>
      <c r="C906" t="s">
        <v>6056</v>
      </c>
      <c r="D906" t="s">
        <v>7719</v>
      </c>
      <c r="E906" t="s">
        <v>6060</v>
      </c>
      <c r="F906" t="s">
        <v>53</v>
      </c>
      <c r="G906" t="s">
        <v>4891</v>
      </c>
      <c r="H906" t="s">
        <v>43</v>
      </c>
      <c r="I906" s="12">
        <v>8035524512</v>
      </c>
      <c r="J906" t="s">
        <v>45</v>
      </c>
      <c r="K906" t="s">
        <v>7881</v>
      </c>
      <c r="L906" t="s">
        <v>7981</v>
      </c>
      <c r="M906" t="s">
        <v>63</v>
      </c>
      <c r="N906" t="s">
        <v>33</v>
      </c>
      <c r="O906" s="17">
        <v>552500</v>
      </c>
      <c r="P906" s="17" t="s">
        <v>7854</v>
      </c>
      <c r="Q906" s="22">
        <v>0</v>
      </c>
      <c r="R906" s="22" t="s">
        <v>7854</v>
      </c>
      <c r="S906" s="24">
        <v>0</v>
      </c>
      <c r="T906" s="24" t="s">
        <v>7854</v>
      </c>
      <c r="U906" t="s">
        <v>6061</v>
      </c>
    </row>
    <row r="907" spans="1:21" x14ac:dyDescent="0.25">
      <c r="A907">
        <v>925</v>
      </c>
      <c r="B907">
        <v>6711</v>
      </c>
      <c r="C907" t="s">
        <v>6062</v>
      </c>
      <c r="D907" t="s">
        <v>7720</v>
      </c>
      <c r="E907" t="s">
        <v>6066</v>
      </c>
      <c r="F907" t="s">
        <v>28</v>
      </c>
      <c r="G907" t="s">
        <v>6067</v>
      </c>
      <c r="H907" t="s">
        <v>43</v>
      </c>
      <c r="I907" s="12">
        <v>2347068488568</v>
      </c>
      <c r="J907" t="s">
        <v>45</v>
      </c>
      <c r="K907" t="s">
        <v>7879</v>
      </c>
      <c r="L907" t="s">
        <v>7893</v>
      </c>
      <c r="M907" t="s">
        <v>63</v>
      </c>
      <c r="N907" t="s">
        <v>33</v>
      </c>
      <c r="O907" s="17">
        <v>195000</v>
      </c>
      <c r="P907" s="17" t="s">
        <v>7854</v>
      </c>
      <c r="Q907" s="22">
        <v>0</v>
      </c>
      <c r="R907" s="22" t="s">
        <v>7854</v>
      </c>
      <c r="S907" s="24">
        <v>0</v>
      </c>
      <c r="T907" s="24" t="s">
        <v>7854</v>
      </c>
      <c r="U907" t="s">
        <v>6068</v>
      </c>
    </row>
    <row r="908" spans="1:21" x14ac:dyDescent="0.25">
      <c r="A908">
        <v>926</v>
      </c>
      <c r="B908">
        <v>24496</v>
      </c>
      <c r="C908" t="s">
        <v>6069</v>
      </c>
      <c r="D908" t="s">
        <v>7721</v>
      </c>
      <c r="E908" t="s">
        <v>6071</v>
      </c>
      <c r="F908" t="s">
        <v>53</v>
      </c>
      <c r="G908" t="s">
        <v>6072</v>
      </c>
      <c r="H908" t="s">
        <v>43</v>
      </c>
      <c r="I908" s="13" t="s">
        <v>6073</v>
      </c>
      <c r="J908" t="s">
        <v>31</v>
      </c>
      <c r="K908" t="s">
        <v>7879</v>
      </c>
      <c r="L908" t="s">
        <v>7940</v>
      </c>
      <c r="M908" t="s">
        <v>87</v>
      </c>
      <c r="N908" t="s">
        <v>33</v>
      </c>
      <c r="O908" s="17">
        <v>195000</v>
      </c>
      <c r="P908" s="17" t="s">
        <v>7854</v>
      </c>
      <c r="Q908" s="22">
        <v>0</v>
      </c>
      <c r="R908" s="22" t="s">
        <v>7854</v>
      </c>
      <c r="S908" s="24">
        <v>0</v>
      </c>
      <c r="T908" s="24" t="s">
        <v>7854</v>
      </c>
      <c r="U908" t="s">
        <v>6074</v>
      </c>
    </row>
    <row r="909" spans="1:21" x14ac:dyDescent="0.25">
      <c r="A909">
        <v>927</v>
      </c>
      <c r="B909">
        <v>5192</v>
      </c>
      <c r="C909" t="s">
        <v>6075</v>
      </c>
      <c r="D909" t="s">
        <v>7722</v>
      </c>
      <c r="E909" t="s">
        <v>8024</v>
      </c>
      <c r="F909" t="s">
        <v>28</v>
      </c>
      <c r="G909" t="s">
        <v>778</v>
      </c>
      <c r="H909" t="s">
        <v>43</v>
      </c>
      <c r="I909" s="12">
        <v>2348062585090</v>
      </c>
      <c r="J909" t="s">
        <v>31</v>
      </c>
      <c r="K909" t="s">
        <v>7886</v>
      </c>
      <c r="L909" t="s">
        <v>7981</v>
      </c>
      <c r="M909" t="s">
        <v>46</v>
      </c>
      <c r="N909" t="s">
        <v>33</v>
      </c>
      <c r="O909" s="17">
        <v>812500</v>
      </c>
      <c r="P909" s="17" t="s">
        <v>7854</v>
      </c>
      <c r="Q909" s="22">
        <v>0</v>
      </c>
      <c r="R909" s="22" t="s">
        <v>7854</v>
      </c>
      <c r="S909" s="24">
        <v>162500</v>
      </c>
      <c r="T909" s="24" t="s">
        <v>7854</v>
      </c>
      <c r="U909" t="s">
        <v>6078</v>
      </c>
    </row>
    <row r="910" spans="1:21" x14ac:dyDescent="0.25">
      <c r="A910">
        <v>928</v>
      </c>
      <c r="B910">
        <v>5734</v>
      </c>
      <c r="C910" t="s">
        <v>6079</v>
      </c>
      <c r="D910" t="s">
        <v>7723</v>
      </c>
      <c r="E910" t="s">
        <v>6083</v>
      </c>
      <c r="F910" t="s">
        <v>28</v>
      </c>
      <c r="G910" t="s">
        <v>1923</v>
      </c>
      <c r="H910" t="s">
        <v>43</v>
      </c>
      <c r="I910" s="13" t="s">
        <v>6084</v>
      </c>
      <c r="J910" t="s">
        <v>31</v>
      </c>
      <c r="K910" t="s">
        <v>7886</v>
      </c>
      <c r="L910" t="s">
        <v>7981</v>
      </c>
      <c r="M910" t="s">
        <v>46</v>
      </c>
      <c r="N910" t="s">
        <v>33</v>
      </c>
      <c r="O910" s="17">
        <v>812500</v>
      </c>
      <c r="P910" s="17" t="s">
        <v>7854</v>
      </c>
      <c r="Q910" s="22">
        <v>0</v>
      </c>
      <c r="R910" s="22" t="s">
        <v>7854</v>
      </c>
      <c r="S910" s="24">
        <v>162500</v>
      </c>
      <c r="T910" s="24" t="s">
        <v>7854</v>
      </c>
      <c r="U910" t="s">
        <v>6085</v>
      </c>
    </row>
    <row r="911" spans="1:21" x14ac:dyDescent="0.25">
      <c r="A911">
        <v>929</v>
      </c>
      <c r="B911">
        <v>11215</v>
      </c>
      <c r="C911" t="s">
        <v>6086</v>
      </c>
      <c r="D911" t="s">
        <v>7724</v>
      </c>
      <c r="E911" t="s">
        <v>6089</v>
      </c>
      <c r="F911" t="s">
        <v>28</v>
      </c>
      <c r="G911" t="s">
        <v>6090</v>
      </c>
      <c r="H911" t="s">
        <v>43</v>
      </c>
      <c r="I911" s="12">
        <v>8067145294</v>
      </c>
      <c r="J911" t="s">
        <v>45</v>
      </c>
      <c r="K911" t="s">
        <v>7881</v>
      </c>
      <c r="L911" t="s">
        <v>7981</v>
      </c>
      <c r="M911" t="s">
        <v>87</v>
      </c>
      <c r="N911" t="s">
        <v>33</v>
      </c>
      <c r="O911" s="17">
        <v>552500</v>
      </c>
      <c r="P911" s="17" t="s">
        <v>7854</v>
      </c>
      <c r="Q911" s="22">
        <v>0</v>
      </c>
      <c r="R911" s="22" t="s">
        <v>7854</v>
      </c>
      <c r="S911" s="24">
        <v>0</v>
      </c>
      <c r="T911" s="24" t="s">
        <v>7854</v>
      </c>
      <c r="U911" t="s">
        <v>6091</v>
      </c>
    </row>
    <row r="912" spans="1:21" x14ac:dyDescent="0.25">
      <c r="A912">
        <v>930</v>
      </c>
      <c r="B912">
        <v>24556</v>
      </c>
      <c r="C912" t="s">
        <v>6092</v>
      </c>
      <c r="D912" t="s">
        <v>7725</v>
      </c>
      <c r="E912" t="s">
        <v>6095</v>
      </c>
      <c r="F912" t="s">
        <v>28</v>
      </c>
      <c r="G912" t="s">
        <v>6096</v>
      </c>
      <c r="H912" t="s">
        <v>453</v>
      </c>
      <c r="I912" s="13" t="s">
        <v>6097</v>
      </c>
      <c r="J912" t="s">
        <v>31</v>
      </c>
      <c r="K912" t="s">
        <v>7879</v>
      </c>
      <c r="L912" t="s">
        <v>7888</v>
      </c>
      <c r="M912" t="s">
        <v>455</v>
      </c>
      <c r="N912" t="s">
        <v>130</v>
      </c>
      <c r="O912" s="17" t="s">
        <v>7854</v>
      </c>
      <c r="P912" s="17">
        <v>150</v>
      </c>
      <c r="Q912" s="22" t="s">
        <v>7854</v>
      </c>
      <c r="R912" s="22">
        <v>0</v>
      </c>
      <c r="S912" s="24" t="s">
        <v>7854</v>
      </c>
      <c r="T912" s="24">
        <v>0</v>
      </c>
      <c r="U912" t="s">
        <v>6098</v>
      </c>
    </row>
    <row r="913" spans="1:21" x14ac:dyDescent="0.25">
      <c r="A913">
        <v>931</v>
      </c>
      <c r="B913">
        <v>24558</v>
      </c>
      <c r="C913" t="s">
        <v>6099</v>
      </c>
      <c r="D913" t="s">
        <v>7726</v>
      </c>
      <c r="E913" t="s">
        <v>6103</v>
      </c>
      <c r="F913" t="s">
        <v>28</v>
      </c>
      <c r="G913" t="s">
        <v>6104</v>
      </c>
      <c r="H913" t="s">
        <v>43</v>
      </c>
      <c r="I913" s="13" t="s">
        <v>6105</v>
      </c>
      <c r="J913" t="s">
        <v>31</v>
      </c>
      <c r="K913" t="s">
        <v>7879</v>
      </c>
      <c r="L913" t="s">
        <v>7893</v>
      </c>
      <c r="M913" t="s">
        <v>46</v>
      </c>
      <c r="N913" t="s">
        <v>33</v>
      </c>
      <c r="O913" s="17">
        <v>195000</v>
      </c>
      <c r="P913" s="17" t="s">
        <v>7854</v>
      </c>
      <c r="Q913" s="22">
        <v>0</v>
      </c>
      <c r="R913" s="22" t="s">
        <v>7854</v>
      </c>
      <c r="S913" s="24">
        <v>0</v>
      </c>
      <c r="T913" s="24" t="s">
        <v>7854</v>
      </c>
      <c r="U913" t="s">
        <v>6106</v>
      </c>
    </row>
    <row r="914" spans="1:21" x14ac:dyDescent="0.25">
      <c r="A914">
        <v>932</v>
      </c>
      <c r="B914">
        <v>24339</v>
      </c>
      <c r="C914" t="s">
        <v>6107</v>
      </c>
      <c r="D914" t="s">
        <v>7727</v>
      </c>
      <c r="E914" t="s">
        <v>6110</v>
      </c>
      <c r="F914" t="s">
        <v>53</v>
      </c>
      <c r="G914" t="s">
        <v>6111</v>
      </c>
      <c r="H914" t="s">
        <v>43</v>
      </c>
      <c r="I914" s="13" t="s">
        <v>6112</v>
      </c>
      <c r="J914" t="s">
        <v>31</v>
      </c>
      <c r="K914" t="s">
        <v>7879</v>
      </c>
      <c r="L914" t="s">
        <v>7940</v>
      </c>
      <c r="M914" t="s">
        <v>63</v>
      </c>
      <c r="N914" t="s">
        <v>33</v>
      </c>
      <c r="O914" s="17">
        <v>195000</v>
      </c>
      <c r="P914" s="17" t="s">
        <v>7854</v>
      </c>
      <c r="Q914" s="22">
        <v>0</v>
      </c>
      <c r="R914" s="22" t="s">
        <v>7854</v>
      </c>
      <c r="S914" s="24">
        <v>0</v>
      </c>
      <c r="T914" s="24" t="s">
        <v>7854</v>
      </c>
      <c r="U914" t="s">
        <v>6113</v>
      </c>
    </row>
    <row r="915" spans="1:21" x14ac:dyDescent="0.25">
      <c r="A915">
        <v>933</v>
      </c>
      <c r="B915">
        <v>3218</v>
      </c>
      <c r="C915" t="s">
        <v>6114</v>
      </c>
      <c r="D915" t="s">
        <v>7728</v>
      </c>
      <c r="E915" t="s">
        <v>7935</v>
      </c>
      <c r="F915" t="s">
        <v>28</v>
      </c>
      <c r="G915" t="s">
        <v>2883</v>
      </c>
      <c r="H915" t="s">
        <v>43</v>
      </c>
      <c r="I915" s="13" t="s">
        <v>6118</v>
      </c>
      <c r="J915" t="s">
        <v>31</v>
      </c>
      <c r="K915" t="s">
        <v>7886</v>
      </c>
      <c r="L915" t="s">
        <v>7893</v>
      </c>
      <c r="M915" t="s">
        <v>46</v>
      </c>
      <c r="N915" t="s">
        <v>33</v>
      </c>
      <c r="O915" s="17">
        <v>812500</v>
      </c>
      <c r="P915" s="17" t="s">
        <v>7854</v>
      </c>
      <c r="Q915" s="22">
        <v>0</v>
      </c>
      <c r="R915" s="22" t="s">
        <v>7854</v>
      </c>
      <c r="S915" s="24">
        <v>162500</v>
      </c>
      <c r="T915" s="24" t="s">
        <v>7854</v>
      </c>
      <c r="U915" t="s">
        <v>6119</v>
      </c>
    </row>
    <row r="916" spans="1:21" x14ac:dyDescent="0.25">
      <c r="A916">
        <v>934</v>
      </c>
      <c r="B916">
        <v>24559</v>
      </c>
      <c r="C916" t="s">
        <v>6120</v>
      </c>
      <c r="D916" t="s">
        <v>7729</v>
      </c>
      <c r="E916" t="s">
        <v>6123</v>
      </c>
      <c r="F916" t="s">
        <v>28</v>
      </c>
      <c r="G916" t="s">
        <v>6124</v>
      </c>
      <c r="H916" t="s">
        <v>43</v>
      </c>
      <c r="I916" s="13" t="s">
        <v>6125</v>
      </c>
      <c r="J916" t="s">
        <v>31</v>
      </c>
      <c r="K916" t="s">
        <v>7879</v>
      </c>
      <c r="L916" t="s">
        <v>7893</v>
      </c>
      <c r="M916" t="s">
        <v>87</v>
      </c>
      <c r="N916" t="s">
        <v>33</v>
      </c>
      <c r="O916" s="17">
        <v>195000</v>
      </c>
      <c r="P916" s="17" t="s">
        <v>7854</v>
      </c>
      <c r="Q916" s="22">
        <v>0</v>
      </c>
      <c r="R916" s="22" t="s">
        <v>7854</v>
      </c>
      <c r="S916" s="24">
        <v>0</v>
      </c>
      <c r="T916" s="24" t="s">
        <v>7854</v>
      </c>
      <c r="U916" t="s">
        <v>6126</v>
      </c>
    </row>
    <row r="917" spans="1:21" x14ac:dyDescent="0.25">
      <c r="A917">
        <v>935</v>
      </c>
      <c r="B917">
        <v>3863</v>
      </c>
      <c r="C917" t="s">
        <v>6127</v>
      </c>
      <c r="D917" t="s">
        <v>7730</v>
      </c>
      <c r="E917" t="s">
        <v>6130</v>
      </c>
      <c r="F917" t="s">
        <v>53</v>
      </c>
      <c r="G917" t="s">
        <v>6131</v>
      </c>
      <c r="H917" t="s">
        <v>43</v>
      </c>
      <c r="I917" s="13" t="s">
        <v>6132</v>
      </c>
      <c r="J917" t="s">
        <v>31</v>
      </c>
      <c r="K917" t="s">
        <v>7886</v>
      </c>
      <c r="L917" t="s">
        <v>7940</v>
      </c>
      <c r="M917" t="s">
        <v>63</v>
      </c>
      <c r="N917" t="s">
        <v>33</v>
      </c>
      <c r="O917" s="17">
        <v>812500</v>
      </c>
      <c r="P917" s="17" t="s">
        <v>7854</v>
      </c>
      <c r="Q917" s="22">
        <v>0</v>
      </c>
      <c r="R917" s="22" t="s">
        <v>7854</v>
      </c>
      <c r="S917" s="24">
        <v>162500</v>
      </c>
      <c r="T917" s="24" t="s">
        <v>7854</v>
      </c>
      <c r="U917" t="s">
        <v>6133</v>
      </c>
    </row>
    <row r="918" spans="1:21" x14ac:dyDescent="0.25">
      <c r="A918">
        <v>936</v>
      </c>
      <c r="B918">
        <v>24566</v>
      </c>
      <c r="C918" t="s">
        <v>6134</v>
      </c>
      <c r="D918" t="s">
        <v>7731</v>
      </c>
      <c r="E918" t="s">
        <v>6136</v>
      </c>
      <c r="F918" t="s">
        <v>28</v>
      </c>
      <c r="G918" t="s">
        <v>6137</v>
      </c>
      <c r="H918" t="s">
        <v>43</v>
      </c>
      <c r="I918" s="13" t="s">
        <v>6138</v>
      </c>
      <c r="J918" t="s">
        <v>31</v>
      </c>
      <c r="K918" t="s">
        <v>7879</v>
      </c>
      <c r="L918" t="s">
        <v>8028</v>
      </c>
      <c r="M918" t="s">
        <v>87</v>
      </c>
      <c r="N918" t="s">
        <v>33</v>
      </c>
      <c r="O918" s="17">
        <v>195000</v>
      </c>
      <c r="P918" s="17" t="s">
        <v>7854</v>
      </c>
      <c r="Q918" s="22">
        <v>0</v>
      </c>
      <c r="R918" s="22" t="s">
        <v>7854</v>
      </c>
      <c r="S918" s="24">
        <v>0</v>
      </c>
      <c r="T918" s="24" t="s">
        <v>7854</v>
      </c>
      <c r="U918" t="s">
        <v>6139</v>
      </c>
    </row>
    <row r="919" spans="1:21" x14ac:dyDescent="0.25">
      <c r="A919">
        <v>937</v>
      </c>
      <c r="B919">
        <v>6723</v>
      </c>
      <c r="C919" t="s">
        <v>6140</v>
      </c>
      <c r="D919" t="s">
        <v>7732</v>
      </c>
      <c r="E919" t="s">
        <v>6143</v>
      </c>
      <c r="F919" t="s">
        <v>28</v>
      </c>
      <c r="G919" t="s">
        <v>5691</v>
      </c>
      <c r="H919" t="s">
        <v>43</v>
      </c>
      <c r="I919" s="13" t="s">
        <v>6144</v>
      </c>
      <c r="J919" t="s">
        <v>45</v>
      </c>
      <c r="K919" t="s">
        <v>7881</v>
      </c>
      <c r="L919" t="s">
        <v>7940</v>
      </c>
      <c r="M919" t="s">
        <v>63</v>
      </c>
      <c r="N919" t="s">
        <v>33</v>
      </c>
      <c r="O919" s="17">
        <v>552500</v>
      </c>
      <c r="P919" s="17" t="s">
        <v>7854</v>
      </c>
      <c r="Q919" s="22">
        <v>110500</v>
      </c>
      <c r="R919" s="22" t="s">
        <v>7854</v>
      </c>
      <c r="S919" s="24">
        <v>0</v>
      </c>
      <c r="T919" s="24" t="s">
        <v>7854</v>
      </c>
      <c r="U919" t="s">
        <v>6145</v>
      </c>
    </row>
    <row r="920" spans="1:21" x14ac:dyDescent="0.25">
      <c r="A920">
        <v>938</v>
      </c>
      <c r="B920">
        <v>24550</v>
      </c>
      <c r="C920" t="s">
        <v>6146</v>
      </c>
      <c r="D920" t="s">
        <v>7733</v>
      </c>
      <c r="E920" t="s">
        <v>6149</v>
      </c>
      <c r="F920" t="s">
        <v>28</v>
      </c>
      <c r="G920" t="s">
        <v>952</v>
      </c>
      <c r="H920" t="s">
        <v>453</v>
      </c>
      <c r="I920" s="13" t="s">
        <v>6150</v>
      </c>
      <c r="J920" t="s">
        <v>31</v>
      </c>
      <c r="K920" t="s">
        <v>7879</v>
      </c>
      <c r="L920" t="s">
        <v>8028</v>
      </c>
      <c r="M920" t="s">
        <v>455</v>
      </c>
      <c r="N920" t="s">
        <v>130</v>
      </c>
      <c r="O920" s="17" t="s">
        <v>7854</v>
      </c>
      <c r="P920" s="17">
        <v>150</v>
      </c>
      <c r="Q920" s="22" t="s">
        <v>7854</v>
      </c>
      <c r="R920" s="22">
        <v>0</v>
      </c>
      <c r="S920" s="24" t="s">
        <v>7854</v>
      </c>
      <c r="T920" s="24">
        <v>0</v>
      </c>
      <c r="U920" t="s">
        <v>6151</v>
      </c>
    </row>
    <row r="921" spans="1:21" x14ac:dyDescent="0.25">
      <c r="A921">
        <v>939</v>
      </c>
      <c r="B921">
        <v>9914</v>
      </c>
      <c r="C921" t="s">
        <v>6152</v>
      </c>
      <c r="D921" t="s">
        <v>7734</v>
      </c>
      <c r="E921" t="s">
        <v>6155</v>
      </c>
      <c r="F921" t="s">
        <v>28</v>
      </c>
      <c r="G921" t="s">
        <v>455</v>
      </c>
      <c r="H921" t="s">
        <v>453</v>
      </c>
      <c r="I921" s="12">
        <v>200802907</v>
      </c>
      <c r="J921" t="s">
        <v>45</v>
      </c>
      <c r="K921" t="s">
        <v>7881</v>
      </c>
      <c r="L921" t="s">
        <v>7893</v>
      </c>
      <c r="M921" t="s">
        <v>455</v>
      </c>
      <c r="N921" t="s">
        <v>130</v>
      </c>
      <c r="O921" s="17" t="s">
        <v>7854</v>
      </c>
      <c r="P921" s="17">
        <v>425</v>
      </c>
      <c r="Q921" s="22" t="s">
        <v>7854</v>
      </c>
      <c r="R921" s="22">
        <v>0</v>
      </c>
      <c r="S921" s="24" t="s">
        <v>7854</v>
      </c>
      <c r="T921" s="24">
        <v>0</v>
      </c>
      <c r="U921" t="s">
        <v>6156</v>
      </c>
    </row>
    <row r="922" spans="1:21" x14ac:dyDescent="0.25">
      <c r="A922">
        <v>940</v>
      </c>
      <c r="B922">
        <v>22955</v>
      </c>
      <c r="C922" t="s">
        <v>6157</v>
      </c>
      <c r="D922" t="s">
        <v>7735</v>
      </c>
      <c r="E922" t="s">
        <v>6158</v>
      </c>
      <c r="F922" t="s">
        <v>28</v>
      </c>
      <c r="G922" t="s">
        <v>6159</v>
      </c>
      <c r="H922" t="s">
        <v>43</v>
      </c>
      <c r="I922" s="13" t="s">
        <v>6160</v>
      </c>
      <c r="J922" t="s">
        <v>45</v>
      </c>
      <c r="K922" t="s">
        <v>7879</v>
      </c>
      <c r="L922" t="s">
        <v>7888</v>
      </c>
      <c r="M922" t="s">
        <v>46</v>
      </c>
      <c r="N922" t="s">
        <v>33</v>
      </c>
      <c r="O922" s="17">
        <v>195000</v>
      </c>
      <c r="P922" s="17" t="s">
        <v>7854</v>
      </c>
      <c r="Q922" s="22">
        <v>0</v>
      </c>
      <c r="R922" s="22" t="s">
        <v>7854</v>
      </c>
      <c r="S922" s="24">
        <v>0</v>
      </c>
      <c r="T922" s="24" t="s">
        <v>7854</v>
      </c>
      <c r="U922" t="s">
        <v>6161</v>
      </c>
    </row>
    <row r="923" spans="1:21" x14ac:dyDescent="0.25">
      <c r="A923">
        <v>941</v>
      </c>
      <c r="B923">
        <v>5613</v>
      </c>
      <c r="C923" t="s">
        <v>6162</v>
      </c>
      <c r="D923" t="s">
        <v>7736</v>
      </c>
      <c r="E923" t="s">
        <v>7973</v>
      </c>
      <c r="F923" t="s">
        <v>53</v>
      </c>
      <c r="G923" t="s">
        <v>3403</v>
      </c>
      <c r="H923" t="s">
        <v>43</v>
      </c>
      <c r="I923" s="12">
        <v>2348036164489</v>
      </c>
      <c r="J923" t="s">
        <v>31</v>
      </c>
      <c r="K923" t="s">
        <v>7886</v>
      </c>
      <c r="L923" t="s">
        <v>7940</v>
      </c>
      <c r="M923" t="s">
        <v>46</v>
      </c>
      <c r="N923" t="s">
        <v>33</v>
      </c>
      <c r="O923" s="17">
        <v>812500</v>
      </c>
      <c r="P923" s="17" t="s">
        <v>7854</v>
      </c>
      <c r="Q923" s="22">
        <v>0</v>
      </c>
      <c r="R923" s="22" t="s">
        <v>7854</v>
      </c>
      <c r="S923" s="24">
        <v>162500</v>
      </c>
      <c r="T923" s="24" t="s">
        <v>7854</v>
      </c>
      <c r="U923" t="s">
        <v>6166</v>
      </c>
    </row>
    <row r="924" spans="1:21" x14ac:dyDescent="0.25">
      <c r="A924">
        <v>942</v>
      </c>
      <c r="B924">
        <v>24061</v>
      </c>
      <c r="C924" t="s">
        <v>6167</v>
      </c>
      <c r="D924" t="s">
        <v>7737</v>
      </c>
      <c r="E924" t="s">
        <v>6171</v>
      </c>
      <c r="F924" t="s">
        <v>28</v>
      </c>
      <c r="G924" t="s">
        <v>6172</v>
      </c>
      <c r="H924" t="s">
        <v>43</v>
      </c>
      <c r="I924" s="13" t="s">
        <v>6173</v>
      </c>
      <c r="J924" t="s">
        <v>31</v>
      </c>
      <c r="K924" t="s">
        <v>7879</v>
      </c>
      <c r="L924" t="s">
        <v>7981</v>
      </c>
      <c r="M924" t="s">
        <v>63</v>
      </c>
      <c r="N924" t="s">
        <v>33</v>
      </c>
      <c r="O924" s="17">
        <v>195000</v>
      </c>
      <c r="P924" s="17" t="s">
        <v>7854</v>
      </c>
      <c r="Q924" s="22">
        <v>0</v>
      </c>
      <c r="R924" s="22" t="s">
        <v>7854</v>
      </c>
      <c r="S924" s="24">
        <v>0</v>
      </c>
      <c r="T924" s="24" t="s">
        <v>7854</v>
      </c>
      <c r="U924" t="s">
        <v>6174</v>
      </c>
    </row>
    <row r="925" spans="1:21" x14ac:dyDescent="0.25">
      <c r="A925">
        <v>943</v>
      </c>
      <c r="B925">
        <v>24555</v>
      </c>
      <c r="C925" t="s">
        <v>6175</v>
      </c>
      <c r="D925" t="s">
        <v>7738</v>
      </c>
      <c r="E925" t="s">
        <v>6179</v>
      </c>
      <c r="F925" t="s">
        <v>28</v>
      </c>
      <c r="G925" t="s">
        <v>952</v>
      </c>
      <c r="H925" t="s">
        <v>453</v>
      </c>
      <c r="I925" s="12">
        <v>233246959135</v>
      </c>
      <c r="J925" t="s">
        <v>31</v>
      </c>
      <c r="K925" t="s">
        <v>7879</v>
      </c>
      <c r="L925" t="s">
        <v>8028</v>
      </c>
      <c r="M925" t="s">
        <v>455</v>
      </c>
      <c r="N925" t="s">
        <v>130</v>
      </c>
      <c r="O925" s="17" t="s">
        <v>7854</v>
      </c>
      <c r="P925" s="17">
        <v>150</v>
      </c>
      <c r="Q925" s="22" t="s">
        <v>7854</v>
      </c>
      <c r="R925" s="22">
        <v>0</v>
      </c>
      <c r="S925" s="24" t="s">
        <v>7854</v>
      </c>
      <c r="T925" s="24">
        <v>0</v>
      </c>
      <c r="U925" t="s">
        <v>6180</v>
      </c>
    </row>
    <row r="926" spans="1:21" x14ac:dyDescent="0.25">
      <c r="A926">
        <v>944</v>
      </c>
      <c r="B926">
        <v>9049</v>
      </c>
      <c r="C926" t="s">
        <v>6181</v>
      </c>
      <c r="D926" t="s">
        <v>7739</v>
      </c>
      <c r="E926" t="s">
        <v>6184</v>
      </c>
      <c r="F926" t="s">
        <v>28</v>
      </c>
      <c r="G926" t="s">
        <v>4506</v>
      </c>
      <c r="H926" t="s">
        <v>43</v>
      </c>
      <c r="I926" s="12">
        <v>2348137569161</v>
      </c>
      <c r="J926" t="s">
        <v>31</v>
      </c>
      <c r="K926" t="s">
        <v>7881</v>
      </c>
      <c r="L926" t="s">
        <v>7940</v>
      </c>
      <c r="M926" t="s">
        <v>46</v>
      </c>
      <c r="N926" t="s">
        <v>33</v>
      </c>
      <c r="O926" s="17">
        <v>552500</v>
      </c>
      <c r="P926" s="17" t="s">
        <v>7854</v>
      </c>
      <c r="Q926" s="22">
        <v>0</v>
      </c>
      <c r="R926" s="22" t="s">
        <v>7854</v>
      </c>
      <c r="S926" s="24">
        <v>0</v>
      </c>
      <c r="T926" s="24" t="s">
        <v>7854</v>
      </c>
      <c r="U926" t="s">
        <v>6185</v>
      </c>
    </row>
    <row r="927" spans="1:21" x14ac:dyDescent="0.25">
      <c r="A927">
        <v>945</v>
      </c>
      <c r="B927">
        <v>23975</v>
      </c>
      <c r="C927" t="s">
        <v>6186</v>
      </c>
      <c r="D927" t="s">
        <v>7740</v>
      </c>
      <c r="E927" t="s">
        <v>6189</v>
      </c>
      <c r="F927" t="s">
        <v>28</v>
      </c>
      <c r="G927" t="s">
        <v>6190</v>
      </c>
      <c r="H927" t="s">
        <v>453</v>
      </c>
      <c r="I927" s="12">
        <v>233207383532</v>
      </c>
      <c r="J927" t="s">
        <v>31</v>
      </c>
      <c r="K927" t="s">
        <v>7879</v>
      </c>
      <c r="L927" t="s">
        <v>7981</v>
      </c>
      <c r="M927" t="s">
        <v>455</v>
      </c>
      <c r="N927" t="s">
        <v>130</v>
      </c>
      <c r="O927" s="17" t="s">
        <v>7854</v>
      </c>
      <c r="P927" s="17">
        <v>150</v>
      </c>
      <c r="Q927" s="22" t="s">
        <v>7854</v>
      </c>
      <c r="R927" s="22">
        <v>0</v>
      </c>
      <c r="S927" s="24" t="s">
        <v>7854</v>
      </c>
      <c r="T927" s="24">
        <v>0</v>
      </c>
      <c r="U927" t="s">
        <v>6191</v>
      </c>
    </row>
    <row r="928" spans="1:21" x14ac:dyDescent="0.25">
      <c r="A928">
        <v>946</v>
      </c>
      <c r="B928">
        <v>20410</v>
      </c>
      <c r="C928" t="s">
        <v>6192</v>
      </c>
      <c r="D928" t="s">
        <v>7741</v>
      </c>
      <c r="E928" t="s">
        <v>6196</v>
      </c>
      <c r="F928" t="s">
        <v>53</v>
      </c>
      <c r="G928" t="s">
        <v>952</v>
      </c>
      <c r="H928" t="s">
        <v>453</v>
      </c>
      <c r="I928" s="12" t="s">
        <v>6197</v>
      </c>
      <c r="J928" t="s">
        <v>31</v>
      </c>
      <c r="K928" t="s">
        <v>7879</v>
      </c>
      <c r="L928" t="s">
        <v>8028</v>
      </c>
      <c r="M928" t="s">
        <v>455</v>
      </c>
      <c r="N928" t="s">
        <v>130</v>
      </c>
      <c r="O928" s="17" t="s">
        <v>7854</v>
      </c>
      <c r="P928" s="17">
        <v>150</v>
      </c>
      <c r="Q928" s="22" t="s">
        <v>7854</v>
      </c>
      <c r="R928" s="22">
        <v>0</v>
      </c>
      <c r="S928" s="24" t="s">
        <v>7854</v>
      </c>
      <c r="T928" s="24">
        <v>0</v>
      </c>
      <c r="U928" t="s">
        <v>6198</v>
      </c>
    </row>
    <row r="929" spans="1:21" x14ac:dyDescent="0.25">
      <c r="A929">
        <v>947</v>
      </c>
      <c r="B929">
        <v>24573</v>
      </c>
      <c r="C929" t="s">
        <v>6199</v>
      </c>
      <c r="D929" t="s">
        <v>7742</v>
      </c>
      <c r="E929" t="s">
        <v>6202</v>
      </c>
      <c r="F929" t="s">
        <v>53</v>
      </c>
      <c r="G929" t="s">
        <v>6203</v>
      </c>
      <c r="H929" t="s">
        <v>43</v>
      </c>
      <c r="I929" s="13" t="s">
        <v>6204</v>
      </c>
      <c r="J929" t="s">
        <v>31</v>
      </c>
      <c r="K929" t="s">
        <v>7879</v>
      </c>
      <c r="L929" t="s">
        <v>7888</v>
      </c>
      <c r="M929" t="s">
        <v>87</v>
      </c>
      <c r="N929" t="s">
        <v>33</v>
      </c>
      <c r="O929" s="17">
        <v>195000</v>
      </c>
      <c r="P929" s="17" t="s">
        <v>7854</v>
      </c>
      <c r="Q929" s="22">
        <v>0</v>
      </c>
      <c r="R929" s="22" t="s">
        <v>7854</v>
      </c>
      <c r="S929" s="24">
        <v>0</v>
      </c>
      <c r="T929" s="24" t="s">
        <v>7854</v>
      </c>
      <c r="U929" t="s">
        <v>6205</v>
      </c>
    </row>
    <row r="930" spans="1:21" x14ac:dyDescent="0.25">
      <c r="A930">
        <v>948</v>
      </c>
      <c r="B930">
        <v>24569</v>
      </c>
      <c r="C930" t="s">
        <v>6206</v>
      </c>
      <c r="D930" t="s">
        <v>7743</v>
      </c>
      <c r="E930" t="s">
        <v>6208</v>
      </c>
      <c r="F930" t="s">
        <v>53</v>
      </c>
      <c r="G930" t="s">
        <v>6209</v>
      </c>
      <c r="H930" t="s">
        <v>43</v>
      </c>
      <c r="I930" s="13" t="s">
        <v>6210</v>
      </c>
      <c r="J930" t="s">
        <v>31</v>
      </c>
      <c r="K930" t="s">
        <v>7879</v>
      </c>
      <c r="L930" t="s">
        <v>7888</v>
      </c>
      <c r="M930" t="s">
        <v>46</v>
      </c>
      <c r="N930" t="s">
        <v>33</v>
      </c>
      <c r="O930" s="17">
        <v>195000</v>
      </c>
      <c r="P930" s="17" t="s">
        <v>7854</v>
      </c>
      <c r="Q930" s="22">
        <v>0</v>
      </c>
      <c r="R930" s="22" t="s">
        <v>7854</v>
      </c>
      <c r="S930" s="24">
        <v>0</v>
      </c>
      <c r="T930" s="24" t="s">
        <v>7854</v>
      </c>
      <c r="U930" t="s">
        <v>6211</v>
      </c>
    </row>
    <row r="931" spans="1:21" x14ac:dyDescent="0.25">
      <c r="A931">
        <v>949</v>
      </c>
      <c r="B931">
        <v>24345</v>
      </c>
      <c r="C931" t="s">
        <v>6212</v>
      </c>
      <c r="D931" t="s">
        <v>7744</v>
      </c>
      <c r="E931" t="s">
        <v>6216</v>
      </c>
      <c r="F931" t="s">
        <v>53</v>
      </c>
      <c r="G931" t="s">
        <v>6217</v>
      </c>
      <c r="H931" t="s">
        <v>43</v>
      </c>
      <c r="I931" s="13" t="s">
        <v>6218</v>
      </c>
      <c r="J931" t="s">
        <v>31</v>
      </c>
      <c r="K931" t="s">
        <v>7879</v>
      </c>
      <c r="L931" t="s">
        <v>8028</v>
      </c>
      <c r="M931" t="s">
        <v>87</v>
      </c>
      <c r="N931" t="s">
        <v>33</v>
      </c>
      <c r="O931" s="17">
        <v>195000</v>
      </c>
      <c r="P931" s="17" t="s">
        <v>7854</v>
      </c>
      <c r="Q931" s="22">
        <v>0</v>
      </c>
      <c r="R931" s="22" t="s">
        <v>7854</v>
      </c>
      <c r="S931" s="24">
        <v>0</v>
      </c>
      <c r="T931" s="24" t="s">
        <v>7854</v>
      </c>
      <c r="U931" t="s">
        <v>6219</v>
      </c>
    </row>
    <row r="932" spans="1:21" x14ac:dyDescent="0.25">
      <c r="A932">
        <v>950</v>
      </c>
      <c r="B932">
        <v>24554</v>
      </c>
      <c r="C932" t="s">
        <v>6220</v>
      </c>
      <c r="D932" t="s">
        <v>7745</v>
      </c>
      <c r="E932" t="s">
        <v>6223</v>
      </c>
      <c r="F932" t="s">
        <v>28</v>
      </c>
      <c r="G932" t="s">
        <v>6224</v>
      </c>
      <c r="H932" t="s">
        <v>453</v>
      </c>
      <c r="I932" s="13" t="s">
        <v>6225</v>
      </c>
      <c r="J932" t="s">
        <v>31</v>
      </c>
      <c r="K932" t="s">
        <v>7879</v>
      </c>
      <c r="L932" t="s">
        <v>8028</v>
      </c>
      <c r="M932" t="s">
        <v>455</v>
      </c>
      <c r="N932" t="s">
        <v>130</v>
      </c>
      <c r="O932" s="17" t="s">
        <v>7854</v>
      </c>
      <c r="P932" s="17">
        <v>150</v>
      </c>
      <c r="Q932" s="22" t="s">
        <v>7854</v>
      </c>
      <c r="R932" s="22">
        <v>0</v>
      </c>
      <c r="S932" s="24" t="s">
        <v>7854</v>
      </c>
      <c r="T932" s="24">
        <v>0</v>
      </c>
      <c r="U932" t="s">
        <v>6226</v>
      </c>
    </row>
    <row r="933" spans="1:21" x14ac:dyDescent="0.25">
      <c r="A933">
        <v>951</v>
      </c>
      <c r="B933">
        <v>1758</v>
      </c>
      <c r="C933" t="s">
        <v>6227</v>
      </c>
      <c r="D933" t="s">
        <v>7746</v>
      </c>
      <c r="E933" t="s">
        <v>7936</v>
      </c>
      <c r="F933" t="s">
        <v>53</v>
      </c>
      <c r="G933" t="s">
        <v>6231</v>
      </c>
      <c r="H933" t="s">
        <v>43</v>
      </c>
      <c r="I933" s="12">
        <v>8036628149</v>
      </c>
      <c r="J933" t="s">
        <v>31</v>
      </c>
      <c r="K933" t="s">
        <v>7886</v>
      </c>
      <c r="L933" t="s">
        <v>7893</v>
      </c>
      <c r="M933" t="s">
        <v>46</v>
      </c>
      <c r="N933" t="s">
        <v>33</v>
      </c>
      <c r="O933" s="17">
        <v>812500</v>
      </c>
      <c r="P933" s="17" t="s">
        <v>7854</v>
      </c>
      <c r="Q933" s="22">
        <v>0</v>
      </c>
      <c r="R933" s="22" t="s">
        <v>7854</v>
      </c>
      <c r="S933" s="24">
        <v>162500</v>
      </c>
      <c r="T933" s="24" t="s">
        <v>7854</v>
      </c>
      <c r="U933" t="s">
        <v>6232</v>
      </c>
    </row>
    <row r="934" spans="1:21" x14ac:dyDescent="0.25">
      <c r="A934">
        <v>952</v>
      </c>
      <c r="B934">
        <v>24557</v>
      </c>
      <c r="C934" t="s">
        <v>6233</v>
      </c>
      <c r="D934" t="s">
        <v>7747</v>
      </c>
      <c r="E934" t="s">
        <v>6236</v>
      </c>
      <c r="F934" t="s">
        <v>53</v>
      </c>
      <c r="G934" t="s">
        <v>952</v>
      </c>
      <c r="H934" t="s">
        <v>453</v>
      </c>
      <c r="I934" s="13" t="s">
        <v>6237</v>
      </c>
      <c r="J934" t="s">
        <v>31</v>
      </c>
      <c r="K934" t="s">
        <v>7879</v>
      </c>
      <c r="L934" t="s">
        <v>8028</v>
      </c>
      <c r="M934" t="s">
        <v>455</v>
      </c>
      <c r="N934" t="s">
        <v>130</v>
      </c>
      <c r="O934" s="17" t="s">
        <v>7854</v>
      </c>
      <c r="P934" s="17">
        <v>150</v>
      </c>
      <c r="Q934" s="22" t="s">
        <v>7854</v>
      </c>
      <c r="R934" s="22">
        <v>0</v>
      </c>
      <c r="S934" s="24" t="s">
        <v>7854</v>
      </c>
      <c r="T934" s="24">
        <v>0</v>
      </c>
      <c r="U934" t="s">
        <v>6238</v>
      </c>
    </row>
    <row r="935" spans="1:21" x14ac:dyDescent="0.25">
      <c r="A935">
        <v>953</v>
      </c>
      <c r="B935">
        <v>24035</v>
      </c>
      <c r="C935" t="s">
        <v>6239</v>
      </c>
      <c r="D935" t="s">
        <v>7748</v>
      </c>
      <c r="E935" t="s">
        <v>6242</v>
      </c>
      <c r="F935" t="s">
        <v>28</v>
      </c>
      <c r="G935" t="s">
        <v>2044</v>
      </c>
      <c r="H935" t="s">
        <v>43</v>
      </c>
      <c r="I935" s="13" t="s">
        <v>6243</v>
      </c>
      <c r="J935" t="s">
        <v>31</v>
      </c>
      <c r="K935" t="s">
        <v>7879</v>
      </c>
      <c r="L935" t="s">
        <v>8028</v>
      </c>
      <c r="M935" t="s">
        <v>63</v>
      </c>
      <c r="N935" t="s">
        <v>33</v>
      </c>
      <c r="O935" s="17">
        <v>195000</v>
      </c>
      <c r="P935" s="17" t="s">
        <v>7854</v>
      </c>
      <c r="Q935" s="22">
        <v>0</v>
      </c>
      <c r="R935" s="22" t="s">
        <v>7854</v>
      </c>
      <c r="S935" s="24">
        <v>0</v>
      </c>
      <c r="T935" s="24" t="s">
        <v>7854</v>
      </c>
      <c r="U935" t="s">
        <v>6244</v>
      </c>
    </row>
    <row r="936" spans="1:21" x14ac:dyDescent="0.25">
      <c r="A936">
        <v>954</v>
      </c>
      <c r="B936">
        <v>24564</v>
      </c>
      <c r="C936" t="s">
        <v>6245</v>
      </c>
      <c r="D936" t="s">
        <v>7749</v>
      </c>
      <c r="E936" t="s">
        <v>6245</v>
      </c>
      <c r="F936" t="s">
        <v>28</v>
      </c>
      <c r="G936" t="s">
        <v>6247</v>
      </c>
      <c r="H936" t="s">
        <v>43</v>
      </c>
      <c r="I936" s="13" t="s">
        <v>6248</v>
      </c>
      <c r="J936" t="s">
        <v>31</v>
      </c>
      <c r="K936" t="s">
        <v>7879</v>
      </c>
      <c r="L936" t="s">
        <v>7888</v>
      </c>
      <c r="M936" t="s">
        <v>46</v>
      </c>
      <c r="N936" t="s">
        <v>33</v>
      </c>
      <c r="O936" s="17">
        <v>195000</v>
      </c>
      <c r="P936" s="17" t="s">
        <v>7854</v>
      </c>
      <c r="Q936" s="22">
        <v>0</v>
      </c>
      <c r="R936" s="22" t="s">
        <v>7854</v>
      </c>
      <c r="S936" s="24">
        <v>0</v>
      </c>
      <c r="T936" s="24" t="s">
        <v>7854</v>
      </c>
      <c r="U936" t="s">
        <v>6249</v>
      </c>
    </row>
    <row r="937" spans="1:21" x14ac:dyDescent="0.25">
      <c r="A937">
        <v>955</v>
      </c>
      <c r="B937">
        <v>24333</v>
      </c>
      <c r="C937" t="s">
        <v>6250</v>
      </c>
      <c r="D937" t="s">
        <v>7750</v>
      </c>
      <c r="E937" t="s">
        <v>6254</v>
      </c>
      <c r="F937" t="s">
        <v>53</v>
      </c>
      <c r="G937" t="s">
        <v>6255</v>
      </c>
      <c r="H937" t="s">
        <v>453</v>
      </c>
      <c r="I937" s="13" t="s">
        <v>6256</v>
      </c>
      <c r="J937" t="s">
        <v>31</v>
      </c>
      <c r="K937" t="s">
        <v>7879</v>
      </c>
      <c r="L937" t="s">
        <v>7893</v>
      </c>
      <c r="M937" t="s">
        <v>455</v>
      </c>
      <c r="N937" t="s">
        <v>130</v>
      </c>
      <c r="O937" s="17" t="s">
        <v>7854</v>
      </c>
      <c r="P937" s="17">
        <v>150</v>
      </c>
      <c r="Q937" s="22" t="s">
        <v>7854</v>
      </c>
      <c r="R937" s="22">
        <v>0</v>
      </c>
      <c r="S937" s="24" t="s">
        <v>7854</v>
      </c>
      <c r="T937" s="24">
        <v>0</v>
      </c>
      <c r="U937" t="s">
        <v>6257</v>
      </c>
    </row>
    <row r="938" spans="1:21" x14ac:dyDescent="0.25">
      <c r="A938">
        <v>956</v>
      </c>
      <c r="B938">
        <v>3522</v>
      </c>
      <c r="C938" t="s">
        <v>6258</v>
      </c>
      <c r="D938" t="s">
        <v>7751</v>
      </c>
      <c r="E938" t="s">
        <v>6260</v>
      </c>
      <c r="F938" t="s">
        <v>53</v>
      </c>
      <c r="G938" t="s">
        <v>7937</v>
      </c>
      <c r="H938" t="s">
        <v>43</v>
      </c>
      <c r="I938" s="12">
        <v>7039236212</v>
      </c>
      <c r="J938" t="s">
        <v>31</v>
      </c>
      <c r="K938" t="s">
        <v>7886</v>
      </c>
      <c r="L938" t="s">
        <v>7893</v>
      </c>
      <c r="M938" t="s">
        <v>46</v>
      </c>
      <c r="N938" t="s">
        <v>33</v>
      </c>
      <c r="O938" s="17">
        <v>812500</v>
      </c>
      <c r="P938" s="17" t="s">
        <v>7854</v>
      </c>
      <c r="Q938" s="22">
        <v>0</v>
      </c>
      <c r="R938" s="22" t="s">
        <v>7854</v>
      </c>
      <c r="S938" s="24">
        <v>162500</v>
      </c>
      <c r="T938" s="24" t="s">
        <v>7854</v>
      </c>
      <c r="U938" t="s">
        <v>6261</v>
      </c>
    </row>
    <row r="939" spans="1:21" x14ac:dyDescent="0.25">
      <c r="A939">
        <v>957</v>
      </c>
      <c r="B939">
        <v>24575</v>
      </c>
      <c r="C939" t="s">
        <v>6262</v>
      </c>
      <c r="D939" t="s">
        <v>7752</v>
      </c>
      <c r="E939" t="s">
        <v>6266</v>
      </c>
      <c r="F939" t="s">
        <v>53</v>
      </c>
      <c r="G939" t="s">
        <v>6267</v>
      </c>
      <c r="H939" t="s">
        <v>43</v>
      </c>
      <c r="I939" s="12">
        <v>2348136179710</v>
      </c>
      <c r="J939" t="s">
        <v>31</v>
      </c>
      <c r="K939" t="s">
        <v>7879</v>
      </c>
      <c r="L939" t="s">
        <v>7940</v>
      </c>
      <c r="M939" t="s">
        <v>63</v>
      </c>
      <c r="N939" t="s">
        <v>33</v>
      </c>
      <c r="O939" s="17">
        <v>195000</v>
      </c>
      <c r="P939" s="17" t="s">
        <v>7854</v>
      </c>
      <c r="Q939" s="22">
        <v>0</v>
      </c>
      <c r="R939" s="22" t="s">
        <v>7854</v>
      </c>
      <c r="S939" s="24">
        <v>0</v>
      </c>
      <c r="T939" s="24" t="s">
        <v>7854</v>
      </c>
      <c r="U939" t="s">
        <v>6268</v>
      </c>
    </row>
    <row r="940" spans="1:21" x14ac:dyDescent="0.25">
      <c r="A940">
        <v>958</v>
      </c>
      <c r="B940">
        <v>24568</v>
      </c>
      <c r="C940" t="s">
        <v>6269</v>
      </c>
      <c r="D940" t="s">
        <v>7753</v>
      </c>
      <c r="E940" t="s">
        <v>6272</v>
      </c>
      <c r="F940" t="s">
        <v>53</v>
      </c>
      <c r="G940" t="s">
        <v>6273</v>
      </c>
      <c r="H940" t="s">
        <v>43</v>
      </c>
      <c r="I940" s="12">
        <v>2347066677336</v>
      </c>
      <c r="J940" t="s">
        <v>31</v>
      </c>
      <c r="K940" t="s">
        <v>7879</v>
      </c>
      <c r="L940" t="s">
        <v>7940</v>
      </c>
      <c r="M940" t="s">
        <v>46</v>
      </c>
      <c r="N940" t="s">
        <v>33</v>
      </c>
      <c r="O940" s="17">
        <v>195000</v>
      </c>
      <c r="P940" s="17" t="s">
        <v>7854</v>
      </c>
      <c r="Q940" s="22">
        <v>0</v>
      </c>
      <c r="R940" s="22" t="s">
        <v>7854</v>
      </c>
      <c r="S940" s="24">
        <v>0</v>
      </c>
      <c r="T940" s="24" t="s">
        <v>7854</v>
      </c>
      <c r="U940" t="s">
        <v>6274</v>
      </c>
    </row>
    <row r="941" spans="1:21" x14ac:dyDescent="0.25">
      <c r="A941">
        <v>959</v>
      </c>
      <c r="B941">
        <v>24574</v>
      </c>
      <c r="C941" t="s">
        <v>6275</v>
      </c>
      <c r="D941" t="s">
        <v>7754</v>
      </c>
      <c r="E941" t="s">
        <v>6277</v>
      </c>
      <c r="F941" t="s">
        <v>53</v>
      </c>
      <c r="G941" t="s">
        <v>6278</v>
      </c>
      <c r="H941" t="s">
        <v>43</v>
      </c>
      <c r="I941" s="13" t="s">
        <v>6279</v>
      </c>
      <c r="J941" t="s">
        <v>31</v>
      </c>
      <c r="K941" t="s">
        <v>7879</v>
      </c>
      <c r="L941" t="s">
        <v>7888</v>
      </c>
      <c r="M941" t="s">
        <v>46</v>
      </c>
      <c r="N941" t="s">
        <v>33</v>
      </c>
      <c r="O941" s="17">
        <v>195000</v>
      </c>
      <c r="P941" s="17" t="s">
        <v>7854</v>
      </c>
      <c r="Q941" s="22">
        <v>0</v>
      </c>
      <c r="R941" s="22" t="s">
        <v>7854</v>
      </c>
      <c r="S941" s="24">
        <v>0</v>
      </c>
      <c r="T941" s="24" t="s">
        <v>7854</v>
      </c>
      <c r="U941" t="s">
        <v>6280</v>
      </c>
    </row>
    <row r="942" spans="1:21" x14ac:dyDescent="0.25">
      <c r="A942">
        <v>960</v>
      </c>
      <c r="B942">
        <v>24561</v>
      </c>
      <c r="C942" t="s">
        <v>6281</v>
      </c>
      <c r="D942" t="s">
        <v>7755</v>
      </c>
      <c r="E942" t="s">
        <v>6284</v>
      </c>
      <c r="F942" t="s">
        <v>53</v>
      </c>
      <c r="G942" t="s">
        <v>6285</v>
      </c>
      <c r="H942" t="s">
        <v>453</v>
      </c>
      <c r="I942" s="13" t="s">
        <v>6286</v>
      </c>
      <c r="J942" t="s">
        <v>31</v>
      </c>
      <c r="K942" t="s">
        <v>7879</v>
      </c>
      <c r="L942" t="s">
        <v>7893</v>
      </c>
      <c r="M942" t="s">
        <v>455</v>
      </c>
      <c r="N942" t="s">
        <v>130</v>
      </c>
      <c r="O942" s="17" t="s">
        <v>7854</v>
      </c>
      <c r="P942" s="17">
        <v>150</v>
      </c>
      <c r="Q942" s="22" t="s">
        <v>7854</v>
      </c>
      <c r="R942" s="22">
        <v>0</v>
      </c>
      <c r="S942" s="24" t="s">
        <v>7854</v>
      </c>
      <c r="T942" s="24">
        <v>0</v>
      </c>
      <c r="U942" t="s">
        <v>6287</v>
      </c>
    </row>
    <row r="943" spans="1:21" x14ac:dyDescent="0.25">
      <c r="A943">
        <v>961</v>
      </c>
      <c r="B943">
        <v>24002</v>
      </c>
      <c r="C943" t="s">
        <v>6288</v>
      </c>
      <c r="D943" t="s">
        <v>7756</v>
      </c>
      <c r="E943" t="s">
        <v>6291</v>
      </c>
      <c r="F943" t="s">
        <v>53</v>
      </c>
      <c r="G943" t="s">
        <v>6292</v>
      </c>
      <c r="H943" t="s">
        <v>43</v>
      </c>
      <c r="I943" s="13" t="s">
        <v>6293</v>
      </c>
      <c r="J943" t="s">
        <v>31</v>
      </c>
      <c r="K943" t="s">
        <v>7879</v>
      </c>
      <c r="L943" t="s">
        <v>8028</v>
      </c>
      <c r="M943" t="s">
        <v>87</v>
      </c>
      <c r="N943" t="s">
        <v>33</v>
      </c>
      <c r="O943" s="17">
        <v>195000</v>
      </c>
      <c r="P943" s="17" t="s">
        <v>7854</v>
      </c>
      <c r="Q943" s="22">
        <v>0</v>
      </c>
      <c r="R943" s="22" t="s">
        <v>7854</v>
      </c>
      <c r="S943" s="24">
        <v>0</v>
      </c>
      <c r="T943" s="24" t="s">
        <v>7854</v>
      </c>
      <c r="U943" t="s">
        <v>6294</v>
      </c>
    </row>
    <row r="944" spans="1:21" x14ac:dyDescent="0.25">
      <c r="A944">
        <v>962</v>
      </c>
      <c r="B944">
        <v>24553</v>
      </c>
      <c r="C944" t="s">
        <v>6295</v>
      </c>
      <c r="D944" t="s">
        <v>7757</v>
      </c>
      <c r="E944" t="s">
        <v>6299</v>
      </c>
      <c r="F944" t="s">
        <v>28</v>
      </c>
      <c r="G944" t="s">
        <v>5110</v>
      </c>
      <c r="H944" t="s">
        <v>453</v>
      </c>
      <c r="I944" s="13" t="s">
        <v>6300</v>
      </c>
      <c r="J944" t="s">
        <v>31</v>
      </c>
      <c r="K944" t="s">
        <v>7879</v>
      </c>
      <c r="L944" t="s">
        <v>7940</v>
      </c>
      <c r="M944" t="s">
        <v>455</v>
      </c>
      <c r="N944" t="s">
        <v>130</v>
      </c>
      <c r="O944" s="17" t="s">
        <v>7854</v>
      </c>
      <c r="P944" s="17">
        <v>150</v>
      </c>
      <c r="Q944" s="22" t="s">
        <v>7854</v>
      </c>
      <c r="R944" s="22">
        <v>0</v>
      </c>
      <c r="S944" s="24" t="s">
        <v>7854</v>
      </c>
      <c r="T944" s="24">
        <v>0</v>
      </c>
      <c r="U944" t="s">
        <v>6301</v>
      </c>
    </row>
    <row r="945" spans="1:21" x14ac:dyDescent="0.25">
      <c r="A945">
        <v>963</v>
      </c>
      <c r="B945">
        <v>24552</v>
      </c>
      <c r="C945" t="s">
        <v>6302</v>
      </c>
      <c r="D945" t="s">
        <v>7758</v>
      </c>
      <c r="E945" t="s">
        <v>6306</v>
      </c>
      <c r="F945" t="s">
        <v>28</v>
      </c>
      <c r="G945" t="s">
        <v>6306</v>
      </c>
      <c r="H945" t="s">
        <v>453</v>
      </c>
      <c r="I945" s="12">
        <v>233559650442</v>
      </c>
      <c r="J945" t="s">
        <v>31</v>
      </c>
      <c r="K945" t="s">
        <v>7879</v>
      </c>
      <c r="L945" t="s">
        <v>7940</v>
      </c>
      <c r="M945" t="s">
        <v>455</v>
      </c>
      <c r="N945" t="s">
        <v>130</v>
      </c>
      <c r="O945" s="17" t="s">
        <v>7854</v>
      </c>
      <c r="P945" s="17">
        <v>150</v>
      </c>
      <c r="Q945" s="22" t="s">
        <v>7854</v>
      </c>
      <c r="R945" s="22">
        <v>0</v>
      </c>
      <c r="S945" s="24" t="s">
        <v>7854</v>
      </c>
      <c r="T945" s="24">
        <v>0</v>
      </c>
      <c r="U945" t="s">
        <v>6307</v>
      </c>
    </row>
    <row r="946" spans="1:21" x14ac:dyDescent="0.25">
      <c r="A946">
        <v>964</v>
      </c>
      <c r="B946">
        <v>8635</v>
      </c>
      <c r="C946" t="s">
        <v>6308</v>
      </c>
      <c r="D946" t="s">
        <v>7759</v>
      </c>
      <c r="E946" t="s">
        <v>6311</v>
      </c>
      <c r="F946" t="s">
        <v>28</v>
      </c>
      <c r="G946" t="s">
        <v>6312</v>
      </c>
      <c r="H946" t="s">
        <v>43</v>
      </c>
      <c r="I946" s="12">
        <v>8037417274</v>
      </c>
      <c r="J946" t="s">
        <v>31</v>
      </c>
      <c r="K946" t="s">
        <v>7886</v>
      </c>
      <c r="L946" t="s">
        <v>7888</v>
      </c>
      <c r="M946" t="s">
        <v>63</v>
      </c>
      <c r="N946" t="s">
        <v>33</v>
      </c>
      <c r="O946" s="17">
        <v>812500</v>
      </c>
      <c r="P946" s="17" t="s">
        <v>7854</v>
      </c>
      <c r="Q946" s="22">
        <v>0</v>
      </c>
      <c r="R946" s="22" t="s">
        <v>7854</v>
      </c>
      <c r="S946" s="24">
        <v>162500</v>
      </c>
      <c r="T946" s="24" t="s">
        <v>7854</v>
      </c>
      <c r="U946" t="s">
        <v>6313</v>
      </c>
    </row>
    <row r="947" spans="1:21" x14ac:dyDescent="0.25">
      <c r="A947">
        <v>965</v>
      </c>
      <c r="B947">
        <v>22513</v>
      </c>
      <c r="C947" t="s">
        <v>6314</v>
      </c>
      <c r="D947" t="s">
        <v>7760</v>
      </c>
      <c r="E947" t="s">
        <v>6317</v>
      </c>
      <c r="F947" t="s">
        <v>28</v>
      </c>
      <c r="G947" t="s">
        <v>480</v>
      </c>
      <c r="H947" t="s">
        <v>453</v>
      </c>
      <c r="I947" s="13" t="s">
        <v>6318</v>
      </c>
      <c r="J947" t="s">
        <v>45</v>
      </c>
      <c r="K947" t="s">
        <v>7881</v>
      </c>
      <c r="L947" t="s">
        <v>7981</v>
      </c>
      <c r="M947" t="s">
        <v>455</v>
      </c>
      <c r="N947" t="s">
        <v>130</v>
      </c>
      <c r="O947" s="17" t="s">
        <v>7854</v>
      </c>
      <c r="P947" s="17">
        <v>425</v>
      </c>
      <c r="Q947" s="22" t="s">
        <v>7854</v>
      </c>
      <c r="R947" s="22">
        <v>0</v>
      </c>
      <c r="S947" s="24" t="s">
        <v>7854</v>
      </c>
      <c r="T947" s="24">
        <v>0</v>
      </c>
      <c r="U947" t="s">
        <v>6319</v>
      </c>
    </row>
    <row r="948" spans="1:21" x14ac:dyDescent="0.25">
      <c r="A948">
        <v>966</v>
      </c>
      <c r="B948">
        <v>24518</v>
      </c>
      <c r="C948" t="s">
        <v>6320</v>
      </c>
      <c r="D948" t="s">
        <v>7761</v>
      </c>
      <c r="E948" t="s">
        <v>6323</v>
      </c>
      <c r="F948" t="s">
        <v>53</v>
      </c>
      <c r="G948" t="s">
        <v>6324</v>
      </c>
      <c r="H948" t="s">
        <v>453</v>
      </c>
      <c r="I948" s="13" t="s">
        <v>6325</v>
      </c>
      <c r="J948" t="s">
        <v>31</v>
      </c>
      <c r="K948" t="s">
        <v>7879</v>
      </c>
      <c r="L948" t="s">
        <v>7940</v>
      </c>
      <c r="M948" t="s">
        <v>455</v>
      </c>
      <c r="N948" t="s">
        <v>130</v>
      </c>
      <c r="O948" s="17" t="s">
        <v>7854</v>
      </c>
      <c r="P948" s="17">
        <v>150</v>
      </c>
      <c r="Q948" s="22" t="s">
        <v>7854</v>
      </c>
      <c r="R948" s="22">
        <v>0</v>
      </c>
      <c r="S948" s="24" t="s">
        <v>7854</v>
      </c>
      <c r="T948" s="24">
        <v>0</v>
      </c>
      <c r="U948" t="s">
        <v>6326</v>
      </c>
    </row>
    <row r="949" spans="1:21" x14ac:dyDescent="0.25">
      <c r="A949">
        <v>967</v>
      </c>
      <c r="B949">
        <v>20420</v>
      </c>
      <c r="C949" t="s">
        <v>6327</v>
      </c>
      <c r="D949" t="s">
        <v>7762</v>
      </c>
      <c r="E949" t="s">
        <v>6330</v>
      </c>
      <c r="F949" t="s">
        <v>28</v>
      </c>
      <c r="G949" t="s">
        <v>6331</v>
      </c>
      <c r="H949" t="s">
        <v>43</v>
      </c>
      <c r="I949" s="13" t="s">
        <v>6332</v>
      </c>
      <c r="J949" t="s">
        <v>31</v>
      </c>
      <c r="K949" t="s">
        <v>7881</v>
      </c>
      <c r="L949" t="s">
        <v>7940</v>
      </c>
      <c r="M949" t="s">
        <v>46</v>
      </c>
      <c r="N949" t="s">
        <v>33</v>
      </c>
      <c r="O949" s="17">
        <v>552500</v>
      </c>
      <c r="P949" s="17" t="s">
        <v>7854</v>
      </c>
      <c r="Q949" s="22">
        <v>110500</v>
      </c>
      <c r="R949" s="22" t="s">
        <v>7854</v>
      </c>
      <c r="S949" s="24">
        <v>0</v>
      </c>
      <c r="T949" s="24" t="s">
        <v>7854</v>
      </c>
      <c r="U949" t="s">
        <v>6333</v>
      </c>
    </row>
    <row r="950" spans="1:21" x14ac:dyDescent="0.25">
      <c r="A950">
        <v>968</v>
      </c>
      <c r="B950">
        <v>22750</v>
      </c>
      <c r="C950" t="s">
        <v>6334</v>
      </c>
      <c r="D950" t="s">
        <v>7763</v>
      </c>
      <c r="E950" t="s">
        <v>6338</v>
      </c>
      <c r="F950" t="s">
        <v>28</v>
      </c>
      <c r="G950" t="s">
        <v>6285</v>
      </c>
      <c r="H950" t="s">
        <v>453</v>
      </c>
      <c r="I950" s="13" t="s">
        <v>6339</v>
      </c>
      <c r="J950" t="s">
        <v>31</v>
      </c>
      <c r="K950" t="s">
        <v>7881</v>
      </c>
      <c r="L950" t="s">
        <v>7981</v>
      </c>
      <c r="M950" t="s">
        <v>455</v>
      </c>
      <c r="N950" t="s">
        <v>130</v>
      </c>
      <c r="O950" s="17" t="s">
        <v>7854</v>
      </c>
      <c r="P950" s="17">
        <v>425</v>
      </c>
      <c r="Q950" s="22" t="s">
        <v>7854</v>
      </c>
      <c r="R950" s="22">
        <v>0</v>
      </c>
      <c r="S950" s="24" t="s">
        <v>7854</v>
      </c>
      <c r="T950" s="24">
        <v>0</v>
      </c>
      <c r="U950" t="s">
        <v>6340</v>
      </c>
    </row>
    <row r="951" spans="1:21" x14ac:dyDescent="0.25">
      <c r="A951">
        <v>969</v>
      </c>
      <c r="B951">
        <v>7890</v>
      </c>
      <c r="C951" t="s">
        <v>6341</v>
      </c>
      <c r="D951" t="s">
        <v>7764</v>
      </c>
      <c r="E951" t="s">
        <v>6345</v>
      </c>
      <c r="F951" t="s">
        <v>28</v>
      </c>
      <c r="G951" t="s">
        <v>5757</v>
      </c>
      <c r="H951" t="s">
        <v>43</v>
      </c>
      <c r="I951" s="12">
        <v>7038177041</v>
      </c>
      <c r="J951" t="s">
        <v>31</v>
      </c>
      <c r="K951" t="s">
        <v>7886</v>
      </c>
      <c r="L951" t="s">
        <v>7981</v>
      </c>
      <c r="M951" t="s">
        <v>46</v>
      </c>
      <c r="N951" t="s">
        <v>33</v>
      </c>
      <c r="O951" s="17">
        <v>812500</v>
      </c>
      <c r="P951" s="17" t="s">
        <v>7854</v>
      </c>
      <c r="Q951" s="22">
        <v>0</v>
      </c>
      <c r="R951" s="22" t="s">
        <v>7854</v>
      </c>
      <c r="S951" s="24">
        <v>162500</v>
      </c>
      <c r="T951" s="24" t="s">
        <v>7854</v>
      </c>
      <c r="U951" t="s">
        <v>6346</v>
      </c>
    </row>
    <row r="952" spans="1:21" x14ac:dyDescent="0.25">
      <c r="A952">
        <v>970</v>
      </c>
      <c r="B952">
        <v>23780</v>
      </c>
      <c r="C952" t="s">
        <v>6347</v>
      </c>
      <c r="D952" t="s">
        <v>7765</v>
      </c>
      <c r="E952" t="s">
        <v>6350</v>
      </c>
      <c r="F952" t="s">
        <v>28</v>
      </c>
      <c r="G952" t="s">
        <v>6351</v>
      </c>
      <c r="H952" t="s">
        <v>43</v>
      </c>
      <c r="I952" s="13" t="s">
        <v>6352</v>
      </c>
      <c r="J952" t="s">
        <v>45</v>
      </c>
      <c r="K952" t="s">
        <v>7879</v>
      </c>
      <c r="L952" t="s">
        <v>7940</v>
      </c>
      <c r="M952" t="s">
        <v>46</v>
      </c>
      <c r="N952" t="s">
        <v>33</v>
      </c>
      <c r="O952" s="17">
        <v>195000</v>
      </c>
      <c r="P952" s="17" t="s">
        <v>7854</v>
      </c>
      <c r="Q952" s="22">
        <v>0</v>
      </c>
      <c r="R952" s="22" t="s">
        <v>7854</v>
      </c>
      <c r="S952" s="24">
        <v>0</v>
      </c>
      <c r="T952" s="24" t="s">
        <v>7854</v>
      </c>
      <c r="U952" t="s">
        <v>6353</v>
      </c>
    </row>
    <row r="953" spans="1:21" x14ac:dyDescent="0.25">
      <c r="A953">
        <v>971</v>
      </c>
      <c r="B953">
        <v>21337</v>
      </c>
      <c r="C953" t="s">
        <v>6354</v>
      </c>
      <c r="D953" t="s">
        <v>7766</v>
      </c>
      <c r="E953" t="s">
        <v>6357</v>
      </c>
      <c r="F953" t="s">
        <v>28</v>
      </c>
      <c r="G953" t="s">
        <v>1088</v>
      </c>
      <c r="H953" t="s">
        <v>453</v>
      </c>
      <c r="I953" s="13" t="s">
        <v>6358</v>
      </c>
      <c r="J953" t="s">
        <v>31</v>
      </c>
      <c r="K953" t="s">
        <v>7881</v>
      </c>
      <c r="L953" t="s">
        <v>7888</v>
      </c>
      <c r="M953" t="s">
        <v>455</v>
      </c>
      <c r="N953" t="s">
        <v>130</v>
      </c>
      <c r="O953" s="17" t="s">
        <v>7854</v>
      </c>
      <c r="P953" s="17">
        <v>425</v>
      </c>
      <c r="Q953" s="22" t="s">
        <v>7854</v>
      </c>
      <c r="R953" s="22">
        <v>85</v>
      </c>
      <c r="S953" s="24" t="s">
        <v>7854</v>
      </c>
      <c r="T953" s="24">
        <v>0</v>
      </c>
      <c r="U953" t="s">
        <v>6359</v>
      </c>
    </row>
    <row r="954" spans="1:21" x14ac:dyDescent="0.25">
      <c r="A954">
        <v>972</v>
      </c>
      <c r="B954">
        <v>20653</v>
      </c>
      <c r="C954" t="s">
        <v>6360</v>
      </c>
      <c r="D954" t="s">
        <v>7767</v>
      </c>
      <c r="E954" t="s">
        <v>6363</v>
      </c>
      <c r="F954" t="s">
        <v>53</v>
      </c>
      <c r="G954" t="s">
        <v>6285</v>
      </c>
      <c r="H954" t="s">
        <v>453</v>
      </c>
      <c r="I954" s="13" t="s">
        <v>6364</v>
      </c>
      <c r="J954" t="s">
        <v>45</v>
      </c>
      <c r="K954" t="s">
        <v>7881</v>
      </c>
      <c r="L954" t="s">
        <v>7981</v>
      </c>
      <c r="M954" t="s">
        <v>455</v>
      </c>
      <c r="N954" t="s">
        <v>130</v>
      </c>
      <c r="O954" s="17" t="s">
        <v>7854</v>
      </c>
      <c r="P954" s="17">
        <v>425</v>
      </c>
      <c r="Q954" s="22" t="s">
        <v>7854</v>
      </c>
      <c r="R954" s="22">
        <v>0</v>
      </c>
      <c r="S954" s="24" t="s">
        <v>7854</v>
      </c>
      <c r="T954" s="24">
        <v>0</v>
      </c>
      <c r="U954" t="s">
        <v>6365</v>
      </c>
    </row>
    <row r="955" spans="1:21" x14ac:dyDescent="0.25">
      <c r="A955">
        <v>973</v>
      </c>
      <c r="B955">
        <v>24571</v>
      </c>
      <c r="C955" t="s">
        <v>6366</v>
      </c>
      <c r="D955" t="s">
        <v>7768</v>
      </c>
      <c r="E955" t="s">
        <v>6367</v>
      </c>
      <c r="F955" t="s">
        <v>28</v>
      </c>
      <c r="G955" t="s">
        <v>6368</v>
      </c>
      <c r="H955" t="s">
        <v>453</v>
      </c>
      <c r="I955" s="13" t="s">
        <v>6369</v>
      </c>
      <c r="J955" t="s">
        <v>31</v>
      </c>
      <c r="K955" t="s">
        <v>7879</v>
      </c>
      <c r="L955" t="s">
        <v>7893</v>
      </c>
      <c r="M955" t="s">
        <v>455</v>
      </c>
      <c r="N955" t="s">
        <v>130</v>
      </c>
      <c r="O955" s="17" t="s">
        <v>7854</v>
      </c>
      <c r="P955" s="17">
        <v>150</v>
      </c>
      <c r="Q955" s="22" t="s">
        <v>7854</v>
      </c>
      <c r="R955" s="22">
        <v>0</v>
      </c>
      <c r="S955" s="24" t="s">
        <v>7854</v>
      </c>
      <c r="T955" s="24">
        <v>0</v>
      </c>
      <c r="U955" t="s">
        <v>6370</v>
      </c>
    </row>
    <row r="956" spans="1:21" x14ac:dyDescent="0.25">
      <c r="A956">
        <v>974</v>
      </c>
      <c r="B956">
        <v>24562</v>
      </c>
      <c r="C956" t="s">
        <v>6371</v>
      </c>
      <c r="D956" t="s">
        <v>7769</v>
      </c>
      <c r="E956" t="s">
        <v>6375</v>
      </c>
      <c r="F956" t="s">
        <v>28</v>
      </c>
      <c r="G956" t="s">
        <v>6376</v>
      </c>
      <c r="H956" t="s">
        <v>43</v>
      </c>
      <c r="I956" s="13" t="s">
        <v>6377</v>
      </c>
      <c r="J956" t="s">
        <v>31</v>
      </c>
      <c r="K956" t="s">
        <v>7879</v>
      </c>
      <c r="L956" t="s">
        <v>8028</v>
      </c>
      <c r="M956" t="s">
        <v>46</v>
      </c>
      <c r="N956" t="s">
        <v>33</v>
      </c>
      <c r="O956" s="17">
        <v>195000</v>
      </c>
      <c r="P956" s="17" t="s">
        <v>7854</v>
      </c>
      <c r="Q956" s="22">
        <v>0</v>
      </c>
      <c r="R956" s="22" t="s">
        <v>7854</v>
      </c>
      <c r="S956" s="24">
        <v>0</v>
      </c>
      <c r="T956" s="24" t="s">
        <v>7854</v>
      </c>
      <c r="U956" t="s">
        <v>6378</v>
      </c>
    </row>
    <row r="957" spans="1:21" x14ac:dyDescent="0.25">
      <c r="A957">
        <v>975</v>
      </c>
      <c r="B957">
        <v>19612</v>
      </c>
      <c r="C957" t="s">
        <v>6379</v>
      </c>
      <c r="D957" t="s">
        <v>7770</v>
      </c>
      <c r="E957" t="s">
        <v>6382</v>
      </c>
      <c r="F957" t="s">
        <v>53</v>
      </c>
      <c r="G957" t="s">
        <v>6383</v>
      </c>
      <c r="H957" t="s">
        <v>43</v>
      </c>
      <c r="I957" s="13" t="s">
        <v>6384</v>
      </c>
      <c r="J957" t="s">
        <v>31</v>
      </c>
      <c r="K957" t="s">
        <v>7881</v>
      </c>
      <c r="L957" t="s">
        <v>7940</v>
      </c>
      <c r="M957" t="s">
        <v>63</v>
      </c>
      <c r="N957" t="s">
        <v>33</v>
      </c>
      <c r="O957" s="17">
        <v>552500</v>
      </c>
      <c r="P957" s="17" t="s">
        <v>7854</v>
      </c>
      <c r="Q957" s="22">
        <v>0</v>
      </c>
      <c r="R957" s="22" t="s">
        <v>7854</v>
      </c>
      <c r="S957" s="24">
        <v>0</v>
      </c>
      <c r="T957" s="24" t="s">
        <v>7854</v>
      </c>
      <c r="U957" t="s">
        <v>6385</v>
      </c>
    </row>
    <row r="958" spans="1:21" x14ac:dyDescent="0.25">
      <c r="A958">
        <v>976</v>
      </c>
      <c r="B958">
        <v>19242</v>
      </c>
      <c r="C958" t="s">
        <v>6386</v>
      </c>
      <c r="D958" t="s">
        <v>7771</v>
      </c>
      <c r="E958" t="s">
        <v>6387</v>
      </c>
      <c r="F958" t="s">
        <v>53</v>
      </c>
      <c r="G958" t="s">
        <v>2883</v>
      </c>
      <c r="H958" t="s">
        <v>43</v>
      </c>
      <c r="I958" s="13" t="s">
        <v>6388</v>
      </c>
      <c r="J958" t="s">
        <v>45</v>
      </c>
      <c r="K958" t="s">
        <v>7881</v>
      </c>
      <c r="L958" t="s">
        <v>7981</v>
      </c>
      <c r="M958" t="s">
        <v>63</v>
      </c>
      <c r="N958" t="s">
        <v>33</v>
      </c>
      <c r="O958" s="17">
        <v>552500</v>
      </c>
      <c r="P958" s="17" t="s">
        <v>7854</v>
      </c>
      <c r="Q958" s="22">
        <v>0</v>
      </c>
      <c r="R958" s="22" t="s">
        <v>7854</v>
      </c>
      <c r="S958" s="24">
        <v>0</v>
      </c>
      <c r="T958" s="24" t="s">
        <v>7854</v>
      </c>
      <c r="U958" t="s">
        <v>6389</v>
      </c>
    </row>
    <row r="959" spans="1:21" x14ac:dyDescent="0.25">
      <c r="A959">
        <v>977</v>
      </c>
      <c r="B959">
        <v>24503</v>
      </c>
      <c r="C959" t="s">
        <v>6390</v>
      </c>
      <c r="D959" t="s">
        <v>7772</v>
      </c>
      <c r="E959" t="s">
        <v>6393</v>
      </c>
      <c r="F959" t="s">
        <v>28</v>
      </c>
      <c r="G959" t="s">
        <v>6394</v>
      </c>
      <c r="H959" t="s">
        <v>43</v>
      </c>
      <c r="I959" s="13" t="s">
        <v>6395</v>
      </c>
      <c r="J959" t="s">
        <v>31</v>
      </c>
      <c r="K959" t="s">
        <v>7879</v>
      </c>
      <c r="L959" t="s">
        <v>7893</v>
      </c>
      <c r="M959" t="s">
        <v>63</v>
      </c>
      <c r="N959" t="s">
        <v>33</v>
      </c>
      <c r="O959" s="17">
        <v>195000</v>
      </c>
      <c r="P959" s="17" t="s">
        <v>7854</v>
      </c>
      <c r="Q959" s="22">
        <v>0</v>
      </c>
      <c r="R959" s="22" t="s">
        <v>7854</v>
      </c>
      <c r="S959" s="24">
        <v>0</v>
      </c>
      <c r="T959" s="24" t="s">
        <v>7854</v>
      </c>
      <c r="U959" t="s">
        <v>6396</v>
      </c>
    </row>
    <row r="960" spans="1:21" x14ac:dyDescent="0.25">
      <c r="A960">
        <v>978</v>
      </c>
      <c r="B960">
        <v>5516</v>
      </c>
      <c r="C960" t="s">
        <v>6397</v>
      </c>
      <c r="D960" t="s">
        <v>7773</v>
      </c>
      <c r="E960" t="s">
        <v>7974</v>
      </c>
      <c r="F960" t="s">
        <v>53</v>
      </c>
      <c r="G960" t="s">
        <v>2883</v>
      </c>
      <c r="H960" t="s">
        <v>43</v>
      </c>
      <c r="I960" s="12">
        <v>8037465119</v>
      </c>
      <c r="J960" t="s">
        <v>31</v>
      </c>
      <c r="K960" t="s">
        <v>7886</v>
      </c>
      <c r="L960" t="s">
        <v>7940</v>
      </c>
      <c r="M960" t="s">
        <v>46</v>
      </c>
      <c r="N960" t="s">
        <v>33</v>
      </c>
      <c r="O960" s="17">
        <v>812500</v>
      </c>
      <c r="P960" s="17" t="s">
        <v>7854</v>
      </c>
      <c r="Q960" s="22">
        <v>0</v>
      </c>
      <c r="R960" s="22" t="s">
        <v>7854</v>
      </c>
      <c r="S960" s="24">
        <v>162500</v>
      </c>
      <c r="T960" s="24" t="s">
        <v>7854</v>
      </c>
      <c r="U960" t="s">
        <v>6400</v>
      </c>
    </row>
    <row r="961" spans="1:21" x14ac:dyDescent="0.25">
      <c r="A961">
        <v>979</v>
      </c>
      <c r="B961">
        <v>24582</v>
      </c>
      <c r="C961" t="s">
        <v>6401</v>
      </c>
      <c r="D961" t="s">
        <v>7774</v>
      </c>
      <c r="E961" t="s">
        <v>6404</v>
      </c>
      <c r="F961" t="s">
        <v>28</v>
      </c>
      <c r="G961" t="s">
        <v>6405</v>
      </c>
      <c r="H961" t="s">
        <v>453</v>
      </c>
      <c r="I961" s="13" t="s">
        <v>6406</v>
      </c>
      <c r="J961" t="s">
        <v>31</v>
      </c>
      <c r="K961" t="s">
        <v>7879</v>
      </c>
      <c r="L961" t="s">
        <v>7893</v>
      </c>
      <c r="M961" t="s">
        <v>455</v>
      </c>
      <c r="N961" t="s">
        <v>130</v>
      </c>
      <c r="O961" s="17" t="s">
        <v>7854</v>
      </c>
      <c r="P961" s="17">
        <v>150</v>
      </c>
      <c r="Q961" s="22" t="s">
        <v>7854</v>
      </c>
      <c r="R961" s="22">
        <v>0</v>
      </c>
      <c r="S961" s="24" t="s">
        <v>7854</v>
      </c>
      <c r="T961" s="24">
        <v>0</v>
      </c>
      <c r="U961" t="s">
        <v>6407</v>
      </c>
    </row>
    <row r="962" spans="1:21" x14ac:dyDescent="0.25">
      <c r="A962">
        <v>980</v>
      </c>
      <c r="B962">
        <v>24488</v>
      </c>
      <c r="C962" t="s">
        <v>6408</v>
      </c>
      <c r="D962" t="s">
        <v>7775</v>
      </c>
      <c r="E962" t="s">
        <v>6411</v>
      </c>
      <c r="F962" t="s">
        <v>28</v>
      </c>
      <c r="G962" t="s">
        <v>35</v>
      </c>
      <c r="H962" t="s">
        <v>43</v>
      </c>
      <c r="I962" s="13" t="s">
        <v>6412</v>
      </c>
      <c r="J962" t="s">
        <v>31</v>
      </c>
      <c r="K962" t="s">
        <v>7879</v>
      </c>
      <c r="L962" t="s">
        <v>7940</v>
      </c>
      <c r="M962" t="s">
        <v>87</v>
      </c>
      <c r="N962" t="s">
        <v>33</v>
      </c>
      <c r="O962" s="17">
        <v>195000</v>
      </c>
      <c r="P962" s="17" t="s">
        <v>7854</v>
      </c>
      <c r="Q962" s="22">
        <v>0</v>
      </c>
      <c r="R962" s="22" t="s">
        <v>7854</v>
      </c>
      <c r="S962" s="24">
        <v>0</v>
      </c>
      <c r="T962" s="24" t="s">
        <v>7854</v>
      </c>
      <c r="U962" t="s">
        <v>6413</v>
      </c>
    </row>
    <row r="963" spans="1:21" x14ac:dyDescent="0.25">
      <c r="A963">
        <v>981</v>
      </c>
      <c r="B963">
        <v>12931</v>
      </c>
      <c r="C963" t="s">
        <v>6414</v>
      </c>
      <c r="D963" t="s">
        <v>7776</v>
      </c>
      <c r="E963" t="s">
        <v>6418</v>
      </c>
      <c r="F963" t="s">
        <v>28</v>
      </c>
      <c r="G963" t="s">
        <v>6419</v>
      </c>
      <c r="H963" t="s">
        <v>43</v>
      </c>
      <c r="I963" s="13" t="s">
        <v>6420</v>
      </c>
      <c r="J963" t="s">
        <v>31</v>
      </c>
      <c r="K963" t="s">
        <v>7886</v>
      </c>
      <c r="L963" t="s">
        <v>7893</v>
      </c>
      <c r="M963" t="s">
        <v>46</v>
      </c>
      <c r="N963" t="s">
        <v>33</v>
      </c>
      <c r="O963" s="17">
        <v>812500</v>
      </c>
      <c r="P963" s="17" t="s">
        <v>7854</v>
      </c>
      <c r="Q963" s="22">
        <v>0</v>
      </c>
      <c r="R963" s="22" t="s">
        <v>7854</v>
      </c>
      <c r="S963" s="24">
        <v>162500</v>
      </c>
      <c r="T963" s="24" t="s">
        <v>7854</v>
      </c>
      <c r="U963" t="s">
        <v>6421</v>
      </c>
    </row>
    <row r="964" spans="1:21" x14ac:dyDescent="0.25">
      <c r="A964">
        <v>982</v>
      </c>
      <c r="B964">
        <v>24588</v>
      </c>
      <c r="C964" t="s">
        <v>6422</v>
      </c>
      <c r="D964" t="s">
        <v>7777</v>
      </c>
      <c r="E964" t="s">
        <v>6425</v>
      </c>
      <c r="F964" t="s">
        <v>53</v>
      </c>
      <c r="G964" t="s">
        <v>6426</v>
      </c>
      <c r="H964" t="s">
        <v>43</v>
      </c>
      <c r="I964" s="13" t="s">
        <v>6427</v>
      </c>
      <c r="J964" t="s">
        <v>31</v>
      </c>
      <c r="K964" t="s">
        <v>7879</v>
      </c>
      <c r="L964" t="s">
        <v>7940</v>
      </c>
      <c r="M964" t="s">
        <v>63</v>
      </c>
      <c r="N964" t="s">
        <v>33</v>
      </c>
      <c r="O964" s="17">
        <v>195000</v>
      </c>
      <c r="P964" s="17" t="s">
        <v>7854</v>
      </c>
      <c r="Q964" s="22">
        <v>0</v>
      </c>
      <c r="R964" s="22" t="s">
        <v>7854</v>
      </c>
      <c r="S964" s="24">
        <v>0</v>
      </c>
      <c r="T964" s="24" t="s">
        <v>7854</v>
      </c>
      <c r="U964" t="s">
        <v>6428</v>
      </c>
    </row>
    <row r="965" spans="1:21" x14ac:dyDescent="0.25">
      <c r="A965">
        <v>983</v>
      </c>
      <c r="B965">
        <v>18328</v>
      </c>
      <c r="C965" t="s">
        <v>6429</v>
      </c>
      <c r="D965" t="s">
        <v>7778</v>
      </c>
      <c r="E965" t="s">
        <v>6432</v>
      </c>
      <c r="F965" t="s">
        <v>53</v>
      </c>
      <c r="G965" t="s">
        <v>6433</v>
      </c>
      <c r="H965" t="s">
        <v>43</v>
      </c>
      <c r="I965" s="13" t="s">
        <v>6434</v>
      </c>
      <c r="J965" t="s">
        <v>31</v>
      </c>
      <c r="K965" t="s">
        <v>7879</v>
      </c>
      <c r="L965" t="s">
        <v>7940</v>
      </c>
      <c r="M965" t="s">
        <v>87</v>
      </c>
      <c r="N965" t="s">
        <v>33</v>
      </c>
      <c r="O965" s="17">
        <v>195000</v>
      </c>
      <c r="P965" s="17" t="s">
        <v>7854</v>
      </c>
      <c r="Q965" s="22">
        <v>0</v>
      </c>
      <c r="R965" s="22" t="s">
        <v>7854</v>
      </c>
      <c r="S965" s="24">
        <v>0</v>
      </c>
      <c r="T965" s="24" t="s">
        <v>7854</v>
      </c>
      <c r="U965" t="s">
        <v>6435</v>
      </c>
    </row>
    <row r="966" spans="1:21" x14ac:dyDescent="0.25">
      <c r="A966">
        <v>984</v>
      </c>
      <c r="B966">
        <v>21069</v>
      </c>
      <c r="C966" t="s">
        <v>6436</v>
      </c>
      <c r="D966" t="s">
        <v>7779</v>
      </c>
      <c r="E966" t="s">
        <v>6437</v>
      </c>
      <c r="F966" t="s">
        <v>53</v>
      </c>
      <c r="G966" t="s">
        <v>364</v>
      </c>
      <c r="H966" t="s">
        <v>43</v>
      </c>
      <c r="I966" s="13" t="s">
        <v>6438</v>
      </c>
      <c r="J966" t="s">
        <v>31</v>
      </c>
      <c r="K966" t="s">
        <v>7881</v>
      </c>
      <c r="L966" t="s">
        <v>7940</v>
      </c>
      <c r="M966" t="s">
        <v>46</v>
      </c>
      <c r="N966" t="s">
        <v>33</v>
      </c>
      <c r="O966" s="17">
        <v>552500</v>
      </c>
      <c r="P966" s="17" t="s">
        <v>7854</v>
      </c>
      <c r="Q966" s="22">
        <v>110500</v>
      </c>
      <c r="R966" s="22" t="s">
        <v>7854</v>
      </c>
      <c r="S966" s="24">
        <v>0</v>
      </c>
      <c r="T966" s="24" t="s">
        <v>7854</v>
      </c>
      <c r="U966" t="s">
        <v>6439</v>
      </c>
    </row>
    <row r="967" spans="1:21" x14ac:dyDescent="0.25">
      <c r="A967">
        <v>985</v>
      </c>
      <c r="B967">
        <v>18033</v>
      </c>
      <c r="C967" t="s">
        <v>6440</v>
      </c>
      <c r="D967" t="s">
        <v>7780</v>
      </c>
      <c r="E967" t="s">
        <v>6444</v>
      </c>
      <c r="F967" t="s">
        <v>53</v>
      </c>
      <c r="G967" t="s">
        <v>6445</v>
      </c>
      <c r="H967" t="s">
        <v>43</v>
      </c>
      <c r="I967" s="13" t="s">
        <v>6446</v>
      </c>
      <c r="J967" t="s">
        <v>31</v>
      </c>
      <c r="K967" t="s">
        <v>7881</v>
      </c>
      <c r="L967" t="s">
        <v>7893</v>
      </c>
      <c r="M967" t="s">
        <v>46</v>
      </c>
      <c r="N967" t="s">
        <v>33</v>
      </c>
      <c r="O967" s="17">
        <v>552500</v>
      </c>
      <c r="P967" s="17" t="s">
        <v>7854</v>
      </c>
      <c r="Q967" s="22">
        <v>0</v>
      </c>
      <c r="R967" s="22" t="s">
        <v>7854</v>
      </c>
      <c r="S967" s="24">
        <v>0</v>
      </c>
      <c r="T967" s="24" t="s">
        <v>7854</v>
      </c>
      <c r="U967" t="s">
        <v>6447</v>
      </c>
    </row>
    <row r="968" spans="1:21" x14ac:dyDescent="0.25">
      <c r="A968">
        <v>986</v>
      </c>
      <c r="B968">
        <v>4633</v>
      </c>
      <c r="C968" t="s">
        <v>6448</v>
      </c>
      <c r="D968" t="s">
        <v>7781</v>
      </c>
      <c r="E968" t="s">
        <v>6452</v>
      </c>
      <c r="F968" t="s">
        <v>53</v>
      </c>
      <c r="G968" t="s">
        <v>6453</v>
      </c>
      <c r="H968" t="s">
        <v>43</v>
      </c>
      <c r="I968" s="12">
        <v>7069150040</v>
      </c>
      <c r="J968" t="s">
        <v>31</v>
      </c>
      <c r="K968" t="s">
        <v>7881</v>
      </c>
      <c r="L968" t="s">
        <v>7940</v>
      </c>
      <c r="M968" t="s">
        <v>63</v>
      </c>
      <c r="N968" t="s">
        <v>33</v>
      </c>
      <c r="O968" s="17">
        <v>552500</v>
      </c>
      <c r="P968" s="17" t="s">
        <v>7854</v>
      </c>
      <c r="Q968" s="22">
        <v>110500</v>
      </c>
      <c r="R968" s="22" t="s">
        <v>7854</v>
      </c>
      <c r="S968" s="24">
        <v>0</v>
      </c>
      <c r="T968" s="24" t="s">
        <v>7854</v>
      </c>
      <c r="U968" t="s">
        <v>6454</v>
      </c>
    </row>
    <row r="969" spans="1:21" x14ac:dyDescent="0.25">
      <c r="A969">
        <v>987</v>
      </c>
      <c r="B969">
        <v>3567</v>
      </c>
      <c r="C969" t="s">
        <v>6455</v>
      </c>
      <c r="D969" t="s">
        <v>7782</v>
      </c>
      <c r="E969" t="s">
        <v>6458</v>
      </c>
      <c r="F969" t="s">
        <v>53</v>
      </c>
      <c r="G969" t="s">
        <v>6459</v>
      </c>
      <c r="H969" t="s">
        <v>43</v>
      </c>
      <c r="I969" s="13" t="s">
        <v>6460</v>
      </c>
      <c r="J969" t="s">
        <v>31</v>
      </c>
      <c r="K969" t="s">
        <v>7886</v>
      </c>
      <c r="L969" t="s">
        <v>7888</v>
      </c>
      <c r="M969" t="s">
        <v>63</v>
      </c>
      <c r="N969" t="s">
        <v>33</v>
      </c>
      <c r="O969" s="17">
        <v>812500</v>
      </c>
      <c r="P969" s="17" t="s">
        <v>7854</v>
      </c>
      <c r="Q969" s="22">
        <v>0</v>
      </c>
      <c r="R969" s="22" t="s">
        <v>7854</v>
      </c>
      <c r="S969" s="24">
        <v>162500</v>
      </c>
      <c r="T969" s="24" t="s">
        <v>7854</v>
      </c>
      <c r="U969" t="s">
        <v>6461</v>
      </c>
    </row>
    <row r="970" spans="1:21" x14ac:dyDescent="0.25">
      <c r="A970">
        <v>988</v>
      </c>
      <c r="B970">
        <v>24005</v>
      </c>
      <c r="C970" t="s">
        <v>6462</v>
      </c>
      <c r="D970" t="s">
        <v>7783</v>
      </c>
      <c r="E970" t="s">
        <v>6464</v>
      </c>
      <c r="F970" t="s">
        <v>28</v>
      </c>
      <c r="G970" t="s">
        <v>6465</v>
      </c>
      <c r="H970" t="s">
        <v>43</v>
      </c>
      <c r="I970" s="13" t="s">
        <v>6466</v>
      </c>
      <c r="J970" t="s">
        <v>31</v>
      </c>
      <c r="K970" t="s">
        <v>7879</v>
      </c>
      <c r="L970" t="s">
        <v>7893</v>
      </c>
      <c r="M970" t="s">
        <v>63</v>
      </c>
      <c r="N970" t="s">
        <v>33</v>
      </c>
      <c r="O970" s="17">
        <v>195000</v>
      </c>
      <c r="P970" s="17" t="s">
        <v>7854</v>
      </c>
      <c r="Q970" s="22">
        <v>0</v>
      </c>
      <c r="R970" s="22" t="s">
        <v>7854</v>
      </c>
      <c r="S970" s="24">
        <v>0</v>
      </c>
      <c r="T970" s="24" t="s">
        <v>7854</v>
      </c>
      <c r="U970" t="s">
        <v>6467</v>
      </c>
    </row>
    <row r="971" spans="1:21" x14ac:dyDescent="0.25">
      <c r="A971">
        <v>989</v>
      </c>
      <c r="B971">
        <v>14279</v>
      </c>
      <c r="C971" t="s">
        <v>6468</v>
      </c>
      <c r="D971" t="s">
        <v>7784</v>
      </c>
      <c r="E971" t="s">
        <v>6471</v>
      </c>
      <c r="F971" t="s">
        <v>28</v>
      </c>
      <c r="G971" t="s">
        <v>6472</v>
      </c>
      <c r="H971" t="s">
        <v>43</v>
      </c>
      <c r="I971" s="13" t="s">
        <v>6473</v>
      </c>
      <c r="J971" t="s">
        <v>31</v>
      </c>
      <c r="K971" t="s">
        <v>7886</v>
      </c>
      <c r="L971" t="s">
        <v>7940</v>
      </c>
      <c r="M971" t="s">
        <v>63</v>
      </c>
      <c r="N971" t="s">
        <v>33</v>
      </c>
      <c r="O971" s="17">
        <v>812500</v>
      </c>
      <c r="P971" s="17" t="s">
        <v>7854</v>
      </c>
      <c r="Q971" s="22">
        <v>0</v>
      </c>
      <c r="R971" s="22" t="s">
        <v>7854</v>
      </c>
      <c r="S971" s="24">
        <v>162500</v>
      </c>
      <c r="T971" s="24" t="s">
        <v>7854</v>
      </c>
      <c r="U971" t="s">
        <v>6474</v>
      </c>
    </row>
    <row r="972" spans="1:21" x14ac:dyDescent="0.25">
      <c r="A972">
        <v>990</v>
      </c>
      <c r="B972">
        <v>24589</v>
      </c>
      <c r="C972" t="s">
        <v>6475</v>
      </c>
      <c r="D972" t="s">
        <v>7785</v>
      </c>
      <c r="E972" t="s">
        <v>6479</v>
      </c>
      <c r="F972" t="s">
        <v>53</v>
      </c>
      <c r="G972" t="s">
        <v>1088</v>
      </c>
      <c r="H972" t="s">
        <v>453</v>
      </c>
      <c r="I972" s="13" t="s">
        <v>6480</v>
      </c>
      <c r="J972" t="s">
        <v>31</v>
      </c>
      <c r="K972" t="s">
        <v>7879</v>
      </c>
      <c r="L972" t="s">
        <v>8028</v>
      </c>
      <c r="M972" t="s">
        <v>455</v>
      </c>
      <c r="N972" t="s">
        <v>130</v>
      </c>
      <c r="O972" s="17" t="s">
        <v>7854</v>
      </c>
      <c r="P972" s="17">
        <v>150</v>
      </c>
      <c r="Q972" s="22" t="s">
        <v>7854</v>
      </c>
      <c r="R972" s="22">
        <v>0</v>
      </c>
      <c r="S972" s="24" t="s">
        <v>7854</v>
      </c>
      <c r="T972" s="24">
        <v>0</v>
      </c>
      <c r="U972" t="s">
        <v>6481</v>
      </c>
    </row>
    <row r="973" spans="1:21" x14ac:dyDescent="0.25">
      <c r="A973">
        <v>991</v>
      </c>
      <c r="B973">
        <v>7326</v>
      </c>
      <c r="C973" t="s">
        <v>6482</v>
      </c>
      <c r="D973" t="s">
        <v>7786</v>
      </c>
      <c r="E973" t="s">
        <v>6484</v>
      </c>
      <c r="F973" t="s">
        <v>28</v>
      </c>
      <c r="G973" t="s">
        <v>6485</v>
      </c>
      <c r="H973" t="s">
        <v>43</v>
      </c>
      <c r="I973" s="12">
        <v>7061102015</v>
      </c>
      <c r="J973" t="s">
        <v>31</v>
      </c>
      <c r="K973" t="s">
        <v>7886</v>
      </c>
      <c r="L973" t="s">
        <v>7888</v>
      </c>
      <c r="M973" t="s">
        <v>63</v>
      </c>
      <c r="N973" t="s">
        <v>33</v>
      </c>
      <c r="O973" s="17">
        <v>812500</v>
      </c>
      <c r="P973" s="17" t="s">
        <v>7854</v>
      </c>
      <c r="Q973" s="22">
        <v>0</v>
      </c>
      <c r="R973" s="22" t="s">
        <v>7854</v>
      </c>
      <c r="S973" s="24">
        <v>162500</v>
      </c>
      <c r="T973" s="24" t="s">
        <v>7854</v>
      </c>
      <c r="U973" t="s">
        <v>6486</v>
      </c>
    </row>
    <row r="974" spans="1:21" x14ac:dyDescent="0.25">
      <c r="A974">
        <v>992</v>
      </c>
      <c r="B974">
        <v>5593</v>
      </c>
      <c r="C974" t="s">
        <v>6487</v>
      </c>
      <c r="D974" t="s">
        <v>7787</v>
      </c>
      <c r="E974" t="s">
        <v>6489</v>
      </c>
      <c r="F974" t="s">
        <v>28</v>
      </c>
      <c r="G974" t="s">
        <v>6490</v>
      </c>
      <c r="H974" t="s">
        <v>43</v>
      </c>
      <c r="I974" s="12">
        <v>8023337962</v>
      </c>
      <c r="J974" t="s">
        <v>31</v>
      </c>
      <c r="K974" t="s">
        <v>7886</v>
      </c>
      <c r="L974" t="s">
        <v>7888</v>
      </c>
      <c r="M974" t="s">
        <v>63</v>
      </c>
      <c r="N974" t="s">
        <v>33</v>
      </c>
      <c r="O974" s="17">
        <v>812500</v>
      </c>
      <c r="P974" s="17" t="s">
        <v>7854</v>
      </c>
      <c r="Q974" s="22">
        <v>0</v>
      </c>
      <c r="R974" s="22" t="s">
        <v>7854</v>
      </c>
      <c r="S974" s="24">
        <v>162500</v>
      </c>
      <c r="T974" s="24" t="s">
        <v>7854</v>
      </c>
      <c r="U974" t="s">
        <v>6491</v>
      </c>
    </row>
    <row r="975" spans="1:21" x14ac:dyDescent="0.25">
      <c r="A975">
        <v>993</v>
      </c>
      <c r="B975">
        <v>16916</v>
      </c>
      <c r="C975" t="s">
        <v>6493</v>
      </c>
      <c r="D975" t="s">
        <v>7788</v>
      </c>
      <c r="E975" t="s">
        <v>6495</v>
      </c>
      <c r="F975" t="s">
        <v>53</v>
      </c>
      <c r="G975" t="s">
        <v>6496</v>
      </c>
      <c r="H975" t="s">
        <v>43</v>
      </c>
      <c r="I975" s="12">
        <v>8062963904</v>
      </c>
      <c r="J975" t="s">
        <v>31</v>
      </c>
      <c r="K975" t="s">
        <v>7881</v>
      </c>
      <c r="L975" t="s">
        <v>7940</v>
      </c>
      <c r="M975" t="s">
        <v>63</v>
      </c>
      <c r="N975" t="s">
        <v>33</v>
      </c>
      <c r="O975" s="17">
        <v>552500</v>
      </c>
      <c r="P975" s="17" t="s">
        <v>7854</v>
      </c>
      <c r="Q975" s="22">
        <v>110500</v>
      </c>
      <c r="R975" s="22" t="s">
        <v>7854</v>
      </c>
      <c r="S975" s="24">
        <v>0</v>
      </c>
      <c r="T975" s="24" t="s">
        <v>7854</v>
      </c>
      <c r="U975" t="s">
        <v>6497</v>
      </c>
    </row>
    <row r="976" spans="1:21" x14ac:dyDescent="0.25">
      <c r="A976">
        <v>994</v>
      </c>
      <c r="B976">
        <v>5772</v>
      </c>
      <c r="C976" t="s">
        <v>6498</v>
      </c>
      <c r="D976" t="s">
        <v>7789</v>
      </c>
      <c r="E976" t="s">
        <v>6502</v>
      </c>
      <c r="F976" t="s">
        <v>28</v>
      </c>
      <c r="G976" t="s">
        <v>6503</v>
      </c>
      <c r="H976" t="s">
        <v>43</v>
      </c>
      <c r="I976" s="12">
        <v>8033611000</v>
      </c>
      <c r="J976" t="s">
        <v>31</v>
      </c>
      <c r="K976" t="s">
        <v>7886</v>
      </c>
      <c r="L976" t="s">
        <v>8028</v>
      </c>
      <c r="M976" t="s">
        <v>63</v>
      </c>
      <c r="N976" t="s">
        <v>33</v>
      </c>
      <c r="O976" s="17">
        <v>812500</v>
      </c>
      <c r="P976" s="17" t="s">
        <v>7854</v>
      </c>
      <c r="Q976" s="22">
        <v>0</v>
      </c>
      <c r="R976" s="22" t="s">
        <v>7854</v>
      </c>
      <c r="S976" s="24">
        <v>162500</v>
      </c>
      <c r="T976" s="24" t="s">
        <v>7854</v>
      </c>
      <c r="U976" t="s">
        <v>6504</v>
      </c>
    </row>
    <row r="977" spans="1:21" x14ac:dyDescent="0.25">
      <c r="A977">
        <v>995</v>
      </c>
      <c r="B977">
        <v>24597</v>
      </c>
      <c r="C977" t="s">
        <v>6505</v>
      </c>
      <c r="D977" t="s">
        <v>7790</v>
      </c>
      <c r="E977" t="s">
        <v>6507</v>
      </c>
      <c r="F977" t="s">
        <v>28</v>
      </c>
      <c r="G977" t="s">
        <v>393</v>
      </c>
      <c r="H977" t="s">
        <v>43</v>
      </c>
      <c r="I977" s="13" t="s">
        <v>6508</v>
      </c>
      <c r="J977" t="s">
        <v>31</v>
      </c>
      <c r="K977" t="s">
        <v>7879</v>
      </c>
      <c r="L977" t="s">
        <v>7940</v>
      </c>
      <c r="M977" t="s">
        <v>63</v>
      </c>
      <c r="N977" t="s">
        <v>33</v>
      </c>
      <c r="O977" s="17">
        <v>195000</v>
      </c>
      <c r="P977" s="17" t="s">
        <v>7854</v>
      </c>
      <c r="Q977" s="22">
        <v>0</v>
      </c>
      <c r="R977" s="22" t="s">
        <v>7854</v>
      </c>
      <c r="S977" s="24">
        <v>0</v>
      </c>
      <c r="T977" s="24" t="s">
        <v>7854</v>
      </c>
      <c r="U977" t="s">
        <v>6509</v>
      </c>
    </row>
    <row r="978" spans="1:21" x14ac:dyDescent="0.25">
      <c r="A978">
        <v>996</v>
      </c>
      <c r="B978">
        <v>24595</v>
      </c>
      <c r="C978" t="s">
        <v>6510</v>
      </c>
      <c r="D978" t="s">
        <v>7791</v>
      </c>
      <c r="E978" t="s">
        <v>6514</v>
      </c>
      <c r="F978" t="s">
        <v>28</v>
      </c>
      <c r="G978" t="s">
        <v>6515</v>
      </c>
      <c r="H978" t="s">
        <v>43</v>
      </c>
      <c r="I978" s="13" t="s">
        <v>6516</v>
      </c>
      <c r="J978" t="s">
        <v>31</v>
      </c>
      <c r="K978" t="s">
        <v>7879</v>
      </c>
      <c r="L978" t="s">
        <v>7888</v>
      </c>
      <c r="M978" t="s">
        <v>46</v>
      </c>
      <c r="N978" t="s">
        <v>33</v>
      </c>
      <c r="O978" s="17">
        <v>195000</v>
      </c>
      <c r="P978" s="17" t="s">
        <v>7854</v>
      </c>
      <c r="Q978" s="22">
        <v>0</v>
      </c>
      <c r="R978" s="22" t="s">
        <v>7854</v>
      </c>
      <c r="S978" s="24">
        <v>0</v>
      </c>
      <c r="T978" s="24" t="s">
        <v>7854</v>
      </c>
      <c r="U978" t="s">
        <v>6517</v>
      </c>
    </row>
    <row r="979" spans="1:21" x14ac:dyDescent="0.25">
      <c r="A979">
        <v>997</v>
      </c>
      <c r="B979">
        <v>21565</v>
      </c>
      <c r="C979" t="s">
        <v>6518</v>
      </c>
      <c r="D979" t="s">
        <v>7792</v>
      </c>
      <c r="E979" t="s">
        <v>6519</v>
      </c>
      <c r="F979" t="s">
        <v>28</v>
      </c>
      <c r="G979" t="s">
        <v>6520</v>
      </c>
      <c r="H979" t="s">
        <v>43</v>
      </c>
      <c r="I979" s="13" t="s">
        <v>6521</v>
      </c>
      <c r="J979" t="s">
        <v>45</v>
      </c>
      <c r="K979" t="s">
        <v>7879</v>
      </c>
      <c r="L979" t="s">
        <v>7893</v>
      </c>
      <c r="M979" t="s">
        <v>46</v>
      </c>
      <c r="N979" t="s">
        <v>33</v>
      </c>
      <c r="O979" s="17">
        <v>195000</v>
      </c>
      <c r="P979" s="17" t="s">
        <v>7854</v>
      </c>
      <c r="Q979" s="22">
        <v>0</v>
      </c>
      <c r="R979" s="22" t="s">
        <v>7854</v>
      </c>
      <c r="S979" s="24">
        <v>0</v>
      </c>
      <c r="T979" s="24" t="s">
        <v>7854</v>
      </c>
      <c r="U979" t="s">
        <v>6522</v>
      </c>
    </row>
    <row r="980" spans="1:21" x14ac:dyDescent="0.25">
      <c r="A980">
        <v>998</v>
      </c>
      <c r="B980">
        <v>2299</v>
      </c>
      <c r="C980" t="s">
        <v>6523</v>
      </c>
      <c r="D980" t="s">
        <v>7793</v>
      </c>
      <c r="E980" t="s">
        <v>6525</v>
      </c>
      <c r="F980" t="s">
        <v>53</v>
      </c>
      <c r="G980" t="s">
        <v>6526</v>
      </c>
      <c r="H980" t="s">
        <v>43</v>
      </c>
      <c r="I980" s="13" t="s">
        <v>6527</v>
      </c>
      <c r="J980" t="s">
        <v>31</v>
      </c>
      <c r="K980" t="s">
        <v>7886</v>
      </c>
      <c r="L980" t="s">
        <v>7893</v>
      </c>
      <c r="M980" t="s">
        <v>46</v>
      </c>
      <c r="N980" t="s">
        <v>33</v>
      </c>
      <c r="O980" s="17">
        <v>812500</v>
      </c>
      <c r="P980" s="17" t="s">
        <v>7854</v>
      </c>
      <c r="Q980" s="22">
        <v>0</v>
      </c>
      <c r="R980" s="22" t="s">
        <v>7854</v>
      </c>
      <c r="S980" s="24">
        <v>162500</v>
      </c>
      <c r="T980" s="24" t="s">
        <v>7854</v>
      </c>
      <c r="U980" t="s">
        <v>6528</v>
      </c>
    </row>
    <row r="981" spans="1:21" x14ac:dyDescent="0.25">
      <c r="A981">
        <v>999</v>
      </c>
      <c r="B981">
        <v>23841</v>
      </c>
      <c r="C981" t="s">
        <v>6529</v>
      </c>
      <c r="D981" t="s">
        <v>7794</v>
      </c>
      <c r="E981" t="s">
        <v>6533</v>
      </c>
      <c r="F981" t="s">
        <v>28</v>
      </c>
      <c r="G981" t="s">
        <v>6534</v>
      </c>
      <c r="H981" t="s">
        <v>43</v>
      </c>
      <c r="I981" s="13" t="s">
        <v>6535</v>
      </c>
      <c r="J981" t="s">
        <v>31</v>
      </c>
      <c r="K981" t="s">
        <v>7879</v>
      </c>
      <c r="L981" t="s">
        <v>7940</v>
      </c>
      <c r="M981" t="s">
        <v>63</v>
      </c>
      <c r="N981" t="s">
        <v>33</v>
      </c>
      <c r="O981" s="17">
        <v>195000</v>
      </c>
      <c r="P981" s="17" t="s">
        <v>7854</v>
      </c>
      <c r="Q981" s="22">
        <v>0</v>
      </c>
      <c r="R981" s="22" t="s">
        <v>7854</v>
      </c>
      <c r="S981" s="24">
        <v>0</v>
      </c>
      <c r="T981" s="24" t="s">
        <v>7854</v>
      </c>
      <c r="U981" t="s">
        <v>6536</v>
      </c>
    </row>
    <row r="982" spans="1:21" x14ac:dyDescent="0.25">
      <c r="A982">
        <v>1000</v>
      </c>
      <c r="B982">
        <v>5339</v>
      </c>
      <c r="C982" t="s">
        <v>6537</v>
      </c>
      <c r="D982" t="s">
        <v>7795</v>
      </c>
      <c r="E982" t="s">
        <v>6540</v>
      </c>
      <c r="F982" t="s">
        <v>28</v>
      </c>
      <c r="G982" t="s">
        <v>6541</v>
      </c>
      <c r="H982" t="s">
        <v>43</v>
      </c>
      <c r="I982" s="12">
        <v>8053271387</v>
      </c>
      <c r="J982" t="s">
        <v>31</v>
      </c>
      <c r="K982" t="s">
        <v>7886</v>
      </c>
      <c r="L982" t="s">
        <v>7981</v>
      </c>
      <c r="M982" t="s">
        <v>46</v>
      </c>
      <c r="N982" t="s">
        <v>33</v>
      </c>
      <c r="O982" s="17">
        <v>812500</v>
      </c>
      <c r="P982" s="17" t="s">
        <v>7854</v>
      </c>
      <c r="Q982" s="22">
        <v>0</v>
      </c>
      <c r="R982" s="22" t="s">
        <v>7854</v>
      </c>
      <c r="S982" s="24">
        <v>162500</v>
      </c>
      <c r="T982" s="24" t="s">
        <v>7854</v>
      </c>
      <c r="U982" t="s">
        <v>6542</v>
      </c>
    </row>
    <row r="983" spans="1:21" x14ac:dyDescent="0.25">
      <c r="A983">
        <v>1001</v>
      </c>
      <c r="B983">
        <v>9704</v>
      </c>
      <c r="C983" t="s">
        <v>6543</v>
      </c>
      <c r="D983" t="s">
        <v>7796</v>
      </c>
      <c r="E983" t="s">
        <v>7938</v>
      </c>
      <c r="F983" t="s">
        <v>28</v>
      </c>
      <c r="G983" t="s">
        <v>822</v>
      </c>
      <c r="H983" t="s">
        <v>43</v>
      </c>
      <c r="I983" s="12">
        <v>8033592457</v>
      </c>
      <c r="J983" t="s">
        <v>31</v>
      </c>
      <c r="K983" t="s">
        <v>7886</v>
      </c>
      <c r="L983" t="s">
        <v>7893</v>
      </c>
      <c r="M983" t="s">
        <v>46</v>
      </c>
      <c r="N983" t="s">
        <v>33</v>
      </c>
      <c r="O983" s="17">
        <v>812500</v>
      </c>
      <c r="P983" s="17" t="s">
        <v>7854</v>
      </c>
      <c r="Q983" s="22">
        <v>0</v>
      </c>
      <c r="R983" s="22" t="s">
        <v>7854</v>
      </c>
      <c r="S983" s="24">
        <v>162500</v>
      </c>
      <c r="T983" s="24" t="s">
        <v>7854</v>
      </c>
      <c r="U983" t="s">
        <v>6547</v>
      </c>
    </row>
    <row r="984" spans="1:21" ht="18" customHeight="1" x14ac:dyDescent="0.25">
      <c r="A984">
        <v>1002</v>
      </c>
      <c r="B984">
        <v>22159</v>
      </c>
      <c r="C984" t="s">
        <v>6548</v>
      </c>
      <c r="D984" t="s">
        <v>7797</v>
      </c>
      <c r="E984" t="s">
        <v>6550</v>
      </c>
      <c r="F984" t="s">
        <v>28</v>
      </c>
      <c r="G984" t="s">
        <v>6551</v>
      </c>
      <c r="H984" t="s">
        <v>43</v>
      </c>
      <c r="I984" s="12">
        <v>2349082092854</v>
      </c>
      <c r="J984" t="s">
        <v>31</v>
      </c>
      <c r="K984" t="s">
        <v>7881</v>
      </c>
      <c r="L984" t="s">
        <v>8028</v>
      </c>
      <c r="M984" t="s">
        <v>63</v>
      </c>
      <c r="N984" t="s">
        <v>33</v>
      </c>
      <c r="O984" s="17">
        <v>552500</v>
      </c>
      <c r="P984" s="17" t="s">
        <v>7854</v>
      </c>
      <c r="Q984" s="22">
        <v>0</v>
      </c>
      <c r="R984" s="22" t="s">
        <v>7854</v>
      </c>
      <c r="S984" s="24">
        <v>0</v>
      </c>
      <c r="T984" s="24" t="s">
        <v>7854</v>
      </c>
      <c r="U984" t="s">
        <v>6552</v>
      </c>
    </row>
    <row r="985" spans="1:21" x14ac:dyDescent="0.25">
      <c r="A985">
        <v>1003</v>
      </c>
      <c r="B985">
        <v>18767</v>
      </c>
      <c r="C985" t="s">
        <v>6553</v>
      </c>
      <c r="D985" t="s">
        <v>7798</v>
      </c>
      <c r="E985" t="s">
        <v>6557</v>
      </c>
      <c r="F985" t="s">
        <v>28</v>
      </c>
      <c r="G985" t="s">
        <v>3449</v>
      </c>
      <c r="H985" t="s">
        <v>43</v>
      </c>
      <c r="I985" s="13" t="s">
        <v>6558</v>
      </c>
      <c r="J985" t="s">
        <v>31</v>
      </c>
      <c r="K985" t="s">
        <v>7881</v>
      </c>
      <c r="L985" t="s">
        <v>7940</v>
      </c>
      <c r="M985" t="s">
        <v>46</v>
      </c>
      <c r="N985" t="s">
        <v>33</v>
      </c>
      <c r="O985" s="17">
        <v>552500</v>
      </c>
      <c r="P985" s="17" t="s">
        <v>7854</v>
      </c>
      <c r="Q985" s="22">
        <v>0</v>
      </c>
      <c r="R985" s="22" t="s">
        <v>7854</v>
      </c>
      <c r="S985" s="24">
        <v>0</v>
      </c>
      <c r="T985" s="24" t="s">
        <v>7854</v>
      </c>
      <c r="U985" t="s">
        <v>6559</v>
      </c>
    </row>
    <row r="986" spans="1:21" x14ac:dyDescent="0.25">
      <c r="A986">
        <v>1004</v>
      </c>
      <c r="B986">
        <v>18534</v>
      </c>
      <c r="C986" t="s">
        <v>6560</v>
      </c>
      <c r="D986" t="s">
        <v>7799</v>
      </c>
      <c r="E986" t="s">
        <v>6563</v>
      </c>
      <c r="F986" t="s">
        <v>28</v>
      </c>
      <c r="G986" t="s">
        <v>960</v>
      </c>
      <c r="H986" t="s">
        <v>453</v>
      </c>
      <c r="I986" s="13" t="s">
        <v>6564</v>
      </c>
      <c r="J986" t="s">
        <v>45</v>
      </c>
      <c r="K986" t="s">
        <v>7881</v>
      </c>
      <c r="L986" t="s">
        <v>7893</v>
      </c>
      <c r="M986" t="s">
        <v>455</v>
      </c>
      <c r="N986" t="s">
        <v>130</v>
      </c>
      <c r="O986" s="17" t="s">
        <v>7854</v>
      </c>
      <c r="P986" s="17">
        <v>425</v>
      </c>
      <c r="Q986" s="22" t="s">
        <v>7854</v>
      </c>
      <c r="R986" s="22">
        <v>0</v>
      </c>
      <c r="S986" s="24" t="s">
        <v>7854</v>
      </c>
      <c r="T986" s="24">
        <v>0</v>
      </c>
      <c r="U986" t="s">
        <v>6565</v>
      </c>
    </row>
    <row r="987" spans="1:21" x14ac:dyDescent="0.25">
      <c r="A987">
        <v>1006</v>
      </c>
      <c r="B987">
        <v>20029</v>
      </c>
      <c r="C987" t="s">
        <v>6566</v>
      </c>
      <c r="D987" t="s">
        <v>7800</v>
      </c>
      <c r="E987" t="s">
        <v>6568</v>
      </c>
      <c r="F987" t="s">
        <v>28</v>
      </c>
      <c r="G987" t="s">
        <v>7975</v>
      </c>
      <c r="H987" t="s">
        <v>453</v>
      </c>
      <c r="I987" s="13" t="s">
        <v>6569</v>
      </c>
      <c r="J987" t="s">
        <v>31</v>
      </c>
      <c r="K987" t="s">
        <v>7886</v>
      </c>
      <c r="L987" t="s">
        <v>7940</v>
      </c>
      <c r="M987" t="s">
        <v>455</v>
      </c>
      <c r="N987" t="s">
        <v>130</v>
      </c>
      <c r="O987" s="17" t="s">
        <v>7854</v>
      </c>
      <c r="P987" s="17">
        <v>625</v>
      </c>
      <c r="Q987" s="22" t="s">
        <v>7854</v>
      </c>
      <c r="R987" s="22">
        <v>0</v>
      </c>
      <c r="S987" s="24" t="s">
        <v>7854</v>
      </c>
      <c r="T987" s="24">
        <v>125</v>
      </c>
      <c r="U987" t="s">
        <v>6570</v>
      </c>
    </row>
    <row r="988" spans="1:21" x14ac:dyDescent="0.25">
      <c r="A988">
        <v>1007</v>
      </c>
      <c r="B988">
        <v>18940</v>
      </c>
      <c r="C988" t="s">
        <v>6571</v>
      </c>
      <c r="D988" t="s">
        <v>7801</v>
      </c>
      <c r="E988" t="s">
        <v>6574</v>
      </c>
      <c r="F988" t="s">
        <v>28</v>
      </c>
      <c r="G988" t="s">
        <v>6575</v>
      </c>
      <c r="H988" t="s">
        <v>43</v>
      </c>
      <c r="I988" s="13" t="s">
        <v>6576</v>
      </c>
      <c r="J988" t="s">
        <v>31</v>
      </c>
      <c r="K988" t="s">
        <v>7881</v>
      </c>
      <c r="L988" t="s">
        <v>7940</v>
      </c>
      <c r="M988" t="s">
        <v>46</v>
      </c>
      <c r="N988" t="s">
        <v>33</v>
      </c>
      <c r="O988" s="17">
        <v>552500</v>
      </c>
      <c r="P988" s="17" t="s">
        <v>7854</v>
      </c>
      <c r="Q988" s="22">
        <v>0</v>
      </c>
      <c r="R988" s="22" t="s">
        <v>7854</v>
      </c>
      <c r="S988" s="24">
        <v>0</v>
      </c>
      <c r="T988" s="24" t="s">
        <v>7854</v>
      </c>
      <c r="U988" t="s">
        <v>6577</v>
      </c>
    </row>
    <row r="989" spans="1:21" x14ac:dyDescent="0.25">
      <c r="A989">
        <v>1008</v>
      </c>
      <c r="B989">
        <v>19586</v>
      </c>
      <c r="C989" t="s">
        <v>6578</v>
      </c>
      <c r="D989" t="s">
        <v>7802</v>
      </c>
      <c r="E989" t="s">
        <v>6581</v>
      </c>
      <c r="F989" t="s">
        <v>53</v>
      </c>
      <c r="G989" t="s">
        <v>6582</v>
      </c>
      <c r="H989" t="s">
        <v>43</v>
      </c>
      <c r="I989" s="13" t="s">
        <v>6583</v>
      </c>
      <c r="J989" t="s">
        <v>31</v>
      </c>
      <c r="K989" t="s">
        <v>7881</v>
      </c>
      <c r="L989" t="s">
        <v>7940</v>
      </c>
      <c r="M989" t="s">
        <v>63</v>
      </c>
      <c r="N989" t="s">
        <v>33</v>
      </c>
      <c r="O989" s="17">
        <v>552500</v>
      </c>
      <c r="P989" s="17" t="s">
        <v>7854</v>
      </c>
      <c r="Q989" s="22">
        <v>0</v>
      </c>
      <c r="R989" s="22" t="s">
        <v>7854</v>
      </c>
      <c r="S989" s="24">
        <v>0</v>
      </c>
      <c r="T989" s="24" t="s">
        <v>7854</v>
      </c>
      <c r="U989" t="s">
        <v>6584</v>
      </c>
    </row>
    <row r="990" spans="1:21" x14ac:dyDescent="0.25">
      <c r="A990">
        <v>1009</v>
      </c>
      <c r="B990">
        <v>19062</v>
      </c>
      <c r="C990" t="s">
        <v>6585</v>
      </c>
      <c r="D990" t="s">
        <v>7803</v>
      </c>
      <c r="E990" t="s">
        <v>6588</v>
      </c>
      <c r="F990" t="s">
        <v>53</v>
      </c>
      <c r="G990" t="s">
        <v>6589</v>
      </c>
      <c r="H990" t="s">
        <v>43</v>
      </c>
      <c r="I990" s="13" t="s">
        <v>6590</v>
      </c>
      <c r="J990" t="s">
        <v>31</v>
      </c>
      <c r="K990" t="s">
        <v>7881</v>
      </c>
      <c r="L990" t="s">
        <v>7940</v>
      </c>
      <c r="M990" t="s">
        <v>63</v>
      </c>
      <c r="N990" t="s">
        <v>33</v>
      </c>
      <c r="O990" s="17">
        <v>552500</v>
      </c>
      <c r="P990" s="17" t="s">
        <v>7854</v>
      </c>
      <c r="Q990" s="22">
        <v>0</v>
      </c>
      <c r="R990" s="22" t="s">
        <v>7854</v>
      </c>
      <c r="S990" s="24">
        <v>0</v>
      </c>
      <c r="T990" s="24" t="s">
        <v>7854</v>
      </c>
      <c r="U990" t="s">
        <v>6591</v>
      </c>
    </row>
    <row r="991" spans="1:21" x14ac:dyDescent="0.25">
      <c r="A991">
        <v>1010</v>
      </c>
      <c r="B991">
        <v>5512</v>
      </c>
      <c r="C991" t="s">
        <v>6592</v>
      </c>
      <c r="D991" t="s">
        <v>7804</v>
      </c>
      <c r="E991" t="s">
        <v>6595</v>
      </c>
      <c r="F991" t="s">
        <v>53</v>
      </c>
      <c r="G991" t="s">
        <v>6596</v>
      </c>
      <c r="H991" t="s">
        <v>43</v>
      </c>
      <c r="I991" s="13" t="s">
        <v>6597</v>
      </c>
      <c r="J991" t="s">
        <v>45</v>
      </c>
      <c r="K991" t="s">
        <v>7881</v>
      </c>
      <c r="L991" t="s">
        <v>7893</v>
      </c>
      <c r="M991" t="s">
        <v>87</v>
      </c>
      <c r="N991" t="s">
        <v>33</v>
      </c>
      <c r="O991" s="17">
        <v>552500</v>
      </c>
      <c r="P991" s="17" t="s">
        <v>7854</v>
      </c>
      <c r="Q991" s="22">
        <v>0</v>
      </c>
      <c r="R991" s="22" t="s">
        <v>7854</v>
      </c>
      <c r="S991" s="24">
        <v>0</v>
      </c>
      <c r="T991" s="24" t="s">
        <v>7854</v>
      </c>
      <c r="U991" t="s">
        <v>6598</v>
      </c>
    </row>
    <row r="992" spans="1:21" x14ac:dyDescent="0.25">
      <c r="A992">
        <v>1011</v>
      </c>
      <c r="B992">
        <v>24064</v>
      </c>
      <c r="C992" t="s">
        <v>6599</v>
      </c>
      <c r="D992" t="s">
        <v>7805</v>
      </c>
      <c r="E992" t="s">
        <v>6602</v>
      </c>
      <c r="F992" t="s">
        <v>28</v>
      </c>
      <c r="G992" t="s">
        <v>3843</v>
      </c>
      <c r="H992" t="s">
        <v>43</v>
      </c>
      <c r="I992" s="13" t="s">
        <v>6603</v>
      </c>
      <c r="J992" t="s">
        <v>31</v>
      </c>
      <c r="K992" t="s">
        <v>7879</v>
      </c>
      <c r="L992" t="s">
        <v>7981</v>
      </c>
      <c r="M992" t="s">
        <v>63</v>
      </c>
      <c r="N992" t="s">
        <v>33</v>
      </c>
      <c r="O992" s="17">
        <v>195000</v>
      </c>
      <c r="P992" s="17" t="s">
        <v>7854</v>
      </c>
      <c r="Q992" s="22">
        <v>0</v>
      </c>
      <c r="R992" s="22" t="s">
        <v>7854</v>
      </c>
      <c r="S992" s="24">
        <v>0</v>
      </c>
      <c r="T992" s="24" t="s">
        <v>7854</v>
      </c>
      <c r="U992" t="s">
        <v>6604</v>
      </c>
    </row>
    <row r="993" spans="1:21" x14ac:dyDescent="0.25">
      <c r="A993">
        <v>1012</v>
      </c>
      <c r="B993">
        <v>6830</v>
      </c>
      <c r="C993" t="s">
        <v>6605</v>
      </c>
      <c r="D993" t="s">
        <v>7806</v>
      </c>
      <c r="E993" t="s">
        <v>6608</v>
      </c>
      <c r="F993" t="s">
        <v>28</v>
      </c>
      <c r="G993" t="s">
        <v>6609</v>
      </c>
      <c r="H993" t="s">
        <v>43</v>
      </c>
      <c r="I993" s="12">
        <v>7063456280</v>
      </c>
      <c r="J993" t="s">
        <v>31</v>
      </c>
      <c r="K993" t="s">
        <v>7881</v>
      </c>
      <c r="L993" t="s">
        <v>7888</v>
      </c>
      <c r="M993" t="s">
        <v>87</v>
      </c>
      <c r="N993" t="s">
        <v>33</v>
      </c>
      <c r="O993" s="17">
        <v>552500</v>
      </c>
      <c r="P993" s="17" t="s">
        <v>7854</v>
      </c>
      <c r="Q993" s="22">
        <v>110500</v>
      </c>
      <c r="R993" s="22" t="s">
        <v>7854</v>
      </c>
      <c r="S993" s="24">
        <v>0</v>
      </c>
      <c r="T993" s="24" t="s">
        <v>7854</v>
      </c>
      <c r="U993" t="s">
        <v>6610</v>
      </c>
    </row>
    <row r="994" spans="1:21" x14ac:dyDescent="0.25">
      <c r="A994">
        <v>1014</v>
      </c>
      <c r="B994">
        <v>4235</v>
      </c>
      <c r="C994" t="s">
        <v>6611</v>
      </c>
      <c r="D994" t="s">
        <v>7807</v>
      </c>
      <c r="E994" t="s">
        <v>7976</v>
      </c>
      <c r="F994" t="s">
        <v>28</v>
      </c>
      <c r="G994" t="s">
        <v>5358</v>
      </c>
      <c r="H994" t="s">
        <v>43</v>
      </c>
      <c r="I994" s="12">
        <v>8068611445</v>
      </c>
      <c r="J994" t="s">
        <v>31</v>
      </c>
      <c r="K994" t="s">
        <v>7886</v>
      </c>
      <c r="L994" t="s">
        <v>7940</v>
      </c>
      <c r="M994" t="s">
        <v>63</v>
      </c>
      <c r="N994" t="s">
        <v>33</v>
      </c>
      <c r="O994" s="17">
        <v>812500</v>
      </c>
      <c r="P994" s="17" t="s">
        <v>7854</v>
      </c>
      <c r="Q994" s="22">
        <v>0</v>
      </c>
      <c r="R994" s="22" t="s">
        <v>7854</v>
      </c>
      <c r="S994" s="24">
        <v>162500</v>
      </c>
      <c r="T994" s="24" t="s">
        <v>7854</v>
      </c>
      <c r="U994" t="s">
        <v>6614</v>
      </c>
    </row>
    <row r="995" spans="1:21" x14ac:dyDescent="0.25">
      <c r="A995">
        <v>1015</v>
      </c>
      <c r="B995">
        <v>18996</v>
      </c>
      <c r="C995" t="s">
        <v>6615</v>
      </c>
      <c r="D995" t="s">
        <v>7808</v>
      </c>
      <c r="E995" t="s">
        <v>6619</v>
      </c>
      <c r="F995" t="s">
        <v>53</v>
      </c>
      <c r="G995" t="s">
        <v>6620</v>
      </c>
      <c r="H995" t="s">
        <v>43</v>
      </c>
      <c r="I995" s="13" t="s">
        <v>6621</v>
      </c>
      <c r="J995" t="s">
        <v>31</v>
      </c>
      <c r="K995" t="s">
        <v>7881</v>
      </c>
      <c r="L995" t="s">
        <v>7893</v>
      </c>
      <c r="M995" t="s">
        <v>63</v>
      </c>
      <c r="N995" t="s">
        <v>33</v>
      </c>
      <c r="O995" s="17">
        <v>552500</v>
      </c>
      <c r="P995" s="17" t="s">
        <v>7854</v>
      </c>
      <c r="Q995" s="22">
        <v>0</v>
      </c>
      <c r="R995" s="22" t="s">
        <v>7854</v>
      </c>
      <c r="S995" s="24">
        <v>0</v>
      </c>
      <c r="T995" s="24" t="s">
        <v>7854</v>
      </c>
      <c r="U995" t="s">
        <v>6622</v>
      </c>
    </row>
    <row r="996" spans="1:21" x14ac:dyDescent="0.25">
      <c r="A996">
        <v>1016</v>
      </c>
      <c r="B996">
        <v>21785</v>
      </c>
      <c r="C996" t="s">
        <v>6623</v>
      </c>
      <c r="D996" t="s">
        <v>7809</v>
      </c>
      <c r="E996" t="s">
        <v>6627</v>
      </c>
      <c r="F996" t="s">
        <v>28</v>
      </c>
      <c r="G996" t="s">
        <v>6628</v>
      </c>
      <c r="H996" t="s">
        <v>43</v>
      </c>
      <c r="I996" s="13" t="s">
        <v>6629</v>
      </c>
      <c r="J996" t="s">
        <v>31</v>
      </c>
      <c r="K996" t="s">
        <v>7879</v>
      </c>
      <c r="L996" t="s">
        <v>8028</v>
      </c>
      <c r="M996" t="s">
        <v>87</v>
      </c>
      <c r="N996" t="s">
        <v>33</v>
      </c>
      <c r="O996" s="17">
        <v>195000</v>
      </c>
      <c r="P996" s="17" t="s">
        <v>7854</v>
      </c>
      <c r="Q996" s="22">
        <v>0</v>
      </c>
      <c r="R996" s="22" t="s">
        <v>7854</v>
      </c>
      <c r="S996" s="24">
        <v>0</v>
      </c>
      <c r="T996" s="24" t="s">
        <v>7854</v>
      </c>
      <c r="U996" t="s">
        <v>6630</v>
      </c>
    </row>
    <row r="997" spans="1:21" x14ac:dyDescent="0.25">
      <c r="A997">
        <v>1017</v>
      </c>
      <c r="B997">
        <v>8488</v>
      </c>
      <c r="C997" t="s">
        <v>6631</v>
      </c>
      <c r="D997" t="s">
        <v>7810</v>
      </c>
      <c r="E997" t="s">
        <v>6635</v>
      </c>
      <c r="F997" t="s">
        <v>53</v>
      </c>
      <c r="G997" t="s">
        <v>3483</v>
      </c>
      <c r="H997" t="s">
        <v>43</v>
      </c>
      <c r="I997" s="12">
        <v>8033307981</v>
      </c>
      <c r="J997" t="s">
        <v>31</v>
      </c>
      <c r="K997" t="s">
        <v>7886</v>
      </c>
      <c r="L997" t="s">
        <v>7940</v>
      </c>
      <c r="M997" t="s">
        <v>63</v>
      </c>
      <c r="N997" t="s">
        <v>33</v>
      </c>
      <c r="O997" s="17">
        <v>812500</v>
      </c>
      <c r="P997" s="17" t="s">
        <v>7854</v>
      </c>
      <c r="Q997" s="22">
        <v>0</v>
      </c>
      <c r="R997" s="22" t="s">
        <v>7854</v>
      </c>
      <c r="S997" s="24">
        <v>162500</v>
      </c>
      <c r="T997" s="24" t="s">
        <v>7854</v>
      </c>
      <c r="U997" t="s">
        <v>6636</v>
      </c>
    </row>
    <row r="998" spans="1:21" x14ac:dyDescent="0.25">
      <c r="A998">
        <v>1018</v>
      </c>
      <c r="B998">
        <v>4734</v>
      </c>
      <c r="C998" t="s">
        <v>6637</v>
      </c>
      <c r="D998" t="s">
        <v>7811</v>
      </c>
      <c r="E998" t="s">
        <v>6641</v>
      </c>
      <c r="F998" t="s">
        <v>28</v>
      </c>
      <c r="G998" t="s">
        <v>6426</v>
      </c>
      <c r="H998" t="s">
        <v>43</v>
      </c>
      <c r="I998" s="12">
        <v>7032615176</v>
      </c>
      <c r="J998" t="s">
        <v>45</v>
      </c>
      <c r="K998" t="s">
        <v>7881</v>
      </c>
      <c r="L998" t="s">
        <v>7893</v>
      </c>
      <c r="M998" t="s">
        <v>63</v>
      </c>
      <c r="N998" t="s">
        <v>33</v>
      </c>
      <c r="O998" s="17">
        <v>552500</v>
      </c>
      <c r="P998" s="17" t="s">
        <v>7854</v>
      </c>
      <c r="Q998" s="22">
        <v>0</v>
      </c>
      <c r="R998" s="22" t="s">
        <v>7854</v>
      </c>
      <c r="S998" s="24">
        <v>0</v>
      </c>
      <c r="T998" s="24" t="s">
        <v>7854</v>
      </c>
      <c r="U998" t="s">
        <v>6642</v>
      </c>
    </row>
    <row r="999" spans="1:21" x14ac:dyDescent="0.25">
      <c r="A999">
        <v>1019</v>
      </c>
      <c r="B999">
        <v>935</v>
      </c>
      <c r="C999" t="s">
        <v>6643</v>
      </c>
      <c r="D999" t="s">
        <v>7812</v>
      </c>
      <c r="E999" t="s">
        <v>7939</v>
      </c>
      <c r="F999" t="s">
        <v>53</v>
      </c>
      <c r="G999" t="s">
        <v>6645</v>
      </c>
      <c r="H999" t="s">
        <v>43</v>
      </c>
      <c r="I999" s="12">
        <v>8033456077</v>
      </c>
      <c r="J999" t="s">
        <v>31</v>
      </c>
      <c r="K999" t="s">
        <v>7886</v>
      </c>
      <c r="L999" t="s">
        <v>7893</v>
      </c>
      <c r="M999" t="s">
        <v>46</v>
      </c>
      <c r="N999" t="s">
        <v>33</v>
      </c>
      <c r="O999" s="17">
        <v>812500</v>
      </c>
      <c r="P999" s="17" t="s">
        <v>7854</v>
      </c>
      <c r="Q999" s="22">
        <v>0</v>
      </c>
      <c r="R999" s="22" t="s">
        <v>7854</v>
      </c>
      <c r="S999" s="24">
        <v>162500</v>
      </c>
      <c r="T999" s="24" t="s">
        <v>7854</v>
      </c>
      <c r="U999" t="s">
        <v>6646</v>
      </c>
    </row>
    <row r="1000" spans="1:21" x14ac:dyDescent="0.25">
      <c r="A1000">
        <v>1020</v>
      </c>
      <c r="B1000">
        <v>22917</v>
      </c>
      <c r="C1000" t="s">
        <v>6647</v>
      </c>
      <c r="D1000" t="s">
        <v>7813</v>
      </c>
      <c r="E1000" t="s">
        <v>6650</v>
      </c>
      <c r="F1000" t="s">
        <v>28</v>
      </c>
      <c r="G1000" t="s">
        <v>6651</v>
      </c>
      <c r="H1000" t="s">
        <v>43</v>
      </c>
      <c r="I1000" s="13" t="s">
        <v>6652</v>
      </c>
      <c r="J1000" t="s">
        <v>45</v>
      </c>
      <c r="K1000" t="s">
        <v>7879</v>
      </c>
      <c r="L1000" t="s">
        <v>7981</v>
      </c>
      <c r="M1000" t="s">
        <v>46</v>
      </c>
      <c r="N1000" t="s">
        <v>33</v>
      </c>
      <c r="O1000" s="17">
        <v>195000</v>
      </c>
      <c r="P1000" s="17" t="s">
        <v>7854</v>
      </c>
      <c r="Q1000" s="22">
        <v>0</v>
      </c>
      <c r="R1000" s="22" t="s">
        <v>7854</v>
      </c>
      <c r="S1000" s="24">
        <v>0</v>
      </c>
      <c r="T1000" s="24" t="s">
        <v>7854</v>
      </c>
      <c r="U1000" t="s">
        <v>6653</v>
      </c>
    </row>
    <row r="1001" spans="1:21" x14ac:dyDescent="0.25">
      <c r="A1001">
        <v>1021</v>
      </c>
      <c r="B1001">
        <v>24570</v>
      </c>
      <c r="C1001" t="s">
        <v>6654</v>
      </c>
      <c r="D1001" t="s">
        <v>7814</v>
      </c>
      <c r="E1001" t="s">
        <v>6657</v>
      </c>
      <c r="F1001" t="s">
        <v>28</v>
      </c>
      <c r="G1001" t="s">
        <v>6658</v>
      </c>
      <c r="H1001" t="s">
        <v>43</v>
      </c>
      <c r="I1001" s="13" t="s">
        <v>6659</v>
      </c>
      <c r="J1001" t="s">
        <v>31</v>
      </c>
      <c r="K1001" t="s">
        <v>7879</v>
      </c>
      <c r="L1001" t="s">
        <v>8028</v>
      </c>
      <c r="M1001" t="s">
        <v>46</v>
      </c>
      <c r="N1001" t="s">
        <v>33</v>
      </c>
      <c r="O1001" s="17">
        <v>195000</v>
      </c>
      <c r="P1001" s="17" t="s">
        <v>7854</v>
      </c>
      <c r="Q1001" s="22">
        <v>0</v>
      </c>
      <c r="R1001" s="22" t="s">
        <v>7854</v>
      </c>
      <c r="S1001" s="24">
        <v>0</v>
      </c>
      <c r="T1001" s="24" t="s">
        <v>7854</v>
      </c>
      <c r="U1001" t="s">
        <v>6660</v>
      </c>
    </row>
    <row r="1002" spans="1:21" x14ac:dyDescent="0.25">
      <c r="A1002">
        <v>1022</v>
      </c>
      <c r="B1002">
        <v>23578</v>
      </c>
      <c r="C1002" t="s">
        <v>6661</v>
      </c>
      <c r="D1002" t="s">
        <v>7815</v>
      </c>
      <c r="E1002" t="s">
        <v>6665</v>
      </c>
      <c r="F1002" t="s">
        <v>28</v>
      </c>
      <c r="G1002" t="s">
        <v>6666</v>
      </c>
      <c r="H1002" t="s">
        <v>453</v>
      </c>
      <c r="I1002" s="13" t="s">
        <v>6667</v>
      </c>
      <c r="J1002" t="s">
        <v>31</v>
      </c>
      <c r="K1002" t="s">
        <v>7879</v>
      </c>
      <c r="L1002" t="s">
        <v>7981</v>
      </c>
      <c r="M1002" t="s">
        <v>455</v>
      </c>
      <c r="N1002" t="s">
        <v>130</v>
      </c>
      <c r="O1002" s="17" t="s">
        <v>7854</v>
      </c>
      <c r="P1002" s="17">
        <v>150</v>
      </c>
      <c r="Q1002" s="22" t="s">
        <v>7854</v>
      </c>
      <c r="R1002" s="22">
        <v>0</v>
      </c>
      <c r="S1002" s="24" t="s">
        <v>7854</v>
      </c>
      <c r="T1002" s="24">
        <v>0</v>
      </c>
      <c r="U1002" t="s">
        <v>6668</v>
      </c>
    </row>
    <row r="1003" spans="1:21" x14ac:dyDescent="0.25">
      <c r="A1003">
        <v>1023</v>
      </c>
      <c r="B1003">
        <v>2896</v>
      </c>
      <c r="C1003" t="s">
        <v>6669</v>
      </c>
      <c r="D1003" t="s">
        <v>7816</v>
      </c>
      <c r="E1003" t="s">
        <v>6673</v>
      </c>
      <c r="F1003" t="s">
        <v>53</v>
      </c>
      <c r="G1003" t="s">
        <v>6674</v>
      </c>
      <c r="H1003" t="s">
        <v>43</v>
      </c>
      <c r="I1003" s="13" t="s">
        <v>6675</v>
      </c>
      <c r="J1003" t="s">
        <v>45</v>
      </c>
      <c r="K1003" t="s">
        <v>7886</v>
      </c>
      <c r="L1003" t="s">
        <v>7893</v>
      </c>
      <c r="M1003" t="s">
        <v>46</v>
      </c>
      <c r="N1003" t="s">
        <v>33</v>
      </c>
      <c r="O1003" s="17">
        <v>812500</v>
      </c>
      <c r="P1003" s="17" t="s">
        <v>7854</v>
      </c>
      <c r="Q1003" s="22">
        <v>0</v>
      </c>
      <c r="R1003" s="22" t="s">
        <v>7854</v>
      </c>
      <c r="S1003" s="24">
        <v>162500</v>
      </c>
      <c r="T1003" s="24" t="s">
        <v>7854</v>
      </c>
      <c r="U1003" t="s">
        <v>6676</v>
      </c>
    </row>
    <row r="1004" spans="1:21" x14ac:dyDescent="0.25">
      <c r="A1004">
        <v>1024</v>
      </c>
      <c r="B1004">
        <v>24587</v>
      </c>
      <c r="C1004" t="s">
        <v>6677</v>
      </c>
      <c r="D1004" t="s">
        <v>7817</v>
      </c>
      <c r="E1004" t="s">
        <v>6681</v>
      </c>
      <c r="F1004" t="s">
        <v>53</v>
      </c>
      <c r="G1004" t="s">
        <v>6682</v>
      </c>
      <c r="H1004" t="s">
        <v>43</v>
      </c>
      <c r="I1004" s="13" t="s">
        <v>6683</v>
      </c>
      <c r="J1004" t="s">
        <v>31</v>
      </c>
      <c r="K1004" t="s">
        <v>7879</v>
      </c>
      <c r="L1004" t="s">
        <v>7940</v>
      </c>
      <c r="M1004" t="s">
        <v>87</v>
      </c>
      <c r="N1004" t="s">
        <v>33</v>
      </c>
      <c r="O1004" s="17">
        <v>195000</v>
      </c>
      <c r="P1004" s="17" t="s">
        <v>7854</v>
      </c>
      <c r="Q1004" s="22">
        <v>0</v>
      </c>
      <c r="R1004" s="22" t="s">
        <v>7854</v>
      </c>
      <c r="S1004" s="24">
        <v>0</v>
      </c>
      <c r="T1004" s="24" t="s">
        <v>7854</v>
      </c>
      <c r="U1004" t="s">
        <v>6684</v>
      </c>
    </row>
    <row r="1005" spans="1:21" x14ac:dyDescent="0.25">
      <c r="A1005">
        <v>1025</v>
      </c>
      <c r="B1005">
        <v>9149</v>
      </c>
      <c r="C1005" s="11" t="s">
        <v>6685</v>
      </c>
      <c r="D1005" t="s">
        <v>7818</v>
      </c>
      <c r="E1005" t="s">
        <v>6688</v>
      </c>
      <c r="F1005" t="s">
        <v>53</v>
      </c>
      <c r="G1005" t="s">
        <v>6688</v>
      </c>
      <c r="H1005" t="s">
        <v>43</v>
      </c>
      <c r="I1005" s="12">
        <v>2348057184630</v>
      </c>
      <c r="J1005" t="s">
        <v>31</v>
      </c>
      <c r="K1005" t="s">
        <v>7886</v>
      </c>
      <c r="L1005" t="s">
        <v>7893</v>
      </c>
      <c r="M1005" t="s">
        <v>63</v>
      </c>
      <c r="N1005" t="s">
        <v>33</v>
      </c>
      <c r="O1005" s="17">
        <v>812500</v>
      </c>
      <c r="P1005" s="17" t="s">
        <v>7854</v>
      </c>
      <c r="Q1005" s="22">
        <v>0</v>
      </c>
      <c r="R1005" s="22" t="s">
        <v>7854</v>
      </c>
      <c r="S1005" s="24">
        <v>162500</v>
      </c>
      <c r="T1005" s="24" t="s">
        <v>7854</v>
      </c>
      <c r="U1005" t="s">
        <v>6689</v>
      </c>
    </row>
    <row r="1006" spans="1:21" x14ac:dyDescent="0.25">
      <c r="A1006">
        <v>1026</v>
      </c>
      <c r="B1006">
        <v>2848</v>
      </c>
      <c r="C1006" t="s">
        <v>6690</v>
      </c>
      <c r="D1006" t="s">
        <v>7819</v>
      </c>
      <c r="E1006" t="s">
        <v>6694</v>
      </c>
      <c r="F1006" t="s">
        <v>53</v>
      </c>
      <c r="G1006" t="s">
        <v>8025</v>
      </c>
      <c r="H1006" t="s">
        <v>43</v>
      </c>
      <c r="I1006" s="13" t="s">
        <v>6695</v>
      </c>
      <c r="J1006" t="s">
        <v>45</v>
      </c>
      <c r="K1006" t="s">
        <v>7881</v>
      </c>
      <c r="L1006" t="s">
        <v>7981</v>
      </c>
      <c r="M1006" t="s">
        <v>46</v>
      </c>
      <c r="N1006" t="s">
        <v>33</v>
      </c>
      <c r="O1006" s="17">
        <v>552500</v>
      </c>
      <c r="P1006" s="17" t="s">
        <v>7854</v>
      </c>
      <c r="Q1006" s="22">
        <v>0</v>
      </c>
      <c r="R1006" s="22" t="s">
        <v>7854</v>
      </c>
      <c r="S1006" s="24">
        <v>0</v>
      </c>
      <c r="T1006" s="24" t="s">
        <v>7854</v>
      </c>
      <c r="U1006" t="s">
        <v>6696</v>
      </c>
    </row>
    <row r="1007" spans="1:21" x14ac:dyDescent="0.25">
      <c r="A1007">
        <v>1027</v>
      </c>
      <c r="B1007">
        <v>21301</v>
      </c>
      <c r="C1007" t="s">
        <v>6697</v>
      </c>
      <c r="D1007" t="s">
        <v>7820</v>
      </c>
      <c r="E1007" t="s">
        <v>6701</v>
      </c>
      <c r="F1007" t="s">
        <v>53</v>
      </c>
      <c r="G1007" t="s">
        <v>6701</v>
      </c>
      <c r="H1007" t="s">
        <v>43</v>
      </c>
      <c r="I1007" s="12">
        <v>2348105379084</v>
      </c>
      <c r="J1007" t="s">
        <v>31</v>
      </c>
      <c r="K1007" t="s">
        <v>7881</v>
      </c>
      <c r="L1007" t="s">
        <v>7893</v>
      </c>
      <c r="M1007" t="s">
        <v>46</v>
      </c>
      <c r="N1007" t="s">
        <v>33</v>
      </c>
      <c r="O1007" s="17">
        <v>552500</v>
      </c>
      <c r="P1007" s="17" t="s">
        <v>7854</v>
      </c>
      <c r="Q1007" s="22">
        <v>0</v>
      </c>
      <c r="R1007" s="22" t="s">
        <v>7854</v>
      </c>
      <c r="S1007" s="24">
        <v>0</v>
      </c>
      <c r="T1007" s="24" t="s">
        <v>7854</v>
      </c>
      <c r="U1007" t="s">
        <v>6702</v>
      </c>
    </row>
    <row r="1008" spans="1:21" x14ac:dyDescent="0.25">
      <c r="A1008">
        <v>1028</v>
      </c>
      <c r="B1008">
        <v>19596</v>
      </c>
      <c r="C1008" t="s">
        <v>6703</v>
      </c>
      <c r="D1008" t="s">
        <v>7821</v>
      </c>
      <c r="E1008" t="s">
        <v>6705</v>
      </c>
      <c r="F1008" t="s">
        <v>53</v>
      </c>
      <c r="G1008" t="s">
        <v>6706</v>
      </c>
      <c r="H1008" t="s">
        <v>43</v>
      </c>
      <c r="I1008" s="13" t="s">
        <v>6707</v>
      </c>
      <c r="J1008" t="s">
        <v>31</v>
      </c>
      <c r="K1008" t="s">
        <v>7886</v>
      </c>
      <c r="L1008" t="s">
        <v>7940</v>
      </c>
      <c r="M1008" t="s">
        <v>63</v>
      </c>
      <c r="N1008" t="s">
        <v>33</v>
      </c>
      <c r="O1008" s="17">
        <v>812500</v>
      </c>
      <c r="P1008" s="17" t="s">
        <v>7854</v>
      </c>
      <c r="Q1008" s="22">
        <v>0</v>
      </c>
      <c r="R1008" s="22" t="s">
        <v>7854</v>
      </c>
      <c r="S1008" s="24">
        <v>162500</v>
      </c>
      <c r="T1008" s="24" t="s">
        <v>7854</v>
      </c>
      <c r="U1008" t="s">
        <v>6708</v>
      </c>
    </row>
    <row r="1009" spans="1:21" x14ac:dyDescent="0.25">
      <c r="A1009">
        <v>1029</v>
      </c>
      <c r="B1009">
        <v>4019</v>
      </c>
      <c r="C1009" t="s">
        <v>6709</v>
      </c>
      <c r="D1009" t="s">
        <v>7822</v>
      </c>
      <c r="E1009" t="s">
        <v>6711</v>
      </c>
      <c r="F1009" t="s">
        <v>28</v>
      </c>
      <c r="G1009" t="s">
        <v>3456</v>
      </c>
      <c r="H1009" t="s">
        <v>43</v>
      </c>
      <c r="I1009" s="12">
        <v>8033125679</v>
      </c>
      <c r="J1009" t="s">
        <v>31</v>
      </c>
      <c r="K1009" t="s">
        <v>7886</v>
      </c>
      <c r="L1009" t="s">
        <v>7940</v>
      </c>
      <c r="M1009" t="s">
        <v>63</v>
      </c>
      <c r="N1009" t="s">
        <v>33</v>
      </c>
      <c r="O1009" s="17">
        <v>812500</v>
      </c>
      <c r="P1009" s="17" t="s">
        <v>7854</v>
      </c>
      <c r="Q1009" s="22">
        <v>0</v>
      </c>
      <c r="R1009" s="22" t="s">
        <v>7854</v>
      </c>
      <c r="S1009" s="24">
        <v>162500</v>
      </c>
      <c r="T1009" s="24" t="s">
        <v>7854</v>
      </c>
      <c r="U1009" t="s">
        <v>6712</v>
      </c>
    </row>
    <row r="1010" spans="1:21" x14ac:dyDescent="0.25">
      <c r="A1010">
        <v>1030</v>
      </c>
      <c r="B1010">
        <v>1870</v>
      </c>
      <c r="C1010" t="s">
        <v>6713</v>
      </c>
      <c r="D1010" t="s">
        <v>7823</v>
      </c>
      <c r="E1010" t="s">
        <v>6717</v>
      </c>
      <c r="F1010" t="s">
        <v>28</v>
      </c>
      <c r="G1010" t="s">
        <v>6718</v>
      </c>
      <c r="H1010" t="s">
        <v>43</v>
      </c>
      <c r="I1010" s="12" t="s">
        <v>6719</v>
      </c>
      <c r="J1010" t="s">
        <v>31</v>
      </c>
      <c r="K1010" t="s">
        <v>7886</v>
      </c>
      <c r="L1010" t="s">
        <v>7940</v>
      </c>
      <c r="M1010" t="s">
        <v>63</v>
      </c>
      <c r="N1010" t="s">
        <v>33</v>
      </c>
      <c r="O1010" s="17">
        <v>812500</v>
      </c>
      <c r="P1010" s="17" t="s">
        <v>7854</v>
      </c>
      <c r="Q1010" s="22">
        <v>0</v>
      </c>
      <c r="R1010" s="22" t="s">
        <v>7854</v>
      </c>
      <c r="S1010" s="24">
        <v>162500</v>
      </c>
      <c r="T1010" s="24" t="s">
        <v>7854</v>
      </c>
      <c r="U1010" t="s">
        <v>6720</v>
      </c>
    </row>
    <row r="1011" spans="1:21" x14ac:dyDescent="0.25">
      <c r="A1011">
        <v>1031</v>
      </c>
      <c r="B1011">
        <v>23908</v>
      </c>
      <c r="C1011" t="s">
        <v>6721</v>
      </c>
      <c r="D1011" t="s">
        <v>7824</v>
      </c>
      <c r="E1011" t="s">
        <v>6722</v>
      </c>
      <c r="F1011" t="s">
        <v>28</v>
      </c>
      <c r="G1011" t="s">
        <v>2878</v>
      </c>
      <c r="H1011" t="s">
        <v>43</v>
      </c>
      <c r="I1011" s="13" t="s">
        <v>6723</v>
      </c>
      <c r="J1011" t="s">
        <v>31</v>
      </c>
      <c r="K1011" t="s">
        <v>7879</v>
      </c>
      <c r="L1011" t="s">
        <v>7940</v>
      </c>
      <c r="M1011" t="s">
        <v>46</v>
      </c>
      <c r="N1011" t="s">
        <v>33</v>
      </c>
      <c r="O1011" s="17">
        <v>195000</v>
      </c>
      <c r="P1011" s="17" t="s">
        <v>7854</v>
      </c>
      <c r="Q1011" s="22">
        <v>0</v>
      </c>
      <c r="R1011" s="22" t="s">
        <v>7854</v>
      </c>
      <c r="S1011" s="24">
        <v>0</v>
      </c>
      <c r="T1011" s="24" t="s">
        <v>7854</v>
      </c>
      <c r="U1011" t="s">
        <v>6724</v>
      </c>
    </row>
    <row r="1012" spans="1:21" x14ac:dyDescent="0.25">
      <c r="A1012">
        <v>1032</v>
      </c>
      <c r="B1012">
        <v>19341</v>
      </c>
      <c r="C1012" t="s">
        <v>6725</v>
      </c>
      <c r="D1012" t="s">
        <v>7825</v>
      </c>
      <c r="E1012" t="s">
        <v>6728</v>
      </c>
      <c r="F1012" t="s">
        <v>53</v>
      </c>
      <c r="G1012" t="s">
        <v>6729</v>
      </c>
      <c r="H1012" t="s">
        <v>43</v>
      </c>
      <c r="I1012" s="12">
        <v>2348102805799</v>
      </c>
      <c r="J1012" t="s">
        <v>31</v>
      </c>
      <c r="K1012" t="s">
        <v>7879</v>
      </c>
      <c r="L1012" t="s">
        <v>7888</v>
      </c>
      <c r="M1012" t="s">
        <v>46</v>
      </c>
      <c r="N1012" t="s">
        <v>33</v>
      </c>
      <c r="O1012" s="17">
        <v>195000</v>
      </c>
      <c r="P1012" s="17" t="s">
        <v>7854</v>
      </c>
      <c r="Q1012" s="22">
        <v>0</v>
      </c>
      <c r="R1012" s="22" t="s">
        <v>7854</v>
      </c>
      <c r="S1012" s="24">
        <v>0</v>
      </c>
      <c r="T1012" s="24" t="s">
        <v>7854</v>
      </c>
      <c r="U1012" t="s">
        <v>6730</v>
      </c>
    </row>
    <row r="1013" spans="1:21" x14ac:dyDescent="0.25">
      <c r="A1013">
        <v>1033</v>
      </c>
      <c r="B1013">
        <v>9203</v>
      </c>
      <c r="C1013" t="s">
        <v>6731</v>
      </c>
      <c r="D1013" t="s">
        <v>7826</v>
      </c>
      <c r="E1013" t="s">
        <v>6735</v>
      </c>
      <c r="F1013" t="s">
        <v>28</v>
      </c>
      <c r="G1013" t="s">
        <v>6736</v>
      </c>
      <c r="H1013" t="s">
        <v>43</v>
      </c>
      <c r="I1013" s="12">
        <v>8063007723</v>
      </c>
      <c r="J1013" t="s">
        <v>31</v>
      </c>
      <c r="K1013" t="s">
        <v>7886</v>
      </c>
      <c r="L1013" t="s">
        <v>7940</v>
      </c>
      <c r="M1013" t="s">
        <v>63</v>
      </c>
      <c r="N1013" t="s">
        <v>33</v>
      </c>
      <c r="O1013" s="17">
        <v>812500</v>
      </c>
      <c r="P1013" s="17" t="s">
        <v>7854</v>
      </c>
      <c r="Q1013" s="22">
        <v>0</v>
      </c>
      <c r="R1013" s="22" t="s">
        <v>7854</v>
      </c>
      <c r="S1013" s="24">
        <v>162500</v>
      </c>
      <c r="T1013" s="24" t="s">
        <v>7854</v>
      </c>
      <c r="U1013" t="s">
        <v>6737</v>
      </c>
    </row>
    <row r="1014" spans="1:21" x14ac:dyDescent="0.25">
      <c r="A1014">
        <v>1034</v>
      </c>
      <c r="B1014">
        <v>10890</v>
      </c>
      <c r="C1014" t="s">
        <v>6738</v>
      </c>
      <c r="D1014" t="s">
        <v>7827</v>
      </c>
      <c r="E1014" t="s">
        <v>6741</v>
      </c>
      <c r="F1014" t="s">
        <v>28</v>
      </c>
      <c r="G1014" t="s">
        <v>6742</v>
      </c>
      <c r="H1014" t="s">
        <v>43</v>
      </c>
      <c r="I1014" s="12">
        <v>8035600614</v>
      </c>
      <c r="J1014" t="s">
        <v>31</v>
      </c>
      <c r="K1014" t="s">
        <v>7886</v>
      </c>
      <c r="L1014" t="s">
        <v>7893</v>
      </c>
      <c r="M1014" t="s">
        <v>63</v>
      </c>
      <c r="N1014" t="s">
        <v>33</v>
      </c>
      <c r="O1014" s="17">
        <v>812500</v>
      </c>
      <c r="P1014" s="17" t="s">
        <v>7854</v>
      </c>
      <c r="Q1014" s="22">
        <v>0</v>
      </c>
      <c r="R1014" s="22" t="s">
        <v>7854</v>
      </c>
      <c r="S1014" s="24">
        <v>162500</v>
      </c>
      <c r="T1014" s="24" t="s">
        <v>7854</v>
      </c>
      <c r="U1014" t="s">
        <v>6743</v>
      </c>
    </row>
    <row r="1015" spans="1:21" x14ac:dyDescent="0.25">
      <c r="A1015">
        <v>1035</v>
      </c>
      <c r="B1015">
        <v>24605</v>
      </c>
      <c r="C1015" t="s">
        <v>6744</v>
      </c>
      <c r="D1015" t="s">
        <v>7828</v>
      </c>
      <c r="E1015" t="s">
        <v>6746</v>
      </c>
      <c r="F1015" t="s">
        <v>28</v>
      </c>
      <c r="G1015" t="s">
        <v>364</v>
      </c>
      <c r="H1015" t="s">
        <v>43</v>
      </c>
      <c r="I1015" s="12" t="s">
        <v>6747</v>
      </c>
      <c r="J1015" t="s">
        <v>31</v>
      </c>
      <c r="K1015" t="s">
        <v>7879</v>
      </c>
      <c r="L1015" t="s">
        <v>7888</v>
      </c>
      <c r="M1015" t="s">
        <v>46</v>
      </c>
      <c r="N1015" t="s">
        <v>33</v>
      </c>
      <c r="O1015" s="17">
        <v>195000</v>
      </c>
      <c r="P1015" s="17" t="s">
        <v>7854</v>
      </c>
      <c r="Q1015" s="22">
        <v>0</v>
      </c>
      <c r="R1015" s="22" t="s">
        <v>7854</v>
      </c>
      <c r="S1015" s="24">
        <v>0</v>
      </c>
      <c r="T1015" s="24" t="s">
        <v>7854</v>
      </c>
      <c r="U1015" t="s">
        <v>6748</v>
      </c>
    </row>
    <row r="1016" spans="1:21" x14ac:dyDescent="0.25">
      <c r="A1016">
        <v>1036</v>
      </c>
      <c r="B1016">
        <v>11176</v>
      </c>
      <c r="C1016" t="s">
        <v>6749</v>
      </c>
      <c r="D1016" t="s">
        <v>7829</v>
      </c>
      <c r="E1016" t="s">
        <v>6753</v>
      </c>
      <c r="F1016" t="s">
        <v>28</v>
      </c>
      <c r="G1016" t="s">
        <v>6754</v>
      </c>
      <c r="H1016" t="s">
        <v>43</v>
      </c>
      <c r="I1016" s="12">
        <v>7037598790</v>
      </c>
      <c r="J1016" t="s">
        <v>31</v>
      </c>
      <c r="K1016" t="s">
        <v>7881</v>
      </c>
      <c r="L1016" t="s">
        <v>7893</v>
      </c>
      <c r="M1016" t="s">
        <v>46</v>
      </c>
      <c r="N1016" t="s">
        <v>33</v>
      </c>
      <c r="O1016" s="17">
        <v>552500</v>
      </c>
      <c r="P1016" s="17" t="s">
        <v>7854</v>
      </c>
      <c r="Q1016" s="22">
        <v>0</v>
      </c>
      <c r="R1016" s="22" t="s">
        <v>7854</v>
      </c>
      <c r="S1016" s="24">
        <v>0</v>
      </c>
      <c r="T1016" s="24" t="s">
        <v>7854</v>
      </c>
      <c r="U1016" t="s">
        <v>6755</v>
      </c>
    </row>
    <row r="1017" spans="1:21" x14ac:dyDescent="0.25">
      <c r="A1017">
        <v>1037</v>
      </c>
      <c r="B1017">
        <v>24509</v>
      </c>
      <c r="C1017" t="s">
        <v>6756</v>
      </c>
      <c r="D1017" t="s">
        <v>7830</v>
      </c>
      <c r="E1017" t="s">
        <v>6760</v>
      </c>
      <c r="F1017" t="s">
        <v>53</v>
      </c>
      <c r="G1017" t="s">
        <v>6761</v>
      </c>
      <c r="H1017" t="s">
        <v>453</v>
      </c>
      <c r="I1017" s="13" t="s">
        <v>6762</v>
      </c>
      <c r="J1017" t="s">
        <v>31</v>
      </c>
      <c r="K1017" t="s">
        <v>7879</v>
      </c>
      <c r="L1017" t="s">
        <v>7981</v>
      </c>
      <c r="M1017" t="s">
        <v>455</v>
      </c>
      <c r="N1017" t="s">
        <v>130</v>
      </c>
      <c r="O1017" s="17" t="s">
        <v>7854</v>
      </c>
      <c r="P1017" s="17">
        <v>150</v>
      </c>
      <c r="Q1017" s="22" t="s">
        <v>7854</v>
      </c>
      <c r="R1017" s="22">
        <v>0</v>
      </c>
      <c r="S1017" s="24" t="s">
        <v>7854</v>
      </c>
      <c r="T1017" s="24">
        <v>0</v>
      </c>
      <c r="U1017" t="s">
        <v>6763</v>
      </c>
    </row>
    <row r="1018" spans="1:21" x14ac:dyDescent="0.25">
      <c r="A1018">
        <v>1039</v>
      </c>
      <c r="B1018">
        <v>24610</v>
      </c>
      <c r="C1018" t="s">
        <v>6764</v>
      </c>
      <c r="D1018" t="s">
        <v>7831</v>
      </c>
      <c r="E1018" t="s">
        <v>6768</v>
      </c>
      <c r="F1018" t="s">
        <v>53</v>
      </c>
      <c r="G1018" t="s">
        <v>6769</v>
      </c>
      <c r="H1018" t="s">
        <v>453</v>
      </c>
      <c r="I1018" s="13" t="s">
        <v>6770</v>
      </c>
      <c r="J1018" t="s">
        <v>31</v>
      </c>
      <c r="K1018" t="s">
        <v>7879</v>
      </c>
      <c r="L1018" t="s">
        <v>7940</v>
      </c>
      <c r="M1018" t="s">
        <v>455</v>
      </c>
      <c r="N1018" t="s">
        <v>130</v>
      </c>
      <c r="O1018" s="17" t="s">
        <v>7854</v>
      </c>
      <c r="P1018" s="17">
        <v>150</v>
      </c>
      <c r="Q1018" s="22" t="s">
        <v>7854</v>
      </c>
      <c r="R1018" s="22">
        <v>0</v>
      </c>
      <c r="S1018" s="24" t="s">
        <v>7854</v>
      </c>
      <c r="T1018" s="24">
        <v>0</v>
      </c>
      <c r="U1018" t="s">
        <v>6771</v>
      </c>
    </row>
    <row r="1019" spans="1:21" x14ac:dyDescent="0.25">
      <c r="A1019">
        <v>1040</v>
      </c>
      <c r="B1019">
        <v>24599</v>
      </c>
      <c r="C1019" t="s">
        <v>6772</v>
      </c>
      <c r="D1019" t="s">
        <v>7832</v>
      </c>
      <c r="E1019" t="s">
        <v>6775</v>
      </c>
      <c r="F1019" t="s">
        <v>53</v>
      </c>
      <c r="G1019" t="s">
        <v>6776</v>
      </c>
      <c r="H1019" t="s">
        <v>453</v>
      </c>
      <c r="I1019" s="12" t="s">
        <v>6777</v>
      </c>
      <c r="J1019" t="s">
        <v>31</v>
      </c>
      <c r="K1019" t="s">
        <v>7879</v>
      </c>
      <c r="L1019" t="s">
        <v>8028</v>
      </c>
      <c r="M1019" t="s">
        <v>455</v>
      </c>
      <c r="N1019" t="s">
        <v>130</v>
      </c>
      <c r="O1019" s="17" t="s">
        <v>7854</v>
      </c>
      <c r="P1019" s="17">
        <v>150</v>
      </c>
      <c r="Q1019" s="22" t="s">
        <v>7854</v>
      </c>
      <c r="R1019" s="22">
        <v>0</v>
      </c>
      <c r="S1019" s="24" t="s">
        <v>7854</v>
      </c>
      <c r="T1019" s="24">
        <v>0</v>
      </c>
      <c r="U1019" t="s">
        <v>6778</v>
      </c>
    </row>
    <row r="1020" spans="1:21" x14ac:dyDescent="0.25">
      <c r="A1020">
        <v>1041</v>
      </c>
      <c r="B1020">
        <v>24348</v>
      </c>
      <c r="C1020" t="s">
        <v>6779</v>
      </c>
      <c r="D1020" t="s">
        <v>7833</v>
      </c>
      <c r="E1020" t="s">
        <v>6781</v>
      </c>
      <c r="F1020" t="s">
        <v>28</v>
      </c>
      <c r="G1020" t="s">
        <v>6782</v>
      </c>
      <c r="H1020" t="s">
        <v>453</v>
      </c>
      <c r="I1020" s="12">
        <v>233244835801</v>
      </c>
      <c r="J1020" t="s">
        <v>31</v>
      </c>
      <c r="K1020" t="s">
        <v>7879</v>
      </c>
      <c r="L1020" t="s">
        <v>7940</v>
      </c>
      <c r="M1020" t="s">
        <v>455</v>
      </c>
      <c r="N1020" t="s">
        <v>130</v>
      </c>
      <c r="O1020" s="17" t="s">
        <v>7854</v>
      </c>
      <c r="P1020" s="17">
        <v>150</v>
      </c>
      <c r="Q1020" s="22" t="s">
        <v>7854</v>
      </c>
      <c r="R1020" s="22">
        <v>0</v>
      </c>
      <c r="S1020" s="24" t="s">
        <v>7854</v>
      </c>
      <c r="T1020" s="24">
        <v>0</v>
      </c>
      <c r="U1020" t="s">
        <v>6783</v>
      </c>
    </row>
    <row r="1021" spans="1:21" x14ac:dyDescent="0.25">
      <c r="A1021">
        <v>1042</v>
      </c>
      <c r="B1021">
        <v>22957</v>
      </c>
      <c r="C1021" t="s">
        <v>6784</v>
      </c>
      <c r="D1021" t="s">
        <v>7834</v>
      </c>
      <c r="E1021" t="s">
        <v>6787</v>
      </c>
      <c r="F1021" t="s">
        <v>53</v>
      </c>
      <c r="G1021" t="s">
        <v>6788</v>
      </c>
      <c r="H1021" t="s">
        <v>6789</v>
      </c>
      <c r="I1021" s="12">
        <v>231886965551</v>
      </c>
      <c r="J1021" t="s">
        <v>31</v>
      </c>
      <c r="K1021" t="s">
        <v>7881</v>
      </c>
      <c r="L1021" t="s">
        <v>8028</v>
      </c>
      <c r="M1021" t="s">
        <v>6790</v>
      </c>
      <c r="N1021" t="s">
        <v>130</v>
      </c>
      <c r="O1021" s="17" t="s">
        <v>7854</v>
      </c>
      <c r="P1021" s="17">
        <v>425</v>
      </c>
      <c r="Q1021" s="22" t="s">
        <v>7854</v>
      </c>
      <c r="R1021" s="22">
        <v>0</v>
      </c>
      <c r="S1021" s="24" t="s">
        <v>7854</v>
      </c>
      <c r="T1021" s="24">
        <v>0</v>
      </c>
      <c r="U1021" t="s">
        <v>6791</v>
      </c>
    </row>
    <row r="1022" spans="1:21" x14ac:dyDescent="0.25">
      <c r="A1022">
        <v>1043</v>
      </c>
      <c r="B1022">
        <v>21658</v>
      </c>
      <c r="C1022" t="s">
        <v>6792</v>
      </c>
      <c r="D1022" t="s">
        <v>7835</v>
      </c>
      <c r="E1022" t="s">
        <v>6796</v>
      </c>
      <c r="F1022" t="s">
        <v>53</v>
      </c>
      <c r="G1022" t="s">
        <v>6797</v>
      </c>
      <c r="H1022" t="s">
        <v>6789</v>
      </c>
      <c r="I1022" s="12">
        <v>231886930670</v>
      </c>
      <c r="J1022" t="s">
        <v>31</v>
      </c>
      <c r="K1022" t="s">
        <v>7881</v>
      </c>
      <c r="L1022" t="s">
        <v>8028</v>
      </c>
      <c r="M1022" t="s">
        <v>6790</v>
      </c>
      <c r="N1022" t="s">
        <v>130</v>
      </c>
      <c r="O1022" s="17" t="s">
        <v>7854</v>
      </c>
      <c r="P1022" s="17">
        <v>425</v>
      </c>
      <c r="Q1022" s="22" t="s">
        <v>7854</v>
      </c>
      <c r="R1022" s="22">
        <v>0</v>
      </c>
      <c r="S1022" s="24" t="s">
        <v>7854</v>
      </c>
      <c r="T1022" s="24">
        <v>0</v>
      </c>
      <c r="U1022" t="s">
        <v>6798</v>
      </c>
    </row>
    <row r="1023" spans="1:21" x14ac:dyDescent="0.25">
      <c r="A1023">
        <v>1044</v>
      </c>
      <c r="B1023">
        <v>18316</v>
      </c>
      <c r="C1023" t="s">
        <v>6799</v>
      </c>
      <c r="D1023" t="s">
        <v>7836</v>
      </c>
      <c r="E1023" t="s">
        <v>6801</v>
      </c>
      <c r="F1023" t="s">
        <v>53</v>
      </c>
      <c r="G1023" t="s">
        <v>6802</v>
      </c>
      <c r="H1023" t="s">
        <v>6789</v>
      </c>
      <c r="I1023" s="12">
        <v>231886737325</v>
      </c>
      <c r="J1023" t="s">
        <v>31</v>
      </c>
      <c r="K1023" t="s">
        <v>7881</v>
      </c>
      <c r="L1023" t="s">
        <v>8028</v>
      </c>
      <c r="M1023" t="s">
        <v>6790</v>
      </c>
      <c r="N1023" t="s">
        <v>130</v>
      </c>
      <c r="O1023" s="17" t="s">
        <v>7854</v>
      </c>
      <c r="P1023" s="17">
        <v>425</v>
      </c>
      <c r="Q1023" s="22" t="s">
        <v>7854</v>
      </c>
      <c r="R1023" s="22">
        <v>0</v>
      </c>
      <c r="S1023" s="24" t="s">
        <v>7854</v>
      </c>
      <c r="T1023" s="24">
        <v>0</v>
      </c>
      <c r="U1023" t="s">
        <v>6803</v>
      </c>
    </row>
    <row r="1024" spans="1:21" x14ac:dyDescent="0.25">
      <c r="A1024">
        <v>1045</v>
      </c>
      <c r="B1024">
        <v>21779</v>
      </c>
      <c r="C1024" t="s">
        <v>6804</v>
      </c>
      <c r="D1024" t="s">
        <v>7837</v>
      </c>
      <c r="E1024" t="s">
        <v>6808</v>
      </c>
      <c r="F1024" t="s">
        <v>28</v>
      </c>
      <c r="G1024" t="s">
        <v>6809</v>
      </c>
      <c r="H1024" t="s">
        <v>6789</v>
      </c>
      <c r="I1024" s="12">
        <v>231886741103</v>
      </c>
      <c r="J1024" t="s">
        <v>31</v>
      </c>
      <c r="K1024" t="s">
        <v>7881</v>
      </c>
      <c r="L1024" t="s">
        <v>8028</v>
      </c>
      <c r="M1024" t="s">
        <v>6790</v>
      </c>
      <c r="N1024" t="s">
        <v>130</v>
      </c>
      <c r="O1024" s="17" t="s">
        <v>7854</v>
      </c>
      <c r="P1024" s="17">
        <v>425</v>
      </c>
      <c r="Q1024" s="22" t="s">
        <v>7854</v>
      </c>
      <c r="R1024" s="22">
        <v>0</v>
      </c>
      <c r="S1024" s="24" t="s">
        <v>7854</v>
      </c>
      <c r="T1024" s="24">
        <v>0</v>
      </c>
      <c r="U1024" t="s">
        <v>6810</v>
      </c>
    </row>
    <row r="1028" spans="13:14" x14ac:dyDescent="0.25">
      <c r="N1028" s="16"/>
    </row>
    <row r="1029" spans="13:14" x14ac:dyDescent="0.25">
      <c r="N1029" s="16"/>
    </row>
    <row r="1030" spans="13:14" x14ac:dyDescent="0.25">
      <c r="N1030" s="16">
        <v>26129</v>
      </c>
    </row>
    <row r="1031" spans="13:14" x14ac:dyDescent="0.25">
      <c r="N1031" s="16">
        <v>27408</v>
      </c>
    </row>
    <row r="1032" spans="13:14" x14ac:dyDescent="0.25">
      <c r="N1032" s="16">
        <v>8410</v>
      </c>
    </row>
    <row r="1033" spans="13:14" x14ac:dyDescent="0.25">
      <c r="M1033" t="s">
        <v>7862</v>
      </c>
      <c r="N1033" s="16">
        <v>10000</v>
      </c>
    </row>
    <row r="1034" spans="13:14" x14ac:dyDescent="0.25">
      <c r="M1034" t="s">
        <v>7863</v>
      </c>
      <c r="N1034" s="16">
        <v>7000</v>
      </c>
    </row>
    <row r="1035" spans="13:14" x14ac:dyDescent="0.25">
      <c r="M1035" t="s">
        <v>7864</v>
      </c>
      <c r="N1035" s="16">
        <v>10000</v>
      </c>
    </row>
    <row r="1036" spans="13:14" x14ac:dyDescent="0.25">
      <c r="M1036" t="s">
        <v>7865</v>
      </c>
      <c r="N1036" s="16">
        <v>6000</v>
      </c>
    </row>
    <row r="1037" spans="13:14" x14ac:dyDescent="0.25">
      <c r="M1037" t="s">
        <v>7866</v>
      </c>
      <c r="N1037" s="16">
        <v>3000</v>
      </c>
    </row>
    <row r="1038" spans="13:14" x14ac:dyDescent="0.25">
      <c r="M1038" t="s">
        <v>7867</v>
      </c>
      <c r="N1038" s="16">
        <v>3000</v>
      </c>
    </row>
    <row r="1039" spans="13:14" x14ac:dyDescent="0.25">
      <c r="N1039" s="16"/>
    </row>
    <row r="1040" spans="13:14" x14ac:dyDescent="0.25">
      <c r="N1040" s="16"/>
    </row>
    <row r="1041" spans="14:14" x14ac:dyDescent="0.25">
      <c r="N1041" s="16"/>
    </row>
    <row r="1042" spans="14:14" x14ac:dyDescent="0.25">
      <c r="N1042" s="16"/>
    </row>
    <row r="1043" spans="14:14" x14ac:dyDescent="0.25">
      <c r="N1043" s="16"/>
    </row>
    <row r="1044" spans="14:14" x14ac:dyDescent="0.25">
      <c r="N1044" s="16"/>
    </row>
    <row r="1045" spans="14:14" x14ac:dyDescent="0.25">
      <c r="N1045" s="16"/>
    </row>
  </sheetData>
  <hyperlinks>
    <hyperlink ref="C804" r:id="rId1" xr:uid="{F3630685-E8C2-44BB-A84F-55AB4259A812}"/>
    <hyperlink ref="C527" r:id="rId2" xr:uid="{F38DB085-D970-4DF0-99A8-4946B3F81BCF}"/>
    <hyperlink ref="C1005" r:id="rId3" xr:uid="{5C31B5CB-ED73-4FD2-9A30-0DE1EC00AA09}"/>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8C65-A26E-4F36-AFCD-E8E19D06A67D}">
  <dimension ref="A1:BP40"/>
  <sheetViews>
    <sheetView showGridLines="0" tabSelected="1" topLeftCell="AY15" zoomScale="95" zoomScaleNormal="95" workbookViewId="0">
      <selection activeCell="BF27" sqref="BF27"/>
    </sheetView>
  </sheetViews>
  <sheetFormatPr defaultRowHeight="15" x14ac:dyDescent="0.25"/>
  <cols>
    <col min="1" max="1" width="15.7109375" bestFit="1" customWidth="1"/>
    <col min="2" max="2" width="15.28515625" bestFit="1" customWidth="1"/>
    <col min="3" max="3" width="12.5703125" bestFit="1" customWidth="1"/>
    <col min="4" max="4" width="14.28515625" bestFit="1" customWidth="1"/>
    <col min="5" max="5" width="11.7109375" bestFit="1" customWidth="1"/>
    <col min="6" max="6" width="15" customWidth="1"/>
    <col min="7" max="7" width="13.140625" customWidth="1"/>
    <col min="9" max="12" width="13" customWidth="1"/>
    <col min="19" max="19" width="17.85546875" customWidth="1"/>
    <col min="20" max="20" width="13.85546875" customWidth="1"/>
    <col min="21" max="21" width="11.28515625" customWidth="1"/>
    <col min="22" max="22" width="15.28515625" bestFit="1" customWidth="1"/>
    <col min="23" max="23" width="5.85546875" customWidth="1"/>
    <col min="24" max="24" width="13.28515625" bestFit="1" customWidth="1"/>
    <col min="25" max="25" width="9.28515625" bestFit="1" customWidth="1"/>
    <col min="26" max="26" width="14.28515625" bestFit="1" customWidth="1"/>
    <col min="27" max="27" width="12.140625" customWidth="1"/>
    <col min="28" max="28" width="6.28515625" customWidth="1"/>
    <col min="29" max="29" width="12.85546875" customWidth="1"/>
    <col min="30" max="32" width="13.85546875" customWidth="1"/>
    <col min="33" max="33" width="4.42578125" customWidth="1"/>
    <col min="34" max="34" width="12.28515625" customWidth="1"/>
    <col min="38" max="38" width="6.28515625" customWidth="1"/>
    <col min="39" max="39" width="13.42578125" customWidth="1"/>
    <col min="40" max="40" width="10" customWidth="1"/>
    <col min="41" max="41" width="5.28515625" customWidth="1"/>
    <col min="44" max="44" width="22" customWidth="1"/>
    <col min="45" max="45" width="10.85546875" customWidth="1"/>
    <col min="47" max="47" width="6.42578125" customWidth="1"/>
    <col min="51" max="51" width="6.140625" customWidth="1"/>
    <col min="52" max="52" width="16" customWidth="1"/>
    <col min="54" max="55" width="6.42578125" customWidth="1"/>
    <col min="56" max="56" width="12.140625" customWidth="1"/>
    <col min="60" max="60" width="16.140625" customWidth="1"/>
    <col min="61" max="61" width="12.5703125" customWidth="1"/>
    <col min="62" max="62" width="13.5703125" bestFit="1" customWidth="1"/>
    <col min="63" max="63" width="10.7109375" customWidth="1"/>
    <col min="64" max="64" width="11.85546875" bestFit="1" customWidth="1"/>
    <col min="65" max="65" width="12.28515625" customWidth="1"/>
    <col min="66" max="66" width="9.42578125" customWidth="1"/>
    <col min="67" max="67" width="10.85546875" customWidth="1"/>
  </cols>
  <sheetData>
    <row r="1" spans="1:68" ht="27.75" customHeight="1" x14ac:dyDescent="0.25">
      <c r="A1" s="35" t="s">
        <v>8049</v>
      </c>
      <c r="B1" s="35"/>
      <c r="C1" s="35"/>
      <c r="D1" s="35"/>
      <c r="E1" s="35"/>
      <c r="F1" s="35"/>
      <c r="G1" s="35"/>
      <c r="H1" s="35"/>
      <c r="I1" s="35"/>
      <c r="J1" s="35"/>
      <c r="K1" s="35"/>
      <c r="L1" s="35"/>
      <c r="M1" s="35"/>
      <c r="N1" s="35"/>
      <c r="O1" s="35"/>
      <c r="P1" s="35"/>
      <c r="Q1" s="35"/>
    </row>
    <row r="2" spans="1:68" ht="18" customHeight="1" x14ac:dyDescent="0.25">
      <c r="A2" s="36" t="s">
        <v>8050</v>
      </c>
      <c r="B2" s="36"/>
      <c r="C2" s="36"/>
      <c r="D2" s="36"/>
      <c r="E2" s="36"/>
      <c r="F2" s="36"/>
      <c r="G2" s="36"/>
      <c r="H2" s="36"/>
      <c r="I2" s="36"/>
      <c r="J2" s="36"/>
      <c r="K2" s="36"/>
      <c r="L2" s="36"/>
      <c r="M2" s="36"/>
      <c r="N2" s="36"/>
      <c r="O2" s="36"/>
      <c r="P2" s="36"/>
      <c r="Q2" s="36"/>
    </row>
    <row r="4" spans="1:68" ht="45" x14ac:dyDescent="0.25">
      <c r="A4" s="37" t="s">
        <v>7844</v>
      </c>
      <c r="B4" s="38" t="s">
        <v>7869</v>
      </c>
      <c r="C4" s="38" t="s">
        <v>7870</v>
      </c>
      <c r="D4" s="38" t="s">
        <v>7871</v>
      </c>
      <c r="E4" s="38" t="s">
        <v>7872</v>
      </c>
      <c r="F4" s="38" t="s">
        <v>7873</v>
      </c>
      <c r="G4" s="38" t="s">
        <v>7874</v>
      </c>
      <c r="I4" s="41" t="s">
        <v>7848</v>
      </c>
      <c r="J4" s="38" t="s">
        <v>7869</v>
      </c>
      <c r="K4" s="38" t="s">
        <v>7871</v>
      </c>
      <c r="L4" s="38" t="s">
        <v>7873</v>
      </c>
      <c r="M4" s="18"/>
      <c r="N4" s="41" t="s">
        <v>7848</v>
      </c>
      <c r="O4" s="38" t="s">
        <v>7870</v>
      </c>
      <c r="P4" s="38" t="s">
        <v>7859</v>
      </c>
      <c r="Q4" s="38" t="s">
        <v>7860</v>
      </c>
      <c r="R4" s="18"/>
      <c r="S4" s="37" t="s">
        <v>7848</v>
      </c>
      <c r="T4" s="38" t="s">
        <v>7869</v>
      </c>
      <c r="U4" s="38" t="s">
        <v>7871</v>
      </c>
      <c r="V4" s="38" t="s">
        <v>7873</v>
      </c>
      <c r="X4" s="37" t="s">
        <v>7848</v>
      </c>
      <c r="Y4" s="38" t="s">
        <v>7870</v>
      </c>
      <c r="Z4" s="38" t="s">
        <v>7859</v>
      </c>
      <c r="AA4" s="38" t="s">
        <v>7860</v>
      </c>
      <c r="AB4" s="25"/>
      <c r="AC4" s="37" t="s">
        <v>7847</v>
      </c>
      <c r="AD4" s="38" t="s">
        <v>7869</v>
      </c>
      <c r="AE4" s="38" t="s">
        <v>7871</v>
      </c>
      <c r="AF4" s="38" t="s">
        <v>7873</v>
      </c>
      <c r="AH4" s="37" t="s">
        <v>7847</v>
      </c>
      <c r="AI4" s="38" t="s">
        <v>7870</v>
      </c>
      <c r="AJ4" s="38" t="s">
        <v>7859</v>
      </c>
      <c r="AK4" s="38" t="s">
        <v>7860</v>
      </c>
      <c r="AM4" s="46" t="s">
        <v>7847</v>
      </c>
      <c r="AN4" s="38" t="s">
        <v>7875</v>
      </c>
      <c r="AP4" s="41" t="s">
        <v>7847</v>
      </c>
      <c r="AQ4" s="38" t="s">
        <v>7877</v>
      </c>
      <c r="AS4" s="48" t="s">
        <v>7847</v>
      </c>
      <c r="AT4" s="49" t="s">
        <v>7875</v>
      </c>
      <c r="AU4" s="42"/>
      <c r="AV4" s="37" t="s">
        <v>7842</v>
      </c>
      <c r="AW4" s="38" t="s">
        <v>7875</v>
      </c>
      <c r="AX4" s="38"/>
      <c r="AZ4" s="37" t="s">
        <v>7848</v>
      </c>
      <c r="BA4" s="38" t="s">
        <v>7875</v>
      </c>
      <c r="BB4" s="42"/>
      <c r="BD4" s="46" t="s">
        <v>7842</v>
      </c>
      <c r="BE4" s="38" t="s">
        <v>7875</v>
      </c>
      <c r="BF4" s="42"/>
      <c r="BH4" s="41" t="s">
        <v>7844</v>
      </c>
      <c r="BI4" s="38" t="s">
        <v>7869</v>
      </c>
      <c r="BJ4" s="38" t="s">
        <v>7870</v>
      </c>
      <c r="BK4" s="38" t="s">
        <v>7871</v>
      </c>
      <c r="BL4" s="38" t="s">
        <v>7872</v>
      </c>
      <c r="BM4" s="38" t="s">
        <v>7873</v>
      </c>
      <c r="BN4" s="38" t="s">
        <v>7874</v>
      </c>
    </row>
    <row r="5" spans="1:68" x14ac:dyDescent="0.25">
      <c r="A5" s="39" t="s">
        <v>30</v>
      </c>
      <c r="B5" s="40">
        <v>6890000</v>
      </c>
      <c r="C5" s="40">
        <v>1425</v>
      </c>
      <c r="D5" s="40">
        <v>110500</v>
      </c>
      <c r="E5" s="40">
        <v>0</v>
      </c>
      <c r="F5" s="40">
        <v>0</v>
      </c>
      <c r="G5" s="40">
        <v>0</v>
      </c>
      <c r="I5" s="39" t="s">
        <v>30</v>
      </c>
      <c r="J5" s="40">
        <v>6890000</v>
      </c>
      <c r="K5" s="40">
        <v>110500</v>
      </c>
      <c r="L5" s="40">
        <v>0</v>
      </c>
      <c r="M5" s="26"/>
      <c r="N5" s="39" t="s">
        <v>30</v>
      </c>
      <c r="O5" s="40">
        <v>1425</v>
      </c>
      <c r="P5" s="44">
        <v>0</v>
      </c>
      <c r="Q5" s="44">
        <v>0</v>
      </c>
      <c r="R5" s="26"/>
      <c r="S5" s="39" t="s">
        <v>7940</v>
      </c>
      <c r="T5" s="44">
        <v>121745000</v>
      </c>
      <c r="U5" s="44">
        <v>1989000</v>
      </c>
      <c r="V5" s="44">
        <v>12350000</v>
      </c>
      <c r="X5" s="39" t="s">
        <v>7940</v>
      </c>
      <c r="Y5" s="44">
        <v>4900</v>
      </c>
      <c r="Z5" s="44">
        <v>0</v>
      </c>
      <c r="AA5" s="44">
        <v>125</v>
      </c>
      <c r="AC5" s="39" t="s">
        <v>7881</v>
      </c>
      <c r="AD5" s="44">
        <v>134810000</v>
      </c>
      <c r="AE5" s="44">
        <v>4862000</v>
      </c>
      <c r="AF5" s="44">
        <v>0</v>
      </c>
      <c r="AH5" s="39" t="s">
        <v>7881</v>
      </c>
      <c r="AI5" s="44">
        <v>19975</v>
      </c>
      <c r="AJ5" s="44">
        <v>425</v>
      </c>
      <c r="AK5" s="44">
        <v>0</v>
      </c>
      <c r="AM5" s="39" t="s">
        <v>7881</v>
      </c>
      <c r="AN5" s="47">
        <v>291</v>
      </c>
      <c r="AP5" s="39" t="s">
        <v>30</v>
      </c>
      <c r="AQ5" s="47">
        <v>21</v>
      </c>
      <c r="AR5" s="31" t="str">
        <f>ROUND(AQ5/$AQ$10*100,1) &amp; "%"</f>
        <v>2.1%</v>
      </c>
      <c r="AS5" s="42" t="str" cm="1">
        <f t="array" ref="AS5:AT9">AP5:AQ9</f>
        <v>Gambia</v>
      </c>
      <c r="AT5" s="42">
        <v>21</v>
      </c>
      <c r="AU5" s="42" t="str">
        <f>ROUND(AT5/$BE$8*100,1) &amp; "%"</f>
        <v>2.1%</v>
      </c>
      <c r="AV5" s="39" t="s">
        <v>28</v>
      </c>
      <c r="AW5" s="47">
        <v>571</v>
      </c>
      <c r="AX5" s="50" t="str">
        <f>ROUND(AW5/$AW$7*100,1) &amp; "%"</f>
        <v>55.8%</v>
      </c>
      <c r="AZ5" s="39" t="s">
        <v>7940</v>
      </c>
      <c r="BA5" s="47">
        <v>294</v>
      </c>
      <c r="BB5" s="42" t="str">
        <f>ROUND(BA5/$BA$11*100,1) &amp; "%"</f>
        <v>28.7%</v>
      </c>
      <c r="BD5" s="39" t="s">
        <v>7881</v>
      </c>
      <c r="BE5" s="47">
        <v>291</v>
      </c>
      <c r="BF5" s="42" t="str">
        <f>ROUND(BE5/$BE$8*100,1) &amp; "%"</f>
        <v>28.4%</v>
      </c>
      <c r="BH5" s="39" t="s">
        <v>7888</v>
      </c>
      <c r="BI5" s="40">
        <v>47905000</v>
      </c>
      <c r="BJ5" s="40">
        <v>3475</v>
      </c>
      <c r="BK5" s="40">
        <v>3646500</v>
      </c>
      <c r="BL5" s="40">
        <v>425</v>
      </c>
      <c r="BM5" s="40">
        <v>3412500</v>
      </c>
      <c r="BN5" s="40">
        <v>0</v>
      </c>
    </row>
    <row r="6" spans="1:68" x14ac:dyDescent="0.25">
      <c r="A6" s="39" t="s">
        <v>453</v>
      </c>
      <c r="B6" s="40">
        <v>1495000</v>
      </c>
      <c r="C6" s="40">
        <v>27875</v>
      </c>
      <c r="D6" s="40">
        <v>221000</v>
      </c>
      <c r="E6" s="40">
        <v>340</v>
      </c>
      <c r="F6" s="40">
        <v>0</v>
      </c>
      <c r="G6" s="40">
        <v>750</v>
      </c>
      <c r="I6" s="39" t="s">
        <v>453</v>
      </c>
      <c r="J6" s="40">
        <v>1495000</v>
      </c>
      <c r="K6" s="40">
        <v>221000</v>
      </c>
      <c r="L6" s="40">
        <v>0</v>
      </c>
      <c r="M6" s="26"/>
      <c r="N6" s="39" t="s">
        <v>453</v>
      </c>
      <c r="O6" s="40">
        <v>27875</v>
      </c>
      <c r="P6" s="44">
        <v>340</v>
      </c>
      <c r="Q6" s="44">
        <v>750</v>
      </c>
      <c r="R6" s="26"/>
      <c r="S6" s="39" t="s">
        <v>7981</v>
      </c>
      <c r="T6" s="44">
        <v>108192500</v>
      </c>
      <c r="U6" s="44">
        <v>0</v>
      </c>
      <c r="V6" s="44">
        <v>10237500</v>
      </c>
      <c r="X6" s="39" t="s">
        <v>7981</v>
      </c>
      <c r="Y6" s="44">
        <v>8675</v>
      </c>
      <c r="Z6" s="44">
        <v>0</v>
      </c>
      <c r="AA6" s="44">
        <v>500</v>
      </c>
      <c r="AC6" s="39" t="s">
        <v>7879</v>
      </c>
      <c r="AD6" s="44">
        <v>83265000</v>
      </c>
      <c r="AE6" s="44">
        <v>0</v>
      </c>
      <c r="AF6" s="44">
        <v>0</v>
      </c>
      <c r="AH6" s="39" t="s">
        <v>7879</v>
      </c>
      <c r="AI6" s="44">
        <v>11250</v>
      </c>
      <c r="AJ6" s="44">
        <v>0</v>
      </c>
      <c r="AK6" s="44">
        <v>0</v>
      </c>
      <c r="AM6" s="39" t="s">
        <v>7879</v>
      </c>
      <c r="AN6" s="47">
        <v>502</v>
      </c>
      <c r="AP6" s="39" t="s">
        <v>453</v>
      </c>
      <c r="AQ6" s="47">
        <v>114</v>
      </c>
      <c r="AR6" s="31" t="str">
        <f t="shared" ref="AR6:AR9" si="0">ROUND(AQ6/$AQ$10*100,1) &amp; "%"</f>
        <v>11.1%</v>
      </c>
      <c r="AS6" s="42" t="str">
        <v>Ghana</v>
      </c>
      <c r="AT6" s="42">
        <v>114</v>
      </c>
      <c r="AU6" s="42" t="str">
        <f t="shared" ref="AU6:AU9" si="1">ROUND(AT6/$BE$8*100,1) &amp; "%"</f>
        <v>11.1%</v>
      </c>
      <c r="AV6" s="39" t="s">
        <v>53</v>
      </c>
      <c r="AW6" s="47">
        <v>452</v>
      </c>
      <c r="AX6" s="47" t="str">
        <f>ROUND(AW6/$AW$7*100,1) &amp; "%"</f>
        <v>44.2%</v>
      </c>
      <c r="AZ6" s="39" t="s">
        <v>7981</v>
      </c>
      <c r="BA6" s="47">
        <v>243</v>
      </c>
      <c r="BB6" s="42" t="str">
        <f t="shared" ref="BB6:BB10" si="2">ROUND(BA6/$BA$11*100,1) &amp; "%"</f>
        <v>23.8%</v>
      </c>
      <c r="BD6" s="39" t="s">
        <v>7879</v>
      </c>
      <c r="BE6" s="47">
        <v>502</v>
      </c>
      <c r="BF6" s="42" t="str">
        <f t="shared" ref="BF6:BF7" si="3">ROUND(BE6/$BE$8*100,1) &amp; "%"</f>
        <v>49.1%</v>
      </c>
      <c r="BH6" s="39" t="s">
        <v>7893</v>
      </c>
      <c r="BI6" s="40">
        <v>102667500</v>
      </c>
      <c r="BJ6" s="40">
        <v>10875</v>
      </c>
      <c r="BK6" s="40">
        <v>0</v>
      </c>
      <c r="BL6" s="40">
        <v>0</v>
      </c>
      <c r="BM6" s="40">
        <v>6337500</v>
      </c>
      <c r="BN6" s="40">
        <v>125</v>
      </c>
    </row>
    <row r="7" spans="1:68" x14ac:dyDescent="0.25">
      <c r="A7" s="39" t="s">
        <v>6789</v>
      </c>
      <c r="B7" s="40">
        <v>0</v>
      </c>
      <c r="C7" s="40">
        <v>1700</v>
      </c>
      <c r="D7" s="40">
        <v>0</v>
      </c>
      <c r="E7" s="40">
        <v>0</v>
      </c>
      <c r="F7" s="40">
        <v>0</v>
      </c>
      <c r="G7" s="40">
        <v>0</v>
      </c>
      <c r="I7" s="39" t="s">
        <v>6789</v>
      </c>
      <c r="J7" s="40">
        <v>0</v>
      </c>
      <c r="K7" s="40">
        <v>0</v>
      </c>
      <c r="L7" s="40">
        <v>0</v>
      </c>
      <c r="M7" s="26"/>
      <c r="N7" s="39" t="s">
        <v>6789</v>
      </c>
      <c r="O7" s="40">
        <v>1700</v>
      </c>
      <c r="P7" s="44">
        <v>0</v>
      </c>
      <c r="Q7" s="44">
        <v>0</v>
      </c>
      <c r="R7" s="26"/>
      <c r="S7" s="39" t="s">
        <v>7888</v>
      </c>
      <c r="T7" s="44">
        <v>47905000</v>
      </c>
      <c r="U7" s="44">
        <v>3646500</v>
      </c>
      <c r="V7" s="44">
        <v>3412500</v>
      </c>
      <c r="X7" s="39" t="s">
        <v>7888</v>
      </c>
      <c r="Y7" s="44">
        <v>3475</v>
      </c>
      <c r="Z7" s="44">
        <v>425</v>
      </c>
      <c r="AA7" s="44">
        <v>0</v>
      </c>
      <c r="AC7" s="39" t="s">
        <v>7886</v>
      </c>
      <c r="AD7" s="44">
        <v>182000000</v>
      </c>
      <c r="AE7" s="44">
        <v>773500</v>
      </c>
      <c r="AF7" s="44">
        <v>33150000</v>
      </c>
      <c r="AH7" s="39" t="s">
        <v>7886</v>
      </c>
      <c r="AI7" s="44">
        <v>3750</v>
      </c>
      <c r="AJ7" s="44">
        <v>0</v>
      </c>
      <c r="AK7" s="44">
        <v>750</v>
      </c>
      <c r="AM7" s="39" t="s">
        <v>7886</v>
      </c>
      <c r="AN7" s="47">
        <v>230</v>
      </c>
      <c r="AP7" s="39" t="s">
        <v>6789</v>
      </c>
      <c r="AQ7" s="47">
        <v>4</v>
      </c>
      <c r="AR7" s="31" t="str">
        <f t="shared" si="0"/>
        <v>0.4%</v>
      </c>
      <c r="AS7" s="42" t="str">
        <v>Liberia</v>
      </c>
      <c r="AT7" s="42">
        <v>4</v>
      </c>
      <c r="AU7" s="42" t="str">
        <f t="shared" si="1"/>
        <v>0.4%</v>
      </c>
      <c r="AV7" s="42"/>
      <c r="AW7" s="47">
        <f>SUM(AW5:AW6)</f>
        <v>1023</v>
      </c>
      <c r="AX7" s="47"/>
      <c r="AZ7" s="39" t="s">
        <v>7888</v>
      </c>
      <c r="BA7" s="47">
        <v>120</v>
      </c>
      <c r="BB7" s="42" t="str">
        <f t="shared" si="2"/>
        <v>11.7%</v>
      </c>
      <c r="BD7" s="39" t="s">
        <v>7886</v>
      </c>
      <c r="BE7" s="47">
        <v>230</v>
      </c>
      <c r="BF7" s="42" t="str">
        <f t="shared" si="3"/>
        <v>22.5%</v>
      </c>
      <c r="BH7" s="39" t="s">
        <v>7940</v>
      </c>
      <c r="BI7" s="40">
        <v>121745000</v>
      </c>
      <c r="BJ7" s="40">
        <v>4900</v>
      </c>
      <c r="BK7" s="40">
        <v>1989000</v>
      </c>
      <c r="BL7" s="40">
        <v>0</v>
      </c>
      <c r="BM7" s="40">
        <v>12350000</v>
      </c>
      <c r="BN7" s="40">
        <v>125</v>
      </c>
    </row>
    <row r="8" spans="1:68" x14ac:dyDescent="0.25">
      <c r="A8" s="39" t="s">
        <v>43</v>
      </c>
      <c r="B8" s="40">
        <v>386945000</v>
      </c>
      <c r="C8" s="40">
        <v>1000</v>
      </c>
      <c r="D8" s="40">
        <v>5304000</v>
      </c>
      <c r="E8" s="40">
        <v>85</v>
      </c>
      <c r="F8" s="40">
        <v>33150000</v>
      </c>
      <c r="G8" s="40">
        <v>0</v>
      </c>
      <c r="I8" s="39" t="s">
        <v>43</v>
      </c>
      <c r="J8" s="40">
        <v>386945000</v>
      </c>
      <c r="K8" s="40">
        <v>5304000</v>
      </c>
      <c r="L8" s="40">
        <v>33150000</v>
      </c>
      <c r="M8" s="26"/>
      <c r="N8" s="39" t="s">
        <v>43</v>
      </c>
      <c r="O8" s="40">
        <v>1000</v>
      </c>
      <c r="P8" s="44">
        <v>85</v>
      </c>
      <c r="Q8" s="44">
        <v>0</v>
      </c>
      <c r="R8" s="26"/>
      <c r="S8" s="39" t="s">
        <v>7893</v>
      </c>
      <c r="T8" s="44">
        <v>102667500</v>
      </c>
      <c r="U8" s="44">
        <v>0</v>
      </c>
      <c r="V8" s="44">
        <v>6337500</v>
      </c>
      <c r="X8" s="39" t="s">
        <v>7893</v>
      </c>
      <c r="Y8" s="44">
        <v>10875</v>
      </c>
      <c r="Z8" s="44">
        <v>0</v>
      </c>
      <c r="AA8" s="44">
        <v>125</v>
      </c>
      <c r="AM8" s="39" t="s">
        <v>7868</v>
      </c>
      <c r="AN8" s="47">
        <v>1023</v>
      </c>
      <c r="AP8" s="39" t="s">
        <v>43</v>
      </c>
      <c r="AQ8" s="47">
        <v>860</v>
      </c>
      <c r="AR8" s="32" t="str">
        <f t="shared" si="0"/>
        <v>84.1%</v>
      </c>
      <c r="AS8" s="42" t="str">
        <v>Nigeria</v>
      </c>
      <c r="AT8" s="42">
        <v>860</v>
      </c>
      <c r="AU8" s="42" t="str">
        <f t="shared" si="1"/>
        <v>84.1%</v>
      </c>
      <c r="AV8" s="42"/>
      <c r="AW8" s="42"/>
      <c r="AX8" s="42"/>
      <c r="AZ8" s="39" t="s">
        <v>7893</v>
      </c>
      <c r="BA8" s="47">
        <v>273</v>
      </c>
      <c r="BB8" s="42" t="str">
        <f t="shared" si="2"/>
        <v>26.7%</v>
      </c>
      <c r="BD8" s="42"/>
      <c r="BE8" s="47">
        <f>SUM(BE5:BE7)</f>
        <v>1023</v>
      </c>
      <c r="BF8" s="42"/>
      <c r="BH8" s="39" t="s">
        <v>7981</v>
      </c>
      <c r="BI8" s="40">
        <v>108192500</v>
      </c>
      <c r="BJ8" s="40">
        <v>8675</v>
      </c>
      <c r="BK8" s="40">
        <v>0</v>
      </c>
      <c r="BL8" s="40">
        <v>0</v>
      </c>
      <c r="BM8" s="40">
        <v>10237500</v>
      </c>
      <c r="BN8" s="40">
        <v>500</v>
      </c>
    </row>
    <row r="9" spans="1:68" x14ac:dyDescent="0.25">
      <c r="A9" s="39" t="s">
        <v>765</v>
      </c>
      <c r="B9" s="40">
        <v>4745000</v>
      </c>
      <c r="C9" s="40">
        <v>2975</v>
      </c>
      <c r="D9" s="40">
        <v>0</v>
      </c>
      <c r="E9" s="40">
        <v>0</v>
      </c>
      <c r="F9" s="40">
        <v>0</v>
      </c>
      <c r="G9" s="40">
        <v>0</v>
      </c>
      <c r="I9" s="39" t="s">
        <v>765</v>
      </c>
      <c r="J9" s="40">
        <v>4745000</v>
      </c>
      <c r="K9" s="40">
        <v>0</v>
      </c>
      <c r="L9" s="40">
        <v>0</v>
      </c>
      <c r="M9" s="26"/>
      <c r="N9" s="39" t="s">
        <v>765</v>
      </c>
      <c r="O9" s="40">
        <v>2975</v>
      </c>
      <c r="P9" s="44">
        <v>0</v>
      </c>
      <c r="Q9" s="44">
        <v>0</v>
      </c>
      <c r="R9" s="26"/>
      <c r="S9" s="39" t="s">
        <v>8028</v>
      </c>
      <c r="T9" s="44">
        <v>19565000</v>
      </c>
      <c r="U9" s="44">
        <v>0</v>
      </c>
      <c r="V9" s="44">
        <v>812500</v>
      </c>
      <c r="X9" s="39" t="s">
        <v>8028</v>
      </c>
      <c r="Y9" s="44">
        <v>7050</v>
      </c>
      <c r="Z9" s="44">
        <v>0</v>
      </c>
      <c r="AA9" s="44">
        <v>0</v>
      </c>
      <c r="AP9" s="39" t="s">
        <v>765</v>
      </c>
      <c r="AQ9" s="47">
        <v>24</v>
      </c>
      <c r="AR9" s="31" t="str">
        <f t="shared" si="0"/>
        <v>2.3%</v>
      </c>
      <c r="AS9" s="42" t="str">
        <v>Sierra Leone</v>
      </c>
      <c r="AT9" s="42">
        <v>24</v>
      </c>
      <c r="AU9" s="42" t="str">
        <f t="shared" si="1"/>
        <v>2.3%</v>
      </c>
      <c r="AZ9" s="39" t="s">
        <v>8028</v>
      </c>
      <c r="BA9" s="47">
        <v>93</v>
      </c>
      <c r="BB9" s="42" t="str">
        <f t="shared" si="2"/>
        <v>9.1%</v>
      </c>
      <c r="BH9" s="39" t="s">
        <v>8028</v>
      </c>
      <c r="BI9" s="40">
        <v>19565000</v>
      </c>
      <c r="BJ9" s="40">
        <v>7050</v>
      </c>
      <c r="BK9" s="40">
        <v>0</v>
      </c>
      <c r="BL9" s="40">
        <v>0</v>
      </c>
      <c r="BM9" s="40">
        <v>812500</v>
      </c>
      <c r="BN9" s="40">
        <v>0</v>
      </c>
    </row>
    <row r="10" spans="1:68" x14ac:dyDescent="0.25">
      <c r="I10" s="42"/>
      <c r="J10" s="40">
        <f>SUM(J5:J9)</f>
        <v>400075000</v>
      </c>
      <c r="K10" s="40">
        <f t="shared" ref="K10:L10" si="4">SUM(K5:K9)</f>
        <v>5635500</v>
      </c>
      <c r="L10" s="40">
        <f t="shared" si="4"/>
        <v>33150000</v>
      </c>
      <c r="M10" s="26"/>
      <c r="N10" s="42"/>
      <c r="O10" s="40">
        <f>SUM(O5:O9)</f>
        <v>34975</v>
      </c>
      <c r="P10" s="44">
        <f t="shared" ref="P10:Q10" si="5">SUM(P5:P9)</f>
        <v>425</v>
      </c>
      <c r="Q10" s="44">
        <f t="shared" si="5"/>
        <v>750</v>
      </c>
      <c r="R10" s="26"/>
      <c r="AP10" s="42"/>
      <c r="AQ10" s="47">
        <f>SUM(AQ5:AQ9)</f>
        <v>1023</v>
      </c>
      <c r="AS10" s="42"/>
      <c r="AT10" s="42">
        <f>SUM(AT5:AT9)</f>
        <v>1023</v>
      </c>
      <c r="AU10" s="42"/>
      <c r="AZ10" s="42"/>
      <c r="BA10" s="42"/>
      <c r="BB10" s="42" t="str">
        <f t="shared" si="2"/>
        <v>0%</v>
      </c>
    </row>
    <row r="11" spans="1:68" x14ac:dyDescent="0.25">
      <c r="M11" s="26"/>
      <c r="R11" s="26"/>
      <c r="AZ11" s="42"/>
      <c r="BA11" s="47">
        <f>SUM(BA5:BA10)</f>
        <v>1023</v>
      </c>
      <c r="BB11" s="42"/>
    </row>
    <row r="13" spans="1:68" x14ac:dyDescent="0.25">
      <c r="BH13" s="51" t="s">
        <v>7844</v>
      </c>
      <c r="BI13" s="51" t="s">
        <v>8041</v>
      </c>
      <c r="BJ13" s="51" t="s">
        <v>8042</v>
      </c>
      <c r="BK13" s="51" t="s">
        <v>8043</v>
      </c>
      <c r="BL13" s="52" t="s">
        <v>8040</v>
      </c>
      <c r="BM13" s="51" t="s">
        <v>8041</v>
      </c>
      <c r="BN13" s="51" t="s">
        <v>8042</v>
      </c>
      <c r="BO13" s="51" t="s">
        <v>8043</v>
      </c>
      <c r="BP13" s="53" t="s">
        <v>8044</v>
      </c>
    </row>
    <row r="14" spans="1:68" x14ac:dyDescent="0.25">
      <c r="AR14" s="30"/>
      <c r="BH14" s="42" t="str" cm="1">
        <f t="array" ref="BH14:BH18">BH5:BH9</f>
        <v>Behavioral Health</v>
      </c>
      <c r="BI14" s="40" cm="1">
        <f t="array" ref="BI14:BI18">BI5:BI9</f>
        <v>47905000</v>
      </c>
      <c r="BJ14" s="40" cm="1">
        <f t="array" ref="BJ14:BJ18">BK5:BK9</f>
        <v>3646500</v>
      </c>
      <c r="BK14" s="40" cm="1">
        <f t="array" ref="BK14:BK18">BM5:BM9</f>
        <v>3412500</v>
      </c>
      <c r="BL14" s="54">
        <f>SUM(BI14:BK14)</f>
        <v>54964000</v>
      </c>
      <c r="BM14" s="40" cm="1">
        <f t="array" ref="BM14:BM18">BJ5:BJ9</f>
        <v>3475</v>
      </c>
      <c r="BN14" s="40" cm="1">
        <f t="array" ref="BN14:BN18">BL5:BL9</f>
        <v>425</v>
      </c>
      <c r="BO14" s="40" cm="1">
        <f t="array" ref="BO14:BO18">BN5:BN9</f>
        <v>0</v>
      </c>
      <c r="BP14" s="55">
        <f>SUM(BM14:BO14)</f>
        <v>3900</v>
      </c>
    </row>
    <row r="15" spans="1:68" x14ac:dyDescent="0.25">
      <c r="AR15" s="30"/>
      <c r="BH15" s="42" t="str">
        <v>Child Health</v>
      </c>
      <c r="BI15" s="40">
        <v>102667500</v>
      </c>
      <c r="BJ15" s="40">
        <v>0</v>
      </c>
      <c r="BK15" s="40">
        <v>6337500</v>
      </c>
      <c r="BL15" s="54">
        <f t="shared" ref="BL15:BL18" si="6">SUM(BI15:BK15)</f>
        <v>109005000</v>
      </c>
      <c r="BM15" s="40">
        <v>10875</v>
      </c>
      <c r="BN15" s="40">
        <v>0</v>
      </c>
      <c r="BO15" s="40">
        <v>125</v>
      </c>
      <c r="BP15" s="55">
        <f>SUM(BM15:BO15)</f>
        <v>11000</v>
      </c>
    </row>
    <row r="16" spans="1:68" x14ac:dyDescent="0.25">
      <c r="A16" s="43" t="s">
        <v>7844</v>
      </c>
      <c r="B16" s="43" t="s">
        <v>7869</v>
      </c>
      <c r="C16" s="43" t="s">
        <v>7870</v>
      </c>
      <c r="D16" s="43" t="s">
        <v>7871</v>
      </c>
      <c r="E16" s="43" t="s">
        <v>7872</v>
      </c>
      <c r="F16" s="43" t="s">
        <v>7873</v>
      </c>
      <c r="G16" s="43" t="s">
        <v>7874</v>
      </c>
      <c r="AR16" s="30"/>
      <c r="BH16" s="42" t="str">
        <v>Clinical Medicine</v>
      </c>
      <c r="BI16" s="40">
        <v>121745000</v>
      </c>
      <c r="BJ16" s="40">
        <v>1989000</v>
      </c>
      <c r="BK16" s="40">
        <v>12350000</v>
      </c>
      <c r="BL16" s="54">
        <f t="shared" si="6"/>
        <v>136084000</v>
      </c>
      <c r="BM16" s="40">
        <v>4900</v>
      </c>
      <c r="BN16" s="40">
        <v>0</v>
      </c>
      <c r="BO16" s="40">
        <v>125</v>
      </c>
      <c r="BP16" s="55">
        <f t="shared" ref="BP16:BP18" si="7">SUM(BM16:BO16)</f>
        <v>5025</v>
      </c>
    </row>
    <row r="17" spans="1:68" x14ac:dyDescent="0.25">
      <c r="A17" s="42" t="str" cm="1">
        <f t="array" ref="A17:G21">A5:G9</f>
        <v>Gambia</v>
      </c>
      <c r="B17" s="44">
        <v>6890000</v>
      </c>
      <c r="C17" s="40">
        <v>1425</v>
      </c>
      <c r="D17" s="44">
        <v>110500</v>
      </c>
      <c r="E17" s="44">
        <v>0</v>
      </c>
      <c r="F17" s="44">
        <v>0</v>
      </c>
      <c r="G17" s="44">
        <v>0</v>
      </c>
      <c r="AR17" s="30"/>
      <c r="BH17" s="42" t="str">
        <v>Population Health</v>
      </c>
      <c r="BI17" s="40">
        <v>108192500</v>
      </c>
      <c r="BJ17" s="40">
        <v>0</v>
      </c>
      <c r="BK17" s="40">
        <v>10237500</v>
      </c>
      <c r="BL17" s="54">
        <f t="shared" si="6"/>
        <v>118430000</v>
      </c>
      <c r="BM17" s="40">
        <v>8675</v>
      </c>
      <c r="BN17" s="40">
        <v>0</v>
      </c>
      <c r="BO17" s="40">
        <v>500</v>
      </c>
      <c r="BP17" s="55">
        <f t="shared" si="7"/>
        <v>9175</v>
      </c>
    </row>
    <row r="18" spans="1:68" x14ac:dyDescent="0.25">
      <c r="A18" s="42" t="str">
        <v>Ghana</v>
      </c>
      <c r="B18" s="44">
        <v>1495000</v>
      </c>
      <c r="C18" s="40">
        <v>27875</v>
      </c>
      <c r="D18" s="44">
        <v>221000</v>
      </c>
      <c r="E18" s="44">
        <v>340</v>
      </c>
      <c r="F18" s="44">
        <v>0</v>
      </c>
      <c r="G18" s="44">
        <v>750</v>
      </c>
      <c r="AR18" s="30"/>
      <c r="BH18" s="42" t="str">
        <v>Primary Care</v>
      </c>
      <c r="BI18" s="40">
        <v>19565000</v>
      </c>
      <c r="BJ18" s="40">
        <v>0</v>
      </c>
      <c r="BK18" s="40">
        <v>812500</v>
      </c>
      <c r="BL18" s="54">
        <f t="shared" si="6"/>
        <v>20377500</v>
      </c>
      <c r="BM18" s="40">
        <v>7050</v>
      </c>
      <c r="BN18" s="40">
        <v>0</v>
      </c>
      <c r="BO18" s="40">
        <v>0</v>
      </c>
      <c r="BP18" s="55">
        <f t="shared" si="7"/>
        <v>7050</v>
      </c>
    </row>
    <row r="19" spans="1:68" x14ac:dyDescent="0.25">
      <c r="A19" s="42" t="str">
        <v>Liberia</v>
      </c>
      <c r="B19" s="44">
        <v>0</v>
      </c>
      <c r="C19" s="40">
        <v>1700</v>
      </c>
      <c r="D19" s="44">
        <v>0</v>
      </c>
      <c r="E19" s="44">
        <v>0</v>
      </c>
      <c r="F19" s="44">
        <v>0</v>
      </c>
      <c r="G19" s="44">
        <v>0</v>
      </c>
      <c r="BI19" s="29"/>
      <c r="BJ19" s="29"/>
      <c r="BK19" s="29"/>
    </row>
    <row r="20" spans="1:68" x14ac:dyDescent="0.25">
      <c r="A20" s="42" t="str">
        <v>Nigeria</v>
      </c>
      <c r="B20" s="44">
        <v>386945000</v>
      </c>
      <c r="C20" s="40">
        <v>1000</v>
      </c>
      <c r="D20" s="44">
        <v>5304000</v>
      </c>
      <c r="E20" s="44">
        <v>85</v>
      </c>
      <c r="F20" s="44">
        <v>33150000</v>
      </c>
      <c r="G20" s="44">
        <v>0</v>
      </c>
      <c r="J20" s="26"/>
      <c r="K20" s="26"/>
      <c r="L20" s="26"/>
      <c r="BH20" s="33" t="s">
        <v>8045</v>
      </c>
      <c r="BI20" s="33"/>
      <c r="BJ20" s="33"/>
      <c r="BK20" s="33"/>
      <c r="BL20" s="33"/>
    </row>
    <row r="21" spans="1:68" x14ac:dyDescent="0.25">
      <c r="A21" s="42" t="str">
        <v>Sierra Leone</v>
      </c>
      <c r="B21" s="44">
        <v>4745000</v>
      </c>
      <c r="C21" s="40">
        <v>2975</v>
      </c>
      <c r="D21" s="44">
        <v>0</v>
      </c>
      <c r="E21" s="44">
        <v>0</v>
      </c>
      <c r="F21" s="44">
        <v>0</v>
      </c>
      <c r="G21" s="44">
        <v>0</v>
      </c>
      <c r="J21" s="26"/>
      <c r="K21" s="26"/>
      <c r="L21" s="26"/>
      <c r="BH21" s="51" t="s">
        <v>7844</v>
      </c>
      <c r="BI21" s="51" t="s">
        <v>8046</v>
      </c>
      <c r="BJ21" s="51" t="s">
        <v>8047</v>
      </c>
    </row>
    <row r="22" spans="1:68" x14ac:dyDescent="0.25">
      <c r="A22" s="42" t="s">
        <v>7868</v>
      </c>
      <c r="B22" s="44">
        <f>SUM(B17:B21)</f>
        <v>400075000</v>
      </c>
      <c r="C22" s="40">
        <f t="shared" ref="C22:G22" si="8">SUM(C17:C21)</f>
        <v>34975</v>
      </c>
      <c r="D22" s="44">
        <f t="shared" si="8"/>
        <v>5635500</v>
      </c>
      <c r="E22" s="44">
        <f t="shared" si="8"/>
        <v>425</v>
      </c>
      <c r="F22" s="44">
        <f t="shared" si="8"/>
        <v>33150000</v>
      </c>
      <c r="G22" s="44">
        <f t="shared" si="8"/>
        <v>750</v>
      </c>
      <c r="J22" s="26"/>
      <c r="K22" s="26"/>
      <c r="L22" s="26"/>
      <c r="BH22" s="42" t="str" cm="1">
        <f t="array" ref="BH22:BH26">_xlfn.ANCHORARRAY(BH14)</f>
        <v>Behavioral Health</v>
      </c>
      <c r="BI22" s="40" cm="1">
        <f t="array" ref="BI22:BI26">BL14:BL18</f>
        <v>54964000</v>
      </c>
      <c r="BJ22" s="40" cm="1">
        <f t="array" ref="BJ22:BJ26">BP14:BP18</f>
        <v>3900</v>
      </c>
    </row>
    <row r="23" spans="1:68" x14ac:dyDescent="0.25">
      <c r="J23" s="26"/>
      <c r="K23" s="26"/>
      <c r="L23" s="26"/>
      <c r="BH23" s="42" t="str">
        <v>Child Health</v>
      </c>
      <c r="BI23" s="40">
        <v>109005000</v>
      </c>
      <c r="BJ23" s="40">
        <v>11000</v>
      </c>
    </row>
    <row r="24" spans="1:68" x14ac:dyDescent="0.25">
      <c r="J24" s="26"/>
      <c r="K24" s="26"/>
      <c r="L24" s="26"/>
      <c r="BH24" s="42" t="str">
        <v>Clinical Medicine</v>
      </c>
      <c r="BI24" s="40">
        <v>136084000</v>
      </c>
      <c r="BJ24" s="40">
        <v>5025</v>
      </c>
    </row>
    <row r="25" spans="1:68" x14ac:dyDescent="0.25">
      <c r="J25" s="26"/>
      <c r="K25" s="26"/>
      <c r="L25" s="26"/>
      <c r="BH25" s="42" t="str">
        <v>Population Health</v>
      </c>
      <c r="BI25" s="40">
        <v>118430000</v>
      </c>
      <c r="BJ25" s="40">
        <v>9175</v>
      </c>
    </row>
    <row r="26" spans="1:68" x14ac:dyDescent="0.25">
      <c r="BH26" s="42" t="str">
        <v>Primary Care</v>
      </c>
      <c r="BI26" s="40">
        <v>20377500</v>
      </c>
      <c r="BJ26" s="40">
        <v>7050</v>
      </c>
    </row>
    <row r="27" spans="1:68" x14ac:dyDescent="0.25">
      <c r="A27" s="34" t="s">
        <v>8048</v>
      </c>
      <c r="B27" s="34"/>
    </row>
    <row r="28" spans="1:68" x14ac:dyDescent="0.25">
      <c r="A28" s="42" t="s">
        <v>8037</v>
      </c>
      <c r="B28" s="45">
        <f>SUM(J10:L10)</f>
        <v>438860500</v>
      </c>
      <c r="C28" t="s">
        <v>7876</v>
      </c>
    </row>
    <row r="29" spans="1:68" x14ac:dyDescent="0.25">
      <c r="A29" s="42" t="s">
        <v>8038</v>
      </c>
      <c r="B29" s="40">
        <f>SUM(O10:Q10)</f>
        <v>36150</v>
      </c>
      <c r="C29" t="s">
        <v>131</v>
      </c>
      <c r="F29" s="27"/>
      <c r="J29" s="26"/>
      <c r="BH29" s="34" t="s">
        <v>8035</v>
      </c>
      <c r="BI29" s="34"/>
    </row>
    <row r="30" spans="1:68" x14ac:dyDescent="0.25">
      <c r="F30" s="27"/>
      <c r="BH30" s="42" t="str" cm="1">
        <f t="array" ref="BH30:BI31">AV5:AW6</f>
        <v>Female</v>
      </c>
      <c r="BI30" s="42">
        <v>571</v>
      </c>
    </row>
    <row r="31" spans="1:68" x14ac:dyDescent="0.25">
      <c r="A31" s="42" t="s">
        <v>8036</v>
      </c>
      <c r="B31" s="42">
        <f>GETPIVOTDATA("Full Name",$AM$4)</f>
        <v>1023</v>
      </c>
      <c r="BH31" s="42" t="str">
        <v>Male</v>
      </c>
      <c r="BI31" s="42">
        <v>452</v>
      </c>
    </row>
    <row r="33" spans="1:2" x14ac:dyDescent="0.25">
      <c r="A33" s="42" t="str" cm="1">
        <f t="array" ref="A33:A34">AV5:AV6</f>
        <v>Female</v>
      </c>
      <c r="B33" s="42">
        <f>GETPIVOTDATA("Full Name",$AV$4,"Gender","Female")</f>
        <v>571</v>
      </c>
    </row>
    <row r="34" spans="1:2" x14ac:dyDescent="0.25">
      <c r="A34" s="42" t="str">
        <v>Male</v>
      </c>
      <c r="B34" s="42">
        <f>GETPIVOTDATA("Full Name",$AV$4,"Gender","Male")</f>
        <v>452</v>
      </c>
    </row>
    <row r="37" spans="1:2" x14ac:dyDescent="0.25">
      <c r="B37" t="s">
        <v>7878</v>
      </c>
    </row>
    <row r="38" spans="1:2" x14ac:dyDescent="0.25">
      <c r="B38" t="s">
        <v>8033</v>
      </c>
    </row>
    <row r="39" spans="1:2" x14ac:dyDescent="0.25">
      <c r="B39" t="s">
        <v>8035</v>
      </c>
    </row>
    <row r="40" spans="1:2" x14ac:dyDescent="0.25">
      <c r="B40" t="s">
        <v>8034</v>
      </c>
    </row>
  </sheetData>
  <mergeCells count="5">
    <mergeCell ref="A27:B27"/>
    <mergeCell ref="A1:Q1"/>
    <mergeCell ref="A2:Q2"/>
    <mergeCell ref="BH20:BL20"/>
    <mergeCell ref="BH29:BI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A37CF-D244-4523-8ABC-166DFC8C6B05}">
  <dimension ref="M21:Z40"/>
  <sheetViews>
    <sheetView showGridLines="0" topLeftCell="A13" zoomScale="70" zoomScaleNormal="70" workbookViewId="0">
      <selection activeCell="AA26" sqref="AA26"/>
    </sheetView>
  </sheetViews>
  <sheetFormatPr defaultRowHeight="15" x14ac:dyDescent="0.25"/>
  <cols>
    <col min="1" max="16384" width="9.140625" style="28"/>
  </cols>
  <sheetData>
    <row r="21" spans="26:26" x14ac:dyDescent="0.25">
      <c r="Z21" s="28" t="s">
        <v>8039</v>
      </c>
    </row>
    <row r="40" spans="13:13" x14ac:dyDescent="0.25">
      <c r="M40" s="28" t="s">
        <v>841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PVT &amp; Calculations</vt:lpstr>
      <vt:lpstr>Dashboard Presentation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Pelrox</dc:creator>
  <cp:lastModifiedBy>kehinde ojo</cp:lastModifiedBy>
  <dcterms:created xsi:type="dcterms:W3CDTF">2026-01-21T13:24:04Z</dcterms:created>
  <dcterms:modified xsi:type="dcterms:W3CDTF">2026-05-28T22:39:32Z</dcterms:modified>
</cp:coreProperties>
</file>